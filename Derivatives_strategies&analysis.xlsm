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trlProps/ctrlProp5.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trlProps/ctrlProp6.xml" ContentType="application/vnd.ms-excel.controlproperties+xml"/>
  <Override PartName="/xl/charts/chartEx1.xml" ContentType="application/vnd.ms-office.chartex+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trlProps/ctrlProp7.xml" ContentType="application/vnd.ms-excel.controlpropertie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trlProps/ctrlProp14.xml" ContentType="application/vnd.ms-excel.controlproperties+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ctrlProps/ctrlProp15.xml" ContentType="application/vnd.ms-excel.controlproperties+xml"/>
  <Override PartName="/xl/ctrlProps/ctrlProp16.xml" ContentType="application/vnd.ms-excel.controlproperties+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trlProps/ctrlProp17.xml" ContentType="application/vnd.ms-excel.controlproperties+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elaar\Downloads\"/>
    </mc:Choice>
  </mc:AlternateContent>
  <xr:revisionPtr revIDLastSave="0" documentId="13_ncr:1_{A3C0458D-0AFB-4527-AC6A-DA5E85349ACA}" xr6:coauthVersionLast="46" xr6:coauthVersionMax="46" xr10:uidLastSave="{00000000-0000-0000-0000-000000000000}"/>
  <bookViews>
    <workbookView xWindow="-120" yWindow="-120" windowWidth="20730" windowHeight="11160" tabRatio="791" firstSheet="7" activeTab="12" xr2:uid="{083F003C-4315-47F5-AEA1-4C978E49D869}"/>
  </bookViews>
  <sheets>
    <sheet name="Strategy" sheetId="12" r:id="rId1"/>
    <sheet name="1.a) Greeks vs moneyness" sheetId="2" r:id="rId2"/>
    <sheet name="1.b) Delta Hedge" sheetId="3" r:id="rId3"/>
    <sheet name="1.b) Gamma hedge" sheetId="4" r:id="rId4"/>
    <sheet name="1.c) Gamma_Theta PnL" sheetId="5" r:id="rId5"/>
    <sheet name="1.d) Uncertainty" sheetId="13" r:id="rId6"/>
    <sheet name="1.e) Market crash" sheetId="6" r:id="rId7"/>
    <sheet name="1.f) Rho hedging " sheetId="7" r:id="rId8"/>
    <sheet name="2.a) Frequency" sheetId="8" r:id="rId9"/>
    <sheet name="2.b) Dynamics" sheetId="9" r:id="rId10"/>
    <sheet name="2.c) Transaction costs" sheetId="10" r:id="rId11"/>
    <sheet name="2.d) 80% gamma hedging" sheetId="11" r:id="rId12"/>
    <sheet name="2.e) Gamma-Vega Hedge" sheetId="16" r:id="rId13"/>
  </sheets>
  <functionGroups builtInGroupCount="19"/>
  <definedNames>
    <definedName name="_xlchart.v1.0" hidden="1">'1.d) Uncertainty'!$C$91:$AF$91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9" l="1"/>
  <c r="E2" i="9"/>
  <c r="D2" i="7"/>
  <c r="F2" i="7"/>
  <c r="B9" i="16"/>
  <c r="D2" i="6" a="1"/>
  <c r="D2" i="10" a="1"/>
  <c r="D2" i="16" a="1"/>
  <c r="D2" i="5" a="1"/>
  <c r="M2" i="8" a="1"/>
  <c r="D2" i="11" a="1"/>
  <c r="D2" i="8" a="1"/>
  <c r="D2" i="4" a="1"/>
  <c r="M2" i="9" a="1"/>
  <c r="K722" i="7"/>
  <c r="D2" i="9" a="1"/>
  <c r="E2" i="7" a="1"/>
  <c r="D2" i="3" a="1"/>
  <c r="D14" i="5" l="1"/>
  <c r="D30" i="5"/>
  <c r="D46" i="5"/>
  <c r="D62" i="5"/>
  <c r="D78" i="5"/>
  <c r="E11" i="5"/>
  <c r="E59" i="5"/>
  <c r="D24" i="5"/>
  <c r="D76" i="5"/>
  <c r="D73" i="5"/>
  <c r="E10" i="5"/>
  <c r="E26" i="5"/>
  <c r="E42" i="5"/>
  <c r="E58" i="5"/>
  <c r="E74" i="5"/>
  <c r="E90" i="5"/>
  <c r="E43" i="5"/>
  <c r="E91" i="5"/>
  <c r="D40" i="5"/>
  <c r="D84" i="5"/>
  <c r="E5" i="5"/>
  <c r="E61" i="5"/>
  <c r="D7" i="5"/>
  <c r="D23" i="5"/>
  <c r="D39" i="5"/>
  <c r="D55" i="5"/>
  <c r="D71" i="5"/>
  <c r="D87" i="5"/>
  <c r="E27" i="5"/>
  <c r="E75" i="5"/>
  <c r="D28" i="5"/>
  <c r="D80" i="5"/>
  <c r="D77" i="5"/>
  <c r="E41" i="5"/>
  <c r="E89" i="5"/>
  <c r="E16" i="5"/>
  <c r="E32" i="5"/>
  <c r="E48" i="5"/>
  <c r="E64" i="5"/>
  <c r="E80" i="5"/>
  <c r="D9" i="5"/>
  <c r="D25" i="5"/>
  <c r="D69" i="5"/>
  <c r="E29" i="5"/>
  <c r="E77" i="5"/>
  <c r="D6" i="5"/>
  <c r="D22" i="5"/>
  <c r="D38" i="5"/>
  <c r="D54" i="5"/>
  <c r="D70" i="5"/>
  <c r="D86" i="5"/>
  <c r="E35" i="5"/>
  <c r="E83" i="5"/>
  <c r="D48" i="5"/>
  <c r="D37" i="5"/>
  <c r="E2" i="5"/>
  <c r="E18" i="5"/>
  <c r="E34" i="5"/>
  <c r="E50" i="5"/>
  <c r="E66" i="5"/>
  <c r="E82" i="5"/>
  <c r="E19" i="5"/>
  <c r="E67" i="5"/>
  <c r="D20" i="5"/>
  <c r="D60" i="5"/>
  <c r="D65" i="5"/>
  <c r="E37" i="5"/>
  <c r="E85" i="5"/>
  <c r="D15" i="5"/>
  <c r="D31" i="5"/>
  <c r="D47" i="5"/>
  <c r="D63" i="5"/>
  <c r="D79" i="5"/>
  <c r="E3" i="5"/>
  <c r="E51" i="5"/>
  <c r="D4" i="5"/>
  <c r="D56" i="5"/>
  <c r="D49" i="5"/>
  <c r="E21" i="5"/>
  <c r="E69" i="5"/>
  <c r="E8" i="5"/>
  <c r="E24" i="5"/>
  <c r="E40" i="5"/>
  <c r="E56" i="5"/>
  <c r="E72" i="5"/>
  <c r="E88" i="5"/>
  <c r="D17" i="5"/>
  <c r="D41" i="5"/>
  <c r="E9" i="5"/>
  <c r="E57" i="5"/>
  <c r="D18" i="5"/>
  <c r="D50" i="5"/>
  <c r="D82" i="5"/>
  <c r="E71" i="5"/>
  <c r="D88" i="5"/>
  <c r="E14" i="5"/>
  <c r="E46" i="5"/>
  <c r="E78" i="5"/>
  <c r="E55" i="5"/>
  <c r="D52" i="5"/>
  <c r="E25" i="5"/>
  <c r="D11" i="5"/>
  <c r="D43" i="5"/>
  <c r="D75" i="5"/>
  <c r="E39" i="5"/>
  <c r="D44" i="5"/>
  <c r="E13" i="5"/>
  <c r="E4" i="5"/>
  <c r="E36" i="5"/>
  <c r="E68" i="5"/>
  <c r="D13" i="5"/>
  <c r="D85" i="5"/>
  <c r="D26" i="5"/>
  <c r="D58" i="5"/>
  <c r="D90" i="5"/>
  <c r="D12" i="5"/>
  <c r="D57" i="5"/>
  <c r="E22" i="5"/>
  <c r="E54" i="5"/>
  <c r="E86" i="5"/>
  <c r="E79" i="5"/>
  <c r="D72" i="5"/>
  <c r="E49" i="5"/>
  <c r="D19" i="5"/>
  <c r="D51" i="5"/>
  <c r="D83" i="5"/>
  <c r="E63" i="5"/>
  <c r="D68" i="5"/>
  <c r="E33" i="5"/>
  <c r="E12" i="5"/>
  <c r="E44" i="5"/>
  <c r="E76" i="5"/>
  <c r="D21" i="5"/>
  <c r="E17" i="5"/>
  <c r="D2" i="5"/>
  <c r="D34" i="5"/>
  <c r="D66" i="5"/>
  <c r="E23" i="5"/>
  <c r="D36" i="5"/>
  <c r="D89" i="5"/>
  <c r="E30" i="5"/>
  <c r="E62" i="5"/>
  <c r="E7" i="5"/>
  <c r="D8" i="5"/>
  <c r="D45" i="5"/>
  <c r="E73" i="5"/>
  <c r="D27" i="5"/>
  <c r="D59" i="5"/>
  <c r="D91" i="5"/>
  <c r="E87" i="5"/>
  <c r="D33" i="5"/>
  <c r="E53" i="5"/>
  <c r="E20" i="5"/>
  <c r="E52" i="5"/>
  <c r="E84" i="5"/>
  <c r="D29" i="5"/>
  <c r="E45" i="5"/>
  <c r="E47" i="5"/>
  <c r="E70" i="5"/>
  <c r="D3" i="5"/>
  <c r="D16" i="5"/>
  <c r="E60" i="5"/>
  <c r="D10" i="5"/>
  <c r="D64" i="5"/>
  <c r="E31" i="5"/>
  <c r="D35" i="5"/>
  <c r="D61" i="5"/>
  <c r="D5" i="5"/>
  <c r="D42" i="5"/>
  <c r="E6" i="5"/>
  <c r="D32" i="5"/>
  <c r="D67" i="5"/>
  <c r="E81" i="5"/>
  <c r="D53" i="5"/>
  <c r="D74" i="5"/>
  <c r="E38" i="5"/>
  <c r="D81" i="5"/>
  <c r="E15" i="5"/>
  <c r="E28" i="5"/>
  <c r="E65" i="5"/>
  <c r="D34" i="16"/>
  <c r="E14" i="16"/>
  <c r="D3" i="16"/>
  <c r="D19" i="16"/>
  <c r="D35" i="16"/>
  <c r="D51" i="16"/>
  <c r="D67" i="16"/>
  <c r="D83" i="16"/>
  <c r="D12" i="16"/>
  <c r="D44" i="16"/>
  <c r="D76" i="16"/>
  <c r="D6" i="16"/>
  <c r="D90" i="16"/>
  <c r="E66" i="16"/>
  <c r="E11" i="16"/>
  <c r="E27" i="16"/>
  <c r="E43" i="16"/>
  <c r="E59" i="16"/>
  <c r="E75" i="16"/>
  <c r="E91" i="16"/>
  <c r="D32" i="16"/>
  <c r="D64" i="16"/>
  <c r="D14" i="16"/>
  <c r="D86" i="16"/>
  <c r="E70" i="16"/>
  <c r="E12" i="16"/>
  <c r="E28" i="16"/>
  <c r="E44" i="16"/>
  <c r="E60" i="16"/>
  <c r="E76" i="16"/>
  <c r="E57" i="16"/>
  <c r="D38" i="16"/>
  <c r="E38" i="16"/>
  <c r="D9" i="16"/>
  <c r="E69" i="16"/>
  <c r="D70" i="16"/>
  <c r="E50" i="16"/>
  <c r="D11" i="16"/>
  <c r="D27" i="16"/>
  <c r="D43" i="16"/>
  <c r="D59" i="16"/>
  <c r="D75" i="16"/>
  <c r="D91" i="16"/>
  <c r="D28" i="16"/>
  <c r="D60" i="16"/>
  <c r="D88" i="16"/>
  <c r="D42" i="16"/>
  <c r="E26" i="16"/>
  <c r="E3" i="16"/>
  <c r="E19" i="16"/>
  <c r="E35" i="16"/>
  <c r="E51" i="16"/>
  <c r="E67" i="16"/>
  <c r="E83" i="16"/>
  <c r="D16" i="16"/>
  <c r="D48" i="16"/>
  <c r="D84" i="16"/>
  <c r="D46" i="16"/>
  <c r="E34" i="16"/>
  <c r="E4" i="16"/>
  <c r="E20" i="16"/>
  <c r="E36" i="16"/>
  <c r="E52" i="16"/>
  <c r="E68" i="16"/>
  <c r="E84" i="16"/>
  <c r="E89" i="16"/>
  <c r="D78" i="16"/>
  <c r="E78" i="16"/>
  <c r="D17" i="16"/>
  <c r="E49" i="16"/>
  <c r="E30" i="16"/>
  <c r="D23" i="16"/>
  <c r="D55" i="16"/>
  <c r="D87" i="16"/>
  <c r="D52" i="16"/>
  <c r="D26" i="16"/>
  <c r="E90" i="16"/>
  <c r="E31" i="16"/>
  <c r="E63" i="16"/>
  <c r="D8" i="16"/>
  <c r="D72" i="16"/>
  <c r="E18" i="16"/>
  <c r="E16" i="16"/>
  <c r="E48" i="16"/>
  <c r="E80" i="16"/>
  <c r="D58" i="16"/>
  <c r="D13" i="16"/>
  <c r="D33" i="16"/>
  <c r="D49" i="16"/>
  <c r="D65" i="16"/>
  <c r="D81" i="16"/>
  <c r="E9" i="16"/>
  <c r="E25" i="16"/>
  <c r="E41" i="16"/>
  <c r="E65" i="16"/>
  <c r="D50" i="16"/>
  <c r="E42" i="16"/>
  <c r="D10" i="16"/>
  <c r="E74" i="16"/>
  <c r="D31" i="16"/>
  <c r="D63" i="16"/>
  <c r="D4" i="16"/>
  <c r="D68" i="16"/>
  <c r="D66" i="16"/>
  <c r="E7" i="16"/>
  <c r="E39" i="16"/>
  <c r="E71" i="16"/>
  <c r="D24" i="16"/>
  <c r="E81" i="16"/>
  <c r="E54" i="16"/>
  <c r="E24" i="16"/>
  <c r="E56" i="16"/>
  <c r="E88" i="16"/>
  <c r="E10" i="16"/>
  <c r="D21" i="16"/>
  <c r="D37" i="16"/>
  <c r="D53" i="16"/>
  <c r="D69" i="16"/>
  <c r="D85" i="16"/>
  <c r="E13" i="16"/>
  <c r="E29" i="16"/>
  <c r="E45" i="16"/>
  <c r="E77" i="16"/>
  <c r="D74" i="16"/>
  <c r="E62" i="16"/>
  <c r="D54" i="16"/>
  <c r="D7" i="16"/>
  <c r="D39" i="16"/>
  <c r="D71" i="16"/>
  <c r="D20" i="16"/>
  <c r="D80" i="16"/>
  <c r="E6" i="16"/>
  <c r="E15" i="16"/>
  <c r="E47" i="16"/>
  <c r="E79" i="16"/>
  <c r="D40" i="16"/>
  <c r="D30" i="16"/>
  <c r="E86" i="16"/>
  <c r="E32" i="16"/>
  <c r="E64" i="16"/>
  <c r="E73" i="16"/>
  <c r="E58" i="16"/>
  <c r="D25" i="16"/>
  <c r="D41" i="16"/>
  <c r="D57" i="16"/>
  <c r="D73" i="16"/>
  <c r="D89" i="16"/>
  <c r="E17" i="16"/>
  <c r="E33" i="16"/>
  <c r="E53" i="16"/>
  <c r="D2" i="16"/>
  <c r="E2" i="16"/>
  <c r="E82" i="16"/>
  <c r="D82" i="16"/>
  <c r="D36" i="16"/>
  <c r="E55" i="16"/>
  <c r="E8" i="16"/>
  <c r="D5" i="16"/>
  <c r="D77" i="16"/>
  <c r="E61" i="16"/>
  <c r="D15" i="16"/>
  <c r="E85" i="16"/>
  <c r="E87" i="16"/>
  <c r="E40" i="16"/>
  <c r="D29" i="16"/>
  <c r="E5" i="16"/>
  <c r="D22" i="16"/>
  <c r="D47" i="16"/>
  <c r="E46" i="16"/>
  <c r="D56" i="16"/>
  <c r="E72" i="16"/>
  <c r="D45" i="16"/>
  <c r="E21" i="16"/>
  <c r="E22" i="16"/>
  <c r="D79" i="16"/>
  <c r="E23" i="16"/>
  <c r="D62" i="16"/>
  <c r="D18" i="16"/>
  <c r="D61" i="16"/>
  <c r="E37" i="16"/>
  <c r="E17" i="10"/>
  <c r="E33" i="10"/>
  <c r="E49" i="10"/>
  <c r="E73" i="10"/>
  <c r="D14" i="10"/>
  <c r="D50" i="10"/>
  <c r="D90" i="10"/>
  <c r="D7" i="10"/>
  <c r="D23" i="10"/>
  <c r="D39" i="10"/>
  <c r="D55" i="10"/>
  <c r="D71" i="10"/>
  <c r="D87" i="10"/>
  <c r="E11" i="10"/>
  <c r="E27" i="10"/>
  <c r="E43" i="10"/>
  <c r="E59" i="10"/>
  <c r="E75" i="10"/>
  <c r="E91" i="10"/>
  <c r="D16" i="10"/>
  <c r="D32" i="10"/>
  <c r="D48" i="10"/>
  <c r="D64" i="10"/>
  <c r="D80" i="10"/>
  <c r="E12" i="10"/>
  <c r="E32" i="10"/>
  <c r="E60" i="10"/>
  <c r="E84" i="10"/>
  <c r="E8" i="10"/>
  <c r="E56" i="10"/>
  <c r="E14" i="10"/>
  <c r="D13" i="10"/>
  <c r="D29" i="10"/>
  <c r="D45" i="10"/>
  <c r="D61" i="10"/>
  <c r="D77" i="10"/>
  <c r="E53" i="10"/>
  <c r="D2" i="10"/>
  <c r="D34" i="10"/>
  <c r="D62" i="10"/>
  <c r="E18" i="10"/>
  <c r="E78" i="10"/>
  <c r="E70" i="10"/>
  <c r="E58" i="10"/>
  <c r="E38" i="10"/>
  <c r="E5" i="10"/>
  <c r="E21" i="10"/>
  <c r="E37" i="10"/>
  <c r="E57" i="10"/>
  <c r="E81" i="10"/>
  <c r="D22" i="10"/>
  <c r="D58" i="10"/>
  <c r="E10" i="10"/>
  <c r="D11" i="10"/>
  <c r="D27" i="10"/>
  <c r="D43" i="10"/>
  <c r="D59" i="10"/>
  <c r="D75" i="10"/>
  <c r="D91" i="10"/>
  <c r="E15" i="10"/>
  <c r="E31" i="10"/>
  <c r="E47" i="10"/>
  <c r="E63" i="10"/>
  <c r="E79" i="10"/>
  <c r="D4" i="10"/>
  <c r="D20" i="10"/>
  <c r="D36" i="10"/>
  <c r="D52" i="10"/>
  <c r="D68" i="10"/>
  <c r="D84" i="10"/>
  <c r="E16" i="10"/>
  <c r="E36" i="10"/>
  <c r="E68" i="10"/>
  <c r="E88" i="10"/>
  <c r="E28" i="10"/>
  <c r="E64" i="10"/>
  <c r="E22" i="10"/>
  <c r="D17" i="10"/>
  <c r="E9" i="10"/>
  <c r="E25" i="10"/>
  <c r="E41" i="10"/>
  <c r="E61" i="10"/>
  <c r="E89" i="10"/>
  <c r="D30" i="10"/>
  <c r="D66" i="10"/>
  <c r="E26" i="10"/>
  <c r="D15" i="10"/>
  <c r="D31" i="10"/>
  <c r="D47" i="10"/>
  <c r="D63" i="10"/>
  <c r="D79" i="10"/>
  <c r="E3" i="10"/>
  <c r="E19" i="10"/>
  <c r="E35" i="10"/>
  <c r="E51" i="10"/>
  <c r="E67" i="10"/>
  <c r="E83" i="10"/>
  <c r="D8" i="10"/>
  <c r="D24" i="10"/>
  <c r="D40" i="10"/>
  <c r="D56" i="10"/>
  <c r="D72" i="10"/>
  <c r="D88" i="10"/>
  <c r="E20" i="10"/>
  <c r="E44" i="10"/>
  <c r="E72" i="10"/>
  <c r="D70" i="10"/>
  <c r="E40" i="10"/>
  <c r="E80" i="10"/>
  <c r="D5" i="10"/>
  <c r="D21" i="10"/>
  <c r="D37" i="10"/>
  <c r="D53" i="10"/>
  <c r="D69" i="10"/>
  <c r="D85" i="10"/>
  <c r="E77" i="10"/>
  <c r="D18" i="10"/>
  <c r="D46" i="10"/>
  <c r="D86" i="10"/>
  <c r="E74" i="10"/>
  <c r="E62" i="10"/>
  <c r="E54" i="10"/>
  <c r="E30" i="10"/>
  <c r="E65" i="10"/>
  <c r="D3" i="10"/>
  <c r="D67" i="10"/>
  <c r="E39" i="10"/>
  <c r="D12" i="10"/>
  <c r="D76" i="10"/>
  <c r="E76" i="10"/>
  <c r="D9" i="10"/>
  <c r="D49" i="10"/>
  <c r="D81" i="10"/>
  <c r="D10" i="10"/>
  <c r="D74" i="10"/>
  <c r="E82" i="10"/>
  <c r="E90" i="10"/>
  <c r="E13" i="10"/>
  <c r="D6" i="10"/>
  <c r="D19" i="10"/>
  <c r="D83" i="10"/>
  <c r="E55" i="10"/>
  <c r="D28" i="10"/>
  <c r="E4" i="10"/>
  <c r="E2" i="10"/>
  <c r="D25" i="10"/>
  <c r="D57" i="10"/>
  <c r="D89" i="10"/>
  <c r="D26" i="10"/>
  <c r="E6" i="10"/>
  <c r="E66" i="10"/>
  <c r="E34" i="10"/>
  <c r="E29" i="10"/>
  <c r="D42" i="10"/>
  <c r="D35" i="10"/>
  <c r="E7" i="10"/>
  <c r="E71" i="10"/>
  <c r="D44" i="10"/>
  <c r="E24" i="10"/>
  <c r="E48" i="10"/>
  <c r="D33" i="10"/>
  <c r="D65" i="10"/>
  <c r="E69" i="10"/>
  <c r="D38" i="10"/>
  <c r="E42" i="10"/>
  <c r="E50" i="10"/>
  <c r="D82" i="10"/>
  <c r="D60" i="10"/>
  <c r="D73" i="10"/>
  <c r="E86" i="10"/>
  <c r="D51" i="10"/>
  <c r="E52" i="10"/>
  <c r="E85" i="10"/>
  <c r="E23" i="10"/>
  <c r="D78" i="10"/>
  <c r="D54" i="10"/>
  <c r="E45" i="10"/>
  <c r="E87" i="10"/>
  <c r="D41" i="10"/>
  <c r="E46" i="10"/>
  <c r="D15" i="6"/>
  <c r="D31" i="6"/>
  <c r="D47" i="6"/>
  <c r="D63" i="6"/>
  <c r="D79" i="6"/>
  <c r="E3" i="6"/>
  <c r="E19" i="6"/>
  <c r="E35" i="6"/>
  <c r="E51" i="6"/>
  <c r="E67" i="6"/>
  <c r="E83" i="6"/>
  <c r="D8" i="6"/>
  <c r="D24" i="6"/>
  <c r="D40" i="6"/>
  <c r="D56" i="6"/>
  <c r="D72" i="6"/>
  <c r="D88" i="6"/>
  <c r="E16" i="6"/>
  <c r="E32" i="6"/>
  <c r="E48" i="6"/>
  <c r="E64" i="6"/>
  <c r="D13" i="6"/>
  <c r="D29" i="6"/>
  <c r="D45" i="6"/>
  <c r="D61" i="6"/>
  <c r="D77" i="6"/>
  <c r="E5" i="6"/>
  <c r="E37" i="6"/>
  <c r="E77" i="6"/>
  <c r="E90" i="6"/>
  <c r="E17" i="6"/>
  <c r="E58" i="6"/>
  <c r="E62" i="6"/>
  <c r="E84" i="6"/>
  <c r="E38" i="6"/>
  <c r="E78" i="6"/>
  <c r="D30" i="6"/>
  <c r="E72" i="6"/>
  <c r="E21" i="6"/>
  <c r="E82" i="6"/>
  <c r="D22" i="6"/>
  <c r="E65" i="6"/>
  <c r="E13" i="6"/>
  <c r="E54" i="6"/>
  <c r="E66" i="6"/>
  <c r="D3" i="6"/>
  <c r="D19" i="6"/>
  <c r="D35" i="6"/>
  <c r="D51" i="6"/>
  <c r="D67" i="6"/>
  <c r="D83" i="6"/>
  <c r="E7" i="6"/>
  <c r="E23" i="6"/>
  <c r="E39" i="6"/>
  <c r="E55" i="6"/>
  <c r="E71" i="6"/>
  <c r="E87" i="6"/>
  <c r="D12" i="6"/>
  <c r="D28" i="6"/>
  <c r="D44" i="6"/>
  <c r="D60" i="6"/>
  <c r="D76" i="6"/>
  <c r="E4" i="6"/>
  <c r="E20" i="6"/>
  <c r="E36" i="6"/>
  <c r="E52" i="6"/>
  <c r="E68" i="6"/>
  <c r="D17" i="6"/>
  <c r="D33" i="6"/>
  <c r="D49" i="6"/>
  <c r="D65" i="6"/>
  <c r="D81" i="6"/>
  <c r="E2" i="6"/>
  <c r="E46" i="6"/>
  <c r="E85" i="6"/>
  <c r="E34" i="6"/>
  <c r="E26" i="6"/>
  <c r="D70" i="6"/>
  <c r="E89" i="6"/>
  <c r="E6" i="6"/>
  <c r="D50" i="6"/>
  <c r="E86" i="6"/>
  <c r="E41" i="6"/>
  <c r="E80" i="6"/>
  <c r="E30" i="6"/>
  <c r="D14" i="6"/>
  <c r="E33" i="6"/>
  <c r="D74" i="6"/>
  <c r="E22" i="6"/>
  <c r="D66" i="6"/>
  <c r="D7" i="6"/>
  <c r="D23" i="6"/>
  <c r="D39" i="6"/>
  <c r="D55" i="6"/>
  <c r="D71" i="6"/>
  <c r="D87" i="6"/>
  <c r="E11" i="6"/>
  <c r="E27" i="6"/>
  <c r="E43" i="6"/>
  <c r="E59" i="6"/>
  <c r="E75" i="6"/>
  <c r="E91" i="6"/>
  <c r="D16" i="6"/>
  <c r="D32" i="6"/>
  <c r="D48" i="6"/>
  <c r="D64" i="6"/>
  <c r="D80" i="6"/>
  <c r="E8" i="6"/>
  <c r="E24" i="6"/>
  <c r="E40" i="6"/>
  <c r="E56" i="6"/>
  <c r="D5" i="6"/>
  <c r="D21" i="6"/>
  <c r="D37" i="6"/>
  <c r="D53" i="6"/>
  <c r="D69" i="6"/>
  <c r="D85" i="6"/>
  <c r="E14" i="6"/>
  <c r="D58" i="6"/>
  <c r="D42" i="6"/>
  <c r="E76" i="6"/>
  <c r="D38" i="6"/>
  <c r="D78" i="6"/>
  <c r="D2" i="6"/>
  <c r="D18" i="6"/>
  <c r="E61" i="6"/>
  <c r="E9" i="6"/>
  <c r="E50" i="6"/>
  <c r="E88" i="6"/>
  <c r="E53" i="6"/>
  <c r="E57" i="6"/>
  <c r="E42" i="6"/>
  <c r="D82" i="6"/>
  <c r="D34" i="6"/>
  <c r="E74" i="6"/>
  <c r="D11" i="6"/>
  <c r="D75" i="6"/>
  <c r="E47" i="6"/>
  <c r="D20" i="6"/>
  <c r="D84" i="6"/>
  <c r="E60" i="6"/>
  <c r="D57" i="6"/>
  <c r="E69" i="6"/>
  <c r="D86" i="6"/>
  <c r="E18" i="6"/>
  <c r="E10" i="6"/>
  <c r="E25" i="6"/>
  <c r="D27" i="6"/>
  <c r="D91" i="6"/>
  <c r="E63" i="6"/>
  <c r="D36" i="6"/>
  <c r="E12" i="6"/>
  <c r="D9" i="6"/>
  <c r="D73" i="6"/>
  <c r="E81" i="6"/>
  <c r="D46" i="6"/>
  <c r="D62" i="6"/>
  <c r="D54" i="6"/>
  <c r="D43" i="6"/>
  <c r="E15" i="6"/>
  <c r="E79" i="6"/>
  <c r="D52" i="6"/>
  <c r="E28" i="6"/>
  <c r="D25" i="6"/>
  <c r="D89" i="6"/>
  <c r="D6" i="6"/>
  <c r="E29" i="6"/>
  <c r="D10" i="6"/>
  <c r="D90" i="6"/>
  <c r="D59" i="6"/>
  <c r="E44" i="6"/>
  <c r="E70" i="6"/>
  <c r="E31" i="6"/>
  <c r="D41" i="6"/>
  <c r="E73" i="6"/>
  <c r="D4" i="6"/>
  <c r="D26" i="6"/>
  <c r="E45" i="6"/>
  <c r="D68" i="6"/>
  <c r="E49" i="6"/>
  <c r="E5" i="11"/>
  <c r="E9" i="11"/>
  <c r="E13" i="11"/>
  <c r="E17" i="11"/>
  <c r="E21" i="11"/>
  <c r="E25" i="11"/>
  <c r="E29" i="11"/>
  <c r="E33" i="11"/>
  <c r="E37" i="11"/>
  <c r="E41" i="11"/>
  <c r="E45" i="11"/>
  <c r="E49" i="11"/>
  <c r="E53" i="11"/>
  <c r="E57" i="11"/>
  <c r="E61" i="11"/>
  <c r="E65" i="11"/>
  <c r="E69" i="11"/>
  <c r="E73" i="11"/>
  <c r="E77" i="11"/>
  <c r="E81" i="11"/>
  <c r="E85" i="11"/>
  <c r="E89" i="11"/>
  <c r="D2" i="11"/>
  <c r="D6" i="11"/>
  <c r="D10" i="11"/>
  <c r="D14" i="11"/>
  <c r="D18" i="11"/>
  <c r="D22" i="11"/>
  <c r="D26" i="11"/>
  <c r="D30" i="11"/>
  <c r="D34" i="11"/>
  <c r="D38" i="11"/>
  <c r="D42" i="11"/>
  <c r="D46" i="11"/>
  <c r="D50" i="11"/>
  <c r="D54" i="11"/>
  <c r="D58" i="11"/>
  <c r="D62" i="11"/>
  <c r="D66" i="11"/>
  <c r="D70" i="11"/>
  <c r="D74" i="11"/>
  <c r="D78" i="11"/>
  <c r="D82" i="11"/>
  <c r="D86" i="11"/>
  <c r="D90" i="11"/>
  <c r="E2" i="11"/>
  <c r="E6" i="11"/>
  <c r="E10" i="11"/>
  <c r="E14" i="11"/>
  <c r="E18" i="11"/>
  <c r="E22" i="11"/>
  <c r="E26" i="11"/>
  <c r="E30" i="11"/>
  <c r="E34" i="11"/>
  <c r="E38" i="11"/>
  <c r="E42" i="11"/>
  <c r="E46" i="11"/>
  <c r="E50" i="11"/>
  <c r="E54" i="11"/>
  <c r="E58" i="11"/>
  <c r="E62" i="11"/>
  <c r="E66" i="11"/>
  <c r="E70" i="11"/>
  <c r="E74" i="11"/>
  <c r="E78" i="11"/>
  <c r="E82" i="11"/>
  <c r="E86" i="11"/>
  <c r="E90" i="11"/>
  <c r="D3" i="11"/>
  <c r="D7" i="11"/>
  <c r="D11" i="11"/>
  <c r="D15" i="11"/>
  <c r="D19" i="11"/>
  <c r="D23" i="11"/>
  <c r="D27" i="11"/>
  <c r="D31" i="11"/>
  <c r="D35" i="11"/>
  <c r="D39" i="11"/>
  <c r="D43" i="11"/>
  <c r="D47" i="11"/>
  <c r="D51" i="11"/>
  <c r="D55" i="11"/>
  <c r="D59" i="11"/>
  <c r="D63" i="11"/>
  <c r="D67" i="11"/>
  <c r="D71" i="11"/>
  <c r="D75" i="11"/>
  <c r="D79" i="11"/>
  <c r="D83" i="11"/>
  <c r="D87" i="11"/>
  <c r="D91" i="11"/>
  <c r="E3" i="11"/>
  <c r="E7" i="11"/>
  <c r="E11" i="11"/>
  <c r="E15" i="11"/>
  <c r="E19" i="11"/>
  <c r="E23" i="11"/>
  <c r="E27" i="11"/>
  <c r="E31" i="11"/>
  <c r="E35" i="11"/>
  <c r="E39" i="11"/>
  <c r="E43" i="11"/>
  <c r="E47" i="11"/>
  <c r="E51" i="11"/>
  <c r="E55" i="11"/>
  <c r="E59" i="11"/>
  <c r="E63" i="11"/>
  <c r="E67" i="11"/>
  <c r="E71" i="11"/>
  <c r="E75" i="11"/>
  <c r="E79" i="11"/>
  <c r="E83" i="11"/>
  <c r="E87" i="11"/>
  <c r="E91" i="11"/>
  <c r="D4" i="11"/>
  <c r="D8" i="11"/>
  <c r="D12" i="11"/>
  <c r="D16" i="11"/>
  <c r="D20" i="11"/>
  <c r="D24" i="11"/>
  <c r="D28" i="11"/>
  <c r="D32" i="11"/>
  <c r="D36" i="11"/>
  <c r="D40" i="11"/>
  <c r="D44" i="11"/>
  <c r="D48" i="11"/>
  <c r="D52" i="11"/>
  <c r="D56" i="11"/>
  <c r="D60" i="11"/>
  <c r="D64" i="11"/>
  <c r="D68" i="11"/>
  <c r="D72" i="11"/>
  <c r="D76" i="11"/>
  <c r="D80" i="11"/>
  <c r="D84" i="11"/>
  <c r="D88" i="11"/>
  <c r="E4" i="11"/>
  <c r="E8" i="11"/>
  <c r="E12" i="11"/>
  <c r="E16" i="11"/>
  <c r="E20" i="11"/>
  <c r="E24" i="11"/>
  <c r="E28" i="11"/>
  <c r="E32" i="11"/>
  <c r="E36" i="11"/>
  <c r="E40" i="11"/>
  <c r="E44" i="11"/>
  <c r="E48" i="11"/>
  <c r="E52" i="11"/>
  <c r="E56" i="11"/>
  <c r="E60" i="11"/>
  <c r="E64" i="11"/>
  <c r="E68" i="11"/>
  <c r="E72" i="11"/>
  <c r="E76" i="11"/>
  <c r="E80" i="11"/>
  <c r="E84" i="11"/>
  <c r="E88" i="11"/>
  <c r="D5" i="11"/>
  <c r="D9" i="11"/>
  <c r="D13" i="11"/>
  <c r="D17" i="11"/>
  <c r="D21" i="11"/>
  <c r="D25" i="11"/>
  <c r="D29" i="11"/>
  <c r="D33" i="11"/>
  <c r="D37" i="11"/>
  <c r="D41" i="11"/>
  <c r="D45" i="11"/>
  <c r="D49" i="11"/>
  <c r="D53" i="11"/>
  <c r="D57" i="11"/>
  <c r="D61" i="11"/>
  <c r="D65" i="11"/>
  <c r="D69" i="11"/>
  <c r="D73" i="11"/>
  <c r="D77" i="11"/>
  <c r="D81" i="11"/>
  <c r="D85" i="11"/>
  <c r="D89" i="11"/>
  <c r="M9" i="9"/>
  <c r="M17" i="9"/>
  <c r="M25" i="9"/>
  <c r="M33" i="9"/>
  <c r="M41" i="9"/>
  <c r="M49" i="9"/>
  <c r="M57" i="9"/>
  <c r="M65" i="9"/>
  <c r="M73" i="9"/>
  <c r="M81" i="9"/>
  <c r="M89" i="9"/>
  <c r="M2" i="9"/>
  <c r="M10" i="9"/>
  <c r="M18" i="9"/>
  <c r="M26" i="9"/>
  <c r="M34" i="9"/>
  <c r="M42" i="9"/>
  <c r="M50" i="9"/>
  <c r="M58" i="9"/>
  <c r="M66" i="9"/>
  <c r="M74" i="9"/>
  <c r="M82" i="9"/>
  <c r="M90" i="9"/>
  <c r="M3" i="9"/>
  <c r="M11" i="9"/>
  <c r="M19" i="9"/>
  <c r="M27" i="9"/>
  <c r="M35" i="9"/>
  <c r="M43" i="9"/>
  <c r="M51" i="9"/>
  <c r="M59" i="9"/>
  <c r="M67" i="9"/>
  <c r="M75" i="9"/>
  <c r="M83" i="9"/>
  <c r="M91" i="9"/>
  <c r="M4" i="9"/>
  <c r="M12" i="9"/>
  <c r="M20" i="9"/>
  <c r="M28" i="9"/>
  <c r="M36" i="9"/>
  <c r="M44" i="9"/>
  <c r="M52" i="9"/>
  <c r="M60" i="9"/>
  <c r="M68" i="9"/>
  <c r="M76" i="9"/>
  <c r="M84" i="9"/>
  <c r="M5" i="9"/>
  <c r="M13" i="9"/>
  <c r="M21" i="9"/>
  <c r="M29" i="9"/>
  <c r="M37" i="9"/>
  <c r="M45" i="9"/>
  <c r="M53" i="9"/>
  <c r="M61" i="9"/>
  <c r="M69" i="9"/>
  <c r="M77" i="9"/>
  <c r="M85" i="9"/>
  <c r="M6" i="9"/>
  <c r="M14" i="9"/>
  <c r="M22" i="9"/>
  <c r="M30" i="9"/>
  <c r="M38" i="9"/>
  <c r="M46" i="9"/>
  <c r="M54" i="9"/>
  <c r="M62" i="9"/>
  <c r="M70" i="9"/>
  <c r="M78" i="9"/>
  <c r="M86" i="9"/>
  <c r="M7" i="9"/>
  <c r="M15" i="9"/>
  <c r="M23" i="9"/>
  <c r="M31" i="9"/>
  <c r="M39" i="9"/>
  <c r="M47" i="9"/>
  <c r="M55" i="9"/>
  <c r="M63" i="9"/>
  <c r="M71" i="9"/>
  <c r="M79" i="9"/>
  <c r="M87" i="9"/>
  <c r="M8" i="9"/>
  <c r="M16" i="9"/>
  <c r="M24" i="9"/>
  <c r="M32" i="9"/>
  <c r="M40" i="9"/>
  <c r="M48" i="9"/>
  <c r="M56" i="9"/>
  <c r="M64" i="9"/>
  <c r="M72" i="9"/>
  <c r="M80" i="9"/>
  <c r="M88" i="9"/>
  <c r="D9" i="9"/>
  <c r="D17" i="9"/>
  <c r="D25" i="9"/>
  <c r="D33" i="9"/>
  <c r="D41" i="9"/>
  <c r="D49" i="9"/>
  <c r="D57" i="9"/>
  <c r="D65" i="9"/>
  <c r="D73" i="9"/>
  <c r="D81" i="9"/>
  <c r="D89" i="9"/>
  <c r="D2" i="9"/>
  <c r="D10" i="9"/>
  <c r="D18" i="9"/>
  <c r="D26" i="9"/>
  <c r="D34" i="9"/>
  <c r="D42" i="9"/>
  <c r="D50" i="9"/>
  <c r="D58" i="9"/>
  <c r="D66" i="9"/>
  <c r="D74" i="9"/>
  <c r="D82" i="9"/>
  <c r="D90" i="9"/>
  <c r="D3" i="9"/>
  <c r="D11" i="9"/>
  <c r="D19" i="9"/>
  <c r="D27" i="9"/>
  <c r="D35" i="9"/>
  <c r="D43" i="9"/>
  <c r="D51" i="9"/>
  <c r="D59" i="9"/>
  <c r="D67" i="9"/>
  <c r="D75" i="9"/>
  <c r="D83" i="9"/>
  <c r="D91" i="9"/>
  <c r="D4" i="9"/>
  <c r="D12" i="9"/>
  <c r="D20" i="9"/>
  <c r="D28" i="9"/>
  <c r="D36" i="9"/>
  <c r="D44" i="9"/>
  <c r="D52" i="9"/>
  <c r="D60" i="9"/>
  <c r="D68" i="9"/>
  <c r="D76" i="9"/>
  <c r="D84" i="9"/>
  <c r="D5" i="9"/>
  <c r="D13" i="9"/>
  <c r="D21" i="9"/>
  <c r="D29" i="9"/>
  <c r="D37" i="9"/>
  <c r="D45" i="9"/>
  <c r="D53" i="9"/>
  <c r="D61" i="9"/>
  <c r="D69" i="9"/>
  <c r="D77" i="9"/>
  <c r="D85" i="9"/>
  <c r="D6" i="9"/>
  <c r="D14" i="9"/>
  <c r="D22" i="9"/>
  <c r="D30" i="9"/>
  <c r="D38" i="9"/>
  <c r="D46" i="9"/>
  <c r="D54" i="9"/>
  <c r="D62" i="9"/>
  <c r="D70" i="9"/>
  <c r="D78" i="9"/>
  <c r="D86" i="9"/>
  <c r="D7" i="9"/>
  <c r="D15" i="9"/>
  <c r="D23" i="9"/>
  <c r="D31" i="9"/>
  <c r="D39" i="9"/>
  <c r="D47" i="9"/>
  <c r="D55" i="9"/>
  <c r="D63" i="9"/>
  <c r="D71" i="9"/>
  <c r="D79" i="9"/>
  <c r="D87" i="9"/>
  <c r="D8" i="9"/>
  <c r="D16" i="9"/>
  <c r="D24" i="9"/>
  <c r="D32" i="9"/>
  <c r="D40" i="9"/>
  <c r="D48" i="9"/>
  <c r="D56" i="9"/>
  <c r="D64" i="9"/>
  <c r="D72" i="9"/>
  <c r="D80" i="9"/>
  <c r="D88" i="9"/>
  <c r="N5" i="8"/>
  <c r="N9" i="8"/>
  <c r="N13" i="8"/>
  <c r="N17" i="8"/>
  <c r="N21" i="8"/>
  <c r="N25" i="8"/>
  <c r="N29" i="8"/>
  <c r="N33" i="8"/>
  <c r="N37" i="8"/>
  <c r="N41" i="8"/>
  <c r="N45" i="8"/>
  <c r="N49" i="8"/>
  <c r="N53" i="8"/>
  <c r="N57" i="8"/>
  <c r="N61" i="8"/>
  <c r="N65" i="8"/>
  <c r="N69" i="8"/>
  <c r="N73" i="8"/>
  <c r="N2" i="8"/>
  <c r="M3" i="8"/>
  <c r="M7" i="8"/>
  <c r="M11" i="8"/>
  <c r="M15" i="8"/>
  <c r="M19" i="8"/>
  <c r="M23" i="8"/>
  <c r="M27" i="8"/>
  <c r="M31" i="8"/>
  <c r="M35" i="8"/>
  <c r="M39" i="8"/>
  <c r="M43" i="8"/>
  <c r="M47" i="8"/>
  <c r="M51" i="8"/>
  <c r="M55" i="8"/>
  <c r="M59" i="8"/>
  <c r="M63" i="8"/>
  <c r="M67" i="8"/>
  <c r="M71" i="8"/>
  <c r="M75" i="8"/>
  <c r="M79" i="8"/>
  <c r="M83" i="8"/>
  <c r="M87" i="8"/>
  <c r="M91" i="8"/>
  <c r="M95" i="8"/>
  <c r="M99" i="8"/>
  <c r="M103" i="8"/>
  <c r="M107" i="8"/>
  <c r="M111" i="8"/>
  <c r="M115" i="8"/>
  <c r="M119" i="8"/>
  <c r="M123" i="8"/>
  <c r="M127" i="8"/>
  <c r="M131" i="8"/>
  <c r="M135" i="8"/>
  <c r="M139" i="8"/>
  <c r="M143" i="8"/>
  <c r="M147" i="8"/>
  <c r="M151" i="8"/>
  <c r="M155" i="8"/>
  <c r="M159" i="8"/>
  <c r="M163" i="8"/>
  <c r="M167" i="8"/>
  <c r="M171" i="8"/>
  <c r="M175" i="8"/>
  <c r="M179" i="8"/>
  <c r="N3" i="8"/>
  <c r="N7" i="8"/>
  <c r="N11" i="8"/>
  <c r="N15" i="8"/>
  <c r="N19" i="8"/>
  <c r="N23" i="8"/>
  <c r="N27" i="8"/>
  <c r="N31" i="8"/>
  <c r="N35" i="8"/>
  <c r="N39" i="8"/>
  <c r="N43" i="8"/>
  <c r="N47" i="8"/>
  <c r="N51" i="8"/>
  <c r="N55" i="8"/>
  <c r="N59" i="8"/>
  <c r="N63" i="8"/>
  <c r="N67" i="8"/>
  <c r="N71" i="8"/>
  <c r="N75" i="8"/>
  <c r="N79" i="8"/>
  <c r="N83" i="8"/>
  <c r="N87" i="8"/>
  <c r="N91" i="8"/>
  <c r="N95" i="8"/>
  <c r="N99" i="8"/>
  <c r="N103" i="8"/>
  <c r="N107" i="8"/>
  <c r="N111" i="8"/>
  <c r="N115" i="8"/>
  <c r="N119" i="8"/>
  <c r="N123" i="8"/>
  <c r="N127" i="8"/>
  <c r="N131" i="8"/>
  <c r="N135" i="8"/>
  <c r="N139" i="8"/>
  <c r="N143" i="8"/>
  <c r="N147" i="8"/>
  <c r="N151" i="8"/>
  <c r="N155" i="8"/>
  <c r="N159" i="8"/>
  <c r="N163" i="8"/>
  <c r="N167" i="8"/>
  <c r="N171" i="8"/>
  <c r="N175" i="8"/>
  <c r="N179" i="8"/>
  <c r="M5" i="8"/>
  <c r="M9" i="8"/>
  <c r="M13" i="8"/>
  <c r="M17" i="8"/>
  <c r="M21" i="8"/>
  <c r="M25" i="8"/>
  <c r="M29" i="8"/>
  <c r="M33" i="8"/>
  <c r="M37" i="8"/>
  <c r="M41" i="8"/>
  <c r="M45" i="8"/>
  <c r="M49" i="8"/>
  <c r="M53" i="8"/>
  <c r="M57" i="8"/>
  <c r="M61" i="8"/>
  <c r="M65" i="8"/>
  <c r="M69" i="8"/>
  <c r="M73" i="8"/>
  <c r="M77" i="8"/>
  <c r="M81" i="8"/>
  <c r="M85" i="8"/>
  <c r="M89" i="8"/>
  <c r="M93" i="8"/>
  <c r="M97" i="8"/>
  <c r="M101" i="8"/>
  <c r="M105" i="8"/>
  <c r="M109" i="8"/>
  <c r="M113" i="8"/>
  <c r="M117" i="8"/>
  <c r="M121" i="8"/>
  <c r="M125" i="8"/>
  <c r="M129" i="8"/>
  <c r="M133" i="8"/>
  <c r="M137" i="8"/>
  <c r="M141" i="8"/>
  <c r="M145" i="8"/>
  <c r="M149" i="8"/>
  <c r="M153" i="8"/>
  <c r="M157" i="8"/>
  <c r="M161" i="8"/>
  <c r="M165" i="8"/>
  <c r="M169" i="8"/>
  <c r="M173" i="8"/>
  <c r="M177" i="8"/>
  <c r="M181" i="8"/>
  <c r="M4" i="8"/>
  <c r="M12" i="8"/>
  <c r="M20" i="8"/>
  <c r="M28" i="8"/>
  <c r="M36" i="8"/>
  <c r="M44" i="8"/>
  <c r="M52" i="8"/>
  <c r="M60" i="8"/>
  <c r="M68" i="8"/>
  <c r="M76" i="8"/>
  <c r="M82" i="8"/>
  <c r="N88" i="8"/>
  <c r="N94" i="8"/>
  <c r="N101" i="8"/>
  <c r="M108" i="8"/>
  <c r="M114" i="8"/>
  <c r="N120" i="8"/>
  <c r="N126" i="8"/>
  <c r="N133" i="8"/>
  <c r="M140" i="8"/>
  <c r="M146" i="8"/>
  <c r="N152" i="8"/>
  <c r="N158" i="8"/>
  <c r="N165" i="8"/>
  <c r="M172" i="8"/>
  <c r="M178" i="8"/>
  <c r="N4" i="8"/>
  <c r="N12" i="8"/>
  <c r="N20" i="8"/>
  <c r="N28" i="8"/>
  <c r="N36" i="8"/>
  <c r="N44" i="8"/>
  <c r="N52" i="8"/>
  <c r="N60" i="8"/>
  <c r="N68" i="8"/>
  <c r="N76" i="8"/>
  <c r="N82" i="8"/>
  <c r="N89" i="8"/>
  <c r="M96" i="8"/>
  <c r="M102" i="8"/>
  <c r="N108" i="8"/>
  <c r="N114" i="8"/>
  <c r="N121" i="8"/>
  <c r="M128" i="8"/>
  <c r="M134" i="8"/>
  <c r="N140" i="8"/>
  <c r="N146" i="8"/>
  <c r="N153" i="8"/>
  <c r="M160" i="8"/>
  <c r="M166" i="8"/>
  <c r="N172" i="8"/>
  <c r="N178" i="8"/>
  <c r="M6" i="8"/>
  <c r="M14" i="8"/>
  <c r="M22" i="8"/>
  <c r="M30" i="8"/>
  <c r="M38" i="8"/>
  <c r="M46" i="8"/>
  <c r="M54" i="8"/>
  <c r="M62" i="8"/>
  <c r="M70" i="8"/>
  <c r="N77" i="8"/>
  <c r="M84" i="8"/>
  <c r="M90" i="8"/>
  <c r="N96" i="8"/>
  <c r="N102" i="8"/>
  <c r="N109" i="8"/>
  <c r="M116" i="8"/>
  <c r="M122" i="8"/>
  <c r="N128" i="8"/>
  <c r="N134" i="8"/>
  <c r="N141" i="8"/>
  <c r="M148" i="8"/>
  <c r="M154" i="8"/>
  <c r="N160" i="8"/>
  <c r="N166" i="8"/>
  <c r="N173" i="8"/>
  <c r="M180" i="8"/>
  <c r="N6" i="8"/>
  <c r="N14" i="8"/>
  <c r="N22" i="8"/>
  <c r="N30" i="8"/>
  <c r="N38" i="8"/>
  <c r="N46" i="8"/>
  <c r="N54" i="8"/>
  <c r="N62" i="8"/>
  <c r="N70" i="8"/>
  <c r="M78" i="8"/>
  <c r="N84" i="8"/>
  <c r="N90" i="8"/>
  <c r="N97" i="8"/>
  <c r="M104" i="8"/>
  <c r="M110" i="8"/>
  <c r="N116" i="8"/>
  <c r="N122" i="8"/>
  <c r="N129" i="8"/>
  <c r="M136" i="8"/>
  <c r="M142" i="8"/>
  <c r="N148" i="8"/>
  <c r="N154" i="8"/>
  <c r="N161" i="8"/>
  <c r="M168" i="8"/>
  <c r="M174" i="8"/>
  <c r="N180" i="8"/>
  <c r="M8" i="8"/>
  <c r="M162" i="8"/>
  <c r="M16" i="8"/>
  <c r="M24" i="8"/>
  <c r="M32" i="8"/>
  <c r="M40" i="8"/>
  <c r="M48" i="8"/>
  <c r="M56" i="8"/>
  <c r="M64" i="8"/>
  <c r="M72" i="8"/>
  <c r="N78" i="8"/>
  <c r="N85" i="8"/>
  <c r="M92" i="8"/>
  <c r="M98" i="8"/>
  <c r="N104" i="8"/>
  <c r="N110" i="8"/>
  <c r="N117" i="8"/>
  <c r="M124" i="8"/>
  <c r="M130" i="8"/>
  <c r="N136" i="8"/>
  <c r="N142" i="8"/>
  <c r="N149" i="8"/>
  <c r="M156" i="8"/>
  <c r="N168" i="8"/>
  <c r="N174" i="8"/>
  <c r="N181" i="8"/>
  <c r="N8" i="8"/>
  <c r="N16" i="8"/>
  <c r="N24" i="8"/>
  <c r="N32" i="8"/>
  <c r="N40" i="8"/>
  <c r="N48" i="8"/>
  <c r="N56" i="8"/>
  <c r="N64" i="8"/>
  <c r="N72" i="8"/>
  <c r="M80" i="8"/>
  <c r="M86" i="8"/>
  <c r="N92" i="8"/>
  <c r="N98" i="8"/>
  <c r="N105" i="8"/>
  <c r="M112" i="8"/>
  <c r="M118" i="8"/>
  <c r="N124" i="8"/>
  <c r="N130" i="8"/>
  <c r="N137" i="8"/>
  <c r="M144" i="8"/>
  <c r="M150" i="8"/>
  <c r="N156" i="8"/>
  <c r="N162" i="8"/>
  <c r="N169" i="8"/>
  <c r="M176" i="8"/>
  <c r="M10" i="8"/>
  <c r="M18" i="8"/>
  <c r="M26" i="8"/>
  <c r="M34" i="8"/>
  <c r="M42" i="8"/>
  <c r="M50" i="8"/>
  <c r="M58" i="8"/>
  <c r="M66" i="8"/>
  <c r="M74" i="8"/>
  <c r="N80" i="8"/>
  <c r="N86" i="8"/>
  <c r="N93" i="8"/>
  <c r="M100" i="8"/>
  <c r="M106" i="8"/>
  <c r="N112" i="8"/>
  <c r="N118" i="8"/>
  <c r="N125" i="8"/>
  <c r="M132" i="8"/>
  <c r="M138" i="8"/>
  <c r="N144" i="8"/>
  <c r="N150" i="8"/>
  <c r="N157" i="8"/>
  <c r="M164" i="8"/>
  <c r="M170" i="8"/>
  <c r="N176" i="8"/>
  <c r="M2" i="8"/>
  <c r="N10" i="8"/>
  <c r="N18" i="8"/>
  <c r="N26" i="8"/>
  <c r="N34" i="8"/>
  <c r="N42" i="8"/>
  <c r="N50" i="8"/>
  <c r="N58" i="8"/>
  <c r="N66" i="8"/>
  <c r="N74" i="8"/>
  <c r="N81" i="8"/>
  <c r="M88" i="8"/>
  <c r="M94" i="8"/>
  <c r="N100" i="8"/>
  <c r="N106" i="8"/>
  <c r="N113" i="8"/>
  <c r="M120" i="8"/>
  <c r="M126" i="8"/>
  <c r="N132" i="8"/>
  <c r="N138" i="8"/>
  <c r="N145" i="8"/>
  <c r="M152" i="8"/>
  <c r="M158" i="8"/>
  <c r="N164" i="8"/>
  <c r="N170" i="8"/>
  <c r="N177" i="8"/>
  <c r="E5" i="8"/>
  <c r="E9" i="8"/>
  <c r="E13" i="8"/>
  <c r="E17" i="8"/>
  <c r="E21" i="8"/>
  <c r="E25" i="8"/>
  <c r="E29" i="8"/>
  <c r="E33" i="8"/>
  <c r="E37" i="8"/>
  <c r="E41" i="8"/>
  <c r="E45" i="8"/>
  <c r="D2" i="8"/>
  <c r="D6" i="8"/>
  <c r="D10" i="8"/>
  <c r="D14" i="8"/>
  <c r="D18" i="8"/>
  <c r="D22" i="8"/>
  <c r="D26" i="8"/>
  <c r="D30" i="8"/>
  <c r="D34" i="8"/>
  <c r="D38" i="8"/>
  <c r="D42" i="8"/>
  <c r="D46" i="8"/>
  <c r="E2" i="8"/>
  <c r="E6" i="8"/>
  <c r="E10" i="8"/>
  <c r="E14" i="8"/>
  <c r="E18" i="8"/>
  <c r="E22" i="8"/>
  <c r="E26" i="8"/>
  <c r="E30" i="8"/>
  <c r="E34" i="8"/>
  <c r="E38" i="8"/>
  <c r="E42" i="8"/>
  <c r="E46" i="8"/>
  <c r="D3" i="8"/>
  <c r="D7" i="8"/>
  <c r="D11" i="8"/>
  <c r="D15" i="8"/>
  <c r="D19" i="8"/>
  <c r="D23" i="8"/>
  <c r="D27" i="8"/>
  <c r="D31" i="8"/>
  <c r="D35" i="8"/>
  <c r="D39" i="8"/>
  <c r="D43" i="8"/>
  <c r="E3" i="8"/>
  <c r="E7" i="8"/>
  <c r="E11" i="8"/>
  <c r="E15" i="8"/>
  <c r="E19" i="8"/>
  <c r="E23" i="8"/>
  <c r="E27" i="8"/>
  <c r="E31" i="8"/>
  <c r="E35" i="8"/>
  <c r="E39" i="8"/>
  <c r="E43" i="8"/>
  <c r="D4" i="8"/>
  <c r="D8" i="8"/>
  <c r="D12" i="8"/>
  <c r="D16" i="8"/>
  <c r="D20" i="8"/>
  <c r="D24" i="8"/>
  <c r="D28" i="8"/>
  <c r="D32" i="8"/>
  <c r="D36" i="8"/>
  <c r="D40" i="8"/>
  <c r="D44" i="8"/>
  <c r="E4" i="8"/>
  <c r="E8" i="8"/>
  <c r="E12" i="8"/>
  <c r="E16" i="8"/>
  <c r="E20" i="8"/>
  <c r="E24" i="8"/>
  <c r="E28" i="8"/>
  <c r="E32" i="8"/>
  <c r="E36" i="8"/>
  <c r="E40" i="8"/>
  <c r="E44" i="8"/>
  <c r="D5" i="8"/>
  <c r="D9" i="8"/>
  <c r="D13" i="8"/>
  <c r="D17" i="8"/>
  <c r="D21" i="8"/>
  <c r="D25" i="8"/>
  <c r="D29" i="8"/>
  <c r="D33" i="8"/>
  <c r="D37" i="8"/>
  <c r="D41" i="8"/>
  <c r="D45" i="8"/>
  <c r="E4" i="7"/>
  <c r="E12" i="7"/>
  <c r="E20" i="7"/>
  <c r="E28" i="7"/>
  <c r="E36" i="7"/>
  <c r="E44" i="7"/>
  <c r="E52" i="7"/>
  <c r="E60" i="7"/>
  <c r="E68" i="7"/>
  <c r="E76" i="7"/>
  <c r="E84" i="7"/>
  <c r="E92" i="7"/>
  <c r="E100" i="7"/>
  <c r="E108" i="7"/>
  <c r="E116" i="7"/>
  <c r="E124" i="7"/>
  <c r="E132" i="7"/>
  <c r="E140" i="7"/>
  <c r="E148" i="7"/>
  <c r="E156" i="7"/>
  <c r="E164" i="7"/>
  <c r="E172" i="7"/>
  <c r="E180" i="7"/>
  <c r="E188" i="7"/>
  <c r="E196" i="7"/>
  <c r="E204" i="7"/>
  <c r="E212" i="7"/>
  <c r="E220" i="7"/>
  <c r="E228" i="7"/>
  <c r="E236" i="7"/>
  <c r="E244" i="7"/>
  <c r="E252" i="7"/>
  <c r="E260" i="7"/>
  <c r="E268" i="7"/>
  <c r="E276" i="7"/>
  <c r="E284" i="7"/>
  <c r="E292" i="7"/>
  <c r="E300" i="7"/>
  <c r="E308" i="7"/>
  <c r="E316" i="7"/>
  <c r="E324" i="7"/>
  <c r="E332" i="7"/>
  <c r="E340" i="7"/>
  <c r="E348" i="7"/>
  <c r="E356" i="7"/>
  <c r="E364" i="7"/>
  <c r="E372" i="7"/>
  <c r="E380" i="7"/>
  <c r="E388" i="7"/>
  <c r="E396" i="7"/>
  <c r="E404" i="7"/>
  <c r="E412" i="7"/>
  <c r="E420" i="7"/>
  <c r="E428" i="7"/>
  <c r="E436" i="7"/>
  <c r="E444" i="7"/>
  <c r="E452" i="7"/>
  <c r="E460" i="7"/>
  <c r="E468" i="7"/>
  <c r="E476" i="7"/>
  <c r="E484" i="7"/>
  <c r="E492" i="7"/>
  <c r="E500" i="7"/>
  <c r="E508" i="7"/>
  <c r="E516" i="7"/>
  <c r="E524" i="7"/>
  <c r="E532" i="7"/>
  <c r="E540" i="7"/>
  <c r="E548" i="7"/>
  <c r="E556" i="7"/>
  <c r="E564" i="7"/>
  <c r="E572" i="7"/>
  <c r="E580" i="7"/>
  <c r="E588" i="7"/>
  <c r="E596" i="7"/>
  <c r="E604" i="7"/>
  <c r="E612" i="7"/>
  <c r="E620" i="7"/>
  <c r="E628" i="7"/>
  <c r="E636" i="7"/>
  <c r="E644" i="7"/>
  <c r="E652" i="7"/>
  <c r="E660" i="7"/>
  <c r="E668" i="7"/>
  <c r="E676" i="7"/>
  <c r="E8" i="7"/>
  <c r="E16" i="7"/>
  <c r="E24" i="7"/>
  <c r="E32" i="7"/>
  <c r="E40" i="7"/>
  <c r="E48" i="7"/>
  <c r="E56" i="7"/>
  <c r="E64" i="7"/>
  <c r="E72" i="7"/>
  <c r="E80" i="7"/>
  <c r="E88" i="7"/>
  <c r="E96" i="7"/>
  <c r="E104" i="7"/>
  <c r="E112" i="7"/>
  <c r="E120" i="7"/>
  <c r="E128" i="7"/>
  <c r="E136" i="7"/>
  <c r="E144" i="7"/>
  <c r="E152" i="7"/>
  <c r="E160" i="7"/>
  <c r="E168" i="7"/>
  <c r="E176" i="7"/>
  <c r="E184" i="7"/>
  <c r="E192" i="7"/>
  <c r="E200" i="7"/>
  <c r="E208" i="7"/>
  <c r="E216" i="7"/>
  <c r="E224" i="7"/>
  <c r="E232" i="7"/>
  <c r="E240" i="7"/>
  <c r="E248" i="7"/>
  <c r="E256" i="7"/>
  <c r="E264" i="7"/>
  <c r="E272" i="7"/>
  <c r="E280" i="7"/>
  <c r="E288" i="7"/>
  <c r="E296" i="7"/>
  <c r="E304" i="7"/>
  <c r="E312" i="7"/>
  <c r="E320" i="7"/>
  <c r="E328" i="7"/>
  <c r="E336" i="7"/>
  <c r="E344" i="7"/>
  <c r="E352" i="7"/>
  <c r="E360" i="7"/>
  <c r="E368" i="7"/>
  <c r="E376" i="7"/>
  <c r="E384" i="7"/>
  <c r="E392" i="7"/>
  <c r="E400" i="7"/>
  <c r="E408" i="7"/>
  <c r="E416" i="7"/>
  <c r="E424" i="7"/>
  <c r="E432" i="7"/>
  <c r="E440" i="7"/>
  <c r="E448" i="7"/>
  <c r="E456" i="7"/>
  <c r="E464" i="7"/>
  <c r="E472" i="7"/>
  <c r="E480" i="7"/>
  <c r="E488" i="7"/>
  <c r="E496" i="7"/>
  <c r="E504" i="7"/>
  <c r="E512" i="7"/>
  <c r="E520" i="7"/>
  <c r="E528" i="7"/>
  <c r="E536" i="7"/>
  <c r="E544" i="7"/>
  <c r="E552" i="7"/>
  <c r="E560" i="7"/>
  <c r="E568" i="7"/>
  <c r="E576" i="7"/>
  <c r="E584" i="7"/>
  <c r="E592" i="7"/>
  <c r="E600" i="7"/>
  <c r="E608" i="7"/>
  <c r="E616" i="7"/>
  <c r="E624" i="7"/>
  <c r="E632" i="7"/>
  <c r="E640" i="7"/>
  <c r="E648" i="7"/>
  <c r="E656" i="7"/>
  <c r="E664" i="7"/>
  <c r="E672" i="7"/>
  <c r="E680" i="7"/>
  <c r="E5" i="7"/>
  <c r="E15" i="7"/>
  <c r="E26" i="7"/>
  <c r="E37" i="7"/>
  <c r="E47" i="7"/>
  <c r="E58" i="7"/>
  <c r="E69" i="7"/>
  <c r="E79" i="7"/>
  <c r="E90" i="7"/>
  <c r="E101" i="7"/>
  <c r="E111" i="7"/>
  <c r="E122" i="7"/>
  <c r="E133" i="7"/>
  <c r="E143" i="7"/>
  <c r="E154" i="7"/>
  <c r="E165" i="7"/>
  <c r="E175" i="7"/>
  <c r="E186" i="7"/>
  <c r="E197" i="7"/>
  <c r="E207" i="7"/>
  <c r="E218" i="7"/>
  <c r="E229" i="7"/>
  <c r="E239" i="7"/>
  <c r="E250" i="7"/>
  <c r="E261" i="7"/>
  <c r="E271" i="7"/>
  <c r="E282" i="7"/>
  <c r="E293" i="7"/>
  <c r="E303" i="7"/>
  <c r="E314" i="7"/>
  <c r="E325" i="7"/>
  <c r="E335" i="7"/>
  <c r="E346" i="7"/>
  <c r="E357" i="7"/>
  <c r="E367" i="7"/>
  <c r="E378" i="7"/>
  <c r="E389" i="7"/>
  <c r="E399" i="7"/>
  <c r="E410" i="7"/>
  <c r="E421" i="7"/>
  <c r="E431" i="7"/>
  <c r="E442" i="7"/>
  <c r="E453" i="7"/>
  <c r="E463" i="7"/>
  <c r="E474" i="7"/>
  <c r="E485" i="7"/>
  <c r="E495" i="7"/>
  <c r="E506" i="7"/>
  <c r="E517" i="7"/>
  <c r="E527" i="7"/>
  <c r="E538" i="7"/>
  <c r="E549" i="7"/>
  <c r="E559" i="7"/>
  <c r="E570" i="7"/>
  <c r="E581" i="7"/>
  <c r="E591" i="7"/>
  <c r="E602" i="7"/>
  <c r="E613" i="7"/>
  <c r="E623" i="7"/>
  <c r="E634" i="7"/>
  <c r="E645" i="7"/>
  <c r="E655" i="7"/>
  <c r="E666" i="7"/>
  <c r="E677" i="7"/>
  <c r="E686" i="7"/>
  <c r="E694" i="7"/>
  <c r="E702" i="7"/>
  <c r="E710" i="7"/>
  <c r="E718" i="7"/>
  <c r="E6" i="7"/>
  <c r="E17" i="7"/>
  <c r="E27" i="7"/>
  <c r="E38" i="7"/>
  <c r="E49" i="7"/>
  <c r="E59" i="7"/>
  <c r="E70" i="7"/>
  <c r="E81" i="7"/>
  <c r="E91" i="7"/>
  <c r="E102" i="7"/>
  <c r="E113" i="7"/>
  <c r="E123" i="7"/>
  <c r="E134" i="7"/>
  <c r="E145" i="7"/>
  <c r="E155" i="7"/>
  <c r="E166" i="7"/>
  <c r="E177" i="7"/>
  <c r="E187" i="7"/>
  <c r="E198" i="7"/>
  <c r="E209" i="7"/>
  <c r="E219" i="7"/>
  <c r="E230" i="7"/>
  <c r="E241" i="7"/>
  <c r="E251" i="7"/>
  <c r="E262" i="7"/>
  <c r="E273" i="7"/>
  <c r="E283" i="7"/>
  <c r="E294" i="7"/>
  <c r="E305" i="7"/>
  <c r="E315" i="7"/>
  <c r="E326" i="7"/>
  <c r="E337" i="7"/>
  <c r="E347" i="7"/>
  <c r="E358" i="7"/>
  <c r="E369" i="7"/>
  <c r="E379" i="7"/>
  <c r="E390" i="7"/>
  <c r="E401" i="7"/>
  <c r="E411" i="7"/>
  <c r="E422" i="7"/>
  <c r="E433" i="7"/>
  <c r="E443" i="7"/>
  <c r="E454" i="7"/>
  <c r="E465" i="7"/>
  <c r="E475" i="7"/>
  <c r="E486" i="7"/>
  <c r="E497" i="7"/>
  <c r="E507" i="7"/>
  <c r="E518" i="7"/>
  <c r="E529" i="7"/>
  <c r="E539" i="7"/>
  <c r="E550" i="7"/>
  <c r="E561" i="7"/>
  <c r="E571" i="7"/>
  <c r="E582" i="7"/>
  <c r="E593" i="7"/>
  <c r="E603" i="7"/>
  <c r="E614" i="7"/>
  <c r="E625" i="7"/>
  <c r="E635" i="7"/>
  <c r="E646" i="7"/>
  <c r="E657" i="7"/>
  <c r="E667" i="7"/>
  <c r="E678" i="7"/>
  <c r="E687" i="7"/>
  <c r="E695" i="7"/>
  <c r="E703" i="7"/>
  <c r="E711" i="7"/>
  <c r="E719" i="7"/>
  <c r="E10" i="7"/>
  <c r="E21" i="7"/>
  <c r="E31" i="7"/>
  <c r="E42" i="7"/>
  <c r="E53" i="7"/>
  <c r="E63" i="7"/>
  <c r="E74" i="7"/>
  <c r="E85" i="7"/>
  <c r="E95" i="7"/>
  <c r="E106" i="7"/>
  <c r="E117" i="7"/>
  <c r="E127" i="7"/>
  <c r="E138" i="7"/>
  <c r="E149" i="7"/>
  <c r="E159" i="7"/>
  <c r="E170" i="7"/>
  <c r="E181" i="7"/>
  <c r="E191" i="7"/>
  <c r="E202" i="7"/>
  <c r="E213" i="7"/>
  <c r="E223" i="7"/>
  <c r="E234" i="7"/>
  <c r="E245" i="7"/>
  <c r="E255" i="7"/>
  <c r="E266" i="7"/>
  <c r="E277" i="7"/>
  <c r="E287" i="7"/>
  <c r="E298" i="7"/>
  <c r="E309" i="7"/>
  <c r="E319" i="7"/>
  <c r="E330" i="7"/>
  <c r="E341" i="7"/>
  <c r="E351" i="7"/>
  <c r="E362" i="7"/>
  <c r="E373" i="7"/>
  <c r="E383" i="7"/>
  <c r="E394" i="7"/>
  <c r="E405" i="7"/>
  <c r="E415" i="7"/>
  <c r="E426" i="7"/>
  <c r="E437" i="7"/>
  <c r="E447" i="7"/>
  <c r="E458" i="7"/>
  <c r="E469" i="7"/>
  <c r="E479" i="7"/>
  <c r="E490" i="7"/>
  <c r="E501" i="7"/>
  <c r="E511" i="7"/>
  <c r="E522" i="7"/>
  <c r="E533" i="7"/>
  <c r="E543" i="7"/>
  <c r="E554" i="7"/>
  <c r="E565" i="7"/>
  <c r="E575" i="7"/>
  <c r="E586" i="7"/>
  <c r="E597" i="7"/>
  <c r="E607" i="7"/>
  <c r="E618" i="7"/>
  <c r="E629" i="7"/>
  <c r="E639" i="7"/>
  <c r="E650" i="7"/>
  <c r="E661" i="7"/>
  <c r="E671" i="7"/>
  <c r="E682" i="7"/>
  <c r="E690" i="7"/>
  <c r="E698" i="7"/>
  <c r="E706" i="7"/>
  <c r="E714" i="7"/>
  <c r="E11" i="7"/>
  <c r="E22" i="7"/>
  <c r="E33" i="7"/>
  <c r="E43" i="7"/>
  <c r="E54" i="7"/>
  <c r="E65" i="7"/>
  <c r="E75" i="7"/>
  <c r="E86" i="7"/>
  <c r="E97" i="7"/>
  <c r="E107" i="7"/>
  <c r="E118" i="7"/>
  <c r="E129" i="7"/>
  <c r="E139" i="7"/>
  <c r="E150" i="7"/>
  <c r="E161" i="7"/>
  <c r="E171" i="7"/>
  <c r="E9" i="7"/>
  <c r="E30" i="7"/>
  <c r="E51" i="7"/>
  <c r="E73" i="7"/>
  <c r="E94" i="7"/>
  <c r="E115" i="7"/>
  <c r="E137" i="7"/>
  <c r="E158" i="7"/>
  <c r="E179" i="7"/>
  <c r="E195" i="7"/>
  <c r="E214" i="7"/>
  <c r="E231" i="7"/>
  <c r="E247" i="7"/>
  <c r="E265" i="7"/>
  <c r="E281" i="7"/>
  <c r="E299" i="7"/>
  <c r="E317" i="7"/>
  <c r="E333" i="7"/>
  <c r="E350" i="7"/>
  <c r="E366" i="7"/>
  <c r="E385" i="7"/>
  <c r="E402" i="7"/>
  <c r="E418" i="7"/>
  <c r="E435" i="7"/>
  <c r="E451" i="7"/>
  <c r="E470" i="7"/>
  <c r="E487" i="7"/>
  <c r="E503" i="7"/>
  <c r="E521" i="7"/>
  <c r="E537" i="7"/>
  <c r="E555" i="7"/>
  <c r="E573" i="7"/>
  <c r="E589" i="7"/>
  <c r="E606" i="7"/>
  <c r="E622" i="7"/>
  <c r="E641" i="7"/>
  <c r="E658" i="7"/>
  <c r="E674" i="7"/>
  <c r="E689" i="7"/>
  <c r="E701" i="7"/>
  <c r="E715" i="7"/>
  <c r="E13" i="7"/>
  <c r="E34" i="7"/>
  <c r="E55" i="7"/>
  <c r="E77" i="7"/>
  <c r="E98" i="7"/>
  <c r="E119" i="7"/>
  <c r="E141" i="7"/>
  <c r="E162" i="7"/>
  <c r="E182" i="7"/>
  <c r="E199" i="7"/>
  <c r="E215" i="7"/>
  <c r="E233" i="7"/>
  <c r="E249" i="7"/>
  <c r="E267" i="7"/>
  <c r="E285" i="7"/>
  <c r="E301" i="7"/>
  <c r="E318" i="7"/>
  <c r="E334" i="7"/>
  <c r="E353" i="7"/>
  <c r="E370" i="7"/>
  <c r="E386" i="7"/>
  <c r="E403" i="7"/>
  <c r="E419" i="7"/>
  <c r="E438" i="7"/>
  <c r="E455" i="7"/>
  <c r="E471" i="7"/>
  <c r="E489" i="7"/>
  <c r="E505" i="7"/>
  <c r="E523" i="7"/>
  <c r="E541" i="7"/>
  <c r="E557" i="7"/>
  <c r="E574" i="7"/>
  <c r="E590" i="7"/>
  <c r="E609" i="7"/>
  <c r="E626" i="7"/>
  <c r="E642" i="7"/>
  <c r="E659" i="7"/>
  <c r="E675" i="7"/>
  <c r="E691" i="7"/>
  <c r="E704" i="7"/>
  <c r="E716" i="7"/>
  <c r="E14" i="7"/>
  <c r="E35" i="7"/>
  <c r="E57" i="7"/>
  <c r="E78" i="7"/>
  <c r="E99" i="7"/>
  <c r="E121" i="7"/>
  <c r="E142" i="7"/>
  <c r="E163" i="7"/>
  <c r="E183" i="7"/>
  <c r="E201" i="7"/>
  <c r="E217" i="7"/>
  <c r="E235" i="7"/>
  <c r="E253" i="7"/>
  <c r="E269" i="7"/>
  <c r="E286" i="7"/>
  <c r="E302" i="7"/>
  <c r="E321" i="7"/>
  <c r="E338" i="7"/>
  <c r="E354" i="7"/>
  <c r="E371" i="7"/>
  <c r="E387" i="7"/>
  <c r="E406" i="7"/>
  <c r="E423" i="7"/>
  <c r="E439" i="7"/>
  <c r="E457" i="7"/>
  <c r="E473" i="7"/>
  <c r="E491" i="7"/>
  <c r="E509" i="7"/>
  <c r="E525" i="7"/>
  <c r="E542" i="7"/>
  <c r="E558" i="7"/>
  <c r="E577" i="7"/>
  <c r="E594" i="7"/>
  <c r="E610" i="7"/>
  <c r="E627" i="7"/>
  <c r="E643" i="7"/>
  <c r="E662" i="7"/>
  <c r="E679" i="7"/>
  <c r="E692" i="7"/>
  <c r="E705" i="7"/>
  <c r="E717" i="7"/>
  <c r="E18" i="7"/>
  <c r="E39" i="7"/>
  <c r="E61" i="7"/>
  <c r="E82" i="7"/>
  <c r="E103" i="7"/>
  <c r="E125" i="7"/>
  <c r="E146" i="7"/>
  <c r="E167" i="7"/>
  <c r="E185" i="7"/>
  <c r="E203" i="7"/>
  <c r="E221" i="7"/>
  <c r="E237" i="7"/>
  <c r="E254" i="7"/>
  <c r="E270" i="7"/>
  <c r="E289" i="7"/>
  <c r="E306" i="7"/>
  <c r="E322" i="7"/>
  <c r="E339" i="7"/>
  <c r="E355" i="7"/>
  <c r="E374" i="7"/>
  <c r="E391" i="7"/>
  <c r="E407" i="7"/>
  <c r="E425" i="7"/>
  <c r="E441" i="7"/>
  <c r="E459" i="7"/>
  <c r="E477" i="7"/>
  <c r="E493" i="7"/>
  <c r="E510" i="7"/>
  <c r="E526" i="7"/>
  <c r="E545" i="7"/>
  <c r="E562" i="7"/>
  <c r="E578" i="7"/>
  <c r="E595" i="7"/>
  <c r="E611" i="7"/>
  <c r="E630" i="7"/>
  <c r="E647" i="7"/>
  <c r="E663" i="7"/>
  <c r="E681" i="7"/>
  <c r="E693" i="7"/>
  <c r="E707" i="7"/>
  <c r="E720" i="7"/>
  <c r="E19" i="7"/>
  <c r="E41" i="7"/>
  <c r="E62" i="7"/>
  <c r="E83" i="7"/>
  <c r="E105" i="7"/>
  <c r="E126" i="7"/>
  <c r="E147" i="7"/>
  <c r="E169" i="7"/>
  <c r="E189" i="7"/>
  <c r="E205" i="7"/>
  <c r="E222" i="7"/>
  <c r="E238" i="7"/>
  <c r="E257" i="7"/>
  <c r="E274" i="7"/>
  <c r="E290" i="7"/>
  <c r="E307" i="7"/>
  <c r="E323" i="7"/>
  <c r="E342" i="7"/>
  <c r="E359" i="7"/>
  <c r="E375" i="7"/>
  <c r="E393" i="7"/>
  <c r="E409" i="7"/>
  <c r="E427" i="7"/>
  <c r="E445" i="7"/>
  <c r="E461" i="7"/>
  <c r="E478" i="7"/>
  <c r="E494" i="7"/>
  <c r="E513" i="7"/>
  <c r="E530" i="7"/>
  <c r="E546" i="7"/>
  <c r="E563" i="7"/>
  <c r="E579" i="7"/>
  <c r="E598" i="7"/>
  <c r="E615" i="7"/>
  <c r="E631" i="7"/>
  <c r="E649" i="7"/>
  <c r="E665" i="7"/>
  <c r="E683" i="7"/>
  <c r="E696" i="7"/>
  <c r="E708" i="7"/>
  <c r="E721" i="7"/>
  <c r="E2" i="7"/>
  <c r="E23" i="7"/>
  <c r="E45" i="7"/>
  <c r="E66" i="7"/>
  <c r="E87" i="7"/>
  <c r="E109" i="7"/>
  <c r="E130" i="7"/>
  <c r="E151" i="7"/>
  <c r="E173" i="7"/>
  <c r="E190" i="7"/>
  <c r="E206" i="7"/>
  <c r="E225" i="7"/>
  <c r="E242" i="7"/>
  <c r="E258" i="7"/>
  <c r="E275" i="7"/>
  <c r="E291" i="7"/>
  <c r="E310" i="7"/>
  <c r="E327" i="7"/>
  <c r="E343" i="7"/>
  <c r="E361" i="7"/>
  <c r="E377" i="7"/>
  <c r="E395" i="7"/>
  <c r="E413" i="7"/>
  <c r="E429" i="7"/>
  <c r="E446" i="7"/>
  <c r="E462" i="7"/>
  <c r="E481" i="7"/>
  <c r="E498" i="7"/>
  <c r="E514" i="7"/>
  <c r="E531" i="7"/>
  <c r="E547" i="7"/>
  <c r="E566" i="7"/>
  <c r="E583" i="7"/>
  <c r="E599" i="7"/>
  <c r="E617" i="7"/>
  <c r="E633" i="7"/>
  <c r="E651" i="7"/>
  <c r="E669" i="7"/>
  <c r="E684" i="7"/>
  <c r="E697" i="7"/>
  <c r="E709" i="7"/>
  <c r="E3" i="7"/>
  <c r="E25" i="7"/>
  <c r="E46" i="7"/>
  <c r="E67" i="7"/>
  <c r="E89" i="7"/>
  <c r="E110" i="7"/>
  <c r="E131" i="7"/>
  <c r="E153" i="7"/>
  <c r="E174" i="7"/>
  <c r="E193" i="7"/>
  <c r="E210" i="7"/>
  <c r="E226" i="7"/>
  <c r="E243" i="7"/>
  <c r="E259" i="7"/>
  <c r="E278" i="7"/>
  <c r="E295" i="7"/>
  <c r="E311" i="7"/>
  <c r="E329" i="7"/>
  <c r="E345" i="7"/>
  <c r="E363" i="7"/>
  <c r="E381" i="7"/>
  <c r="E397" i="7"/>
  <c r="E414" i="7"/>
  <c r="E430" i="7"/>
  <c r="E449" i="7"/>
  <c r="E466" i="7"/>
  <c r="E482" i="7"/>
  <c r="E499" i="7"/>
  <c r="E515" i="7"/>
  <c r="E534" i="7"/>
  <c r="E551" i="7"/>
  <c r="E567" i="7"/>
  <c r="E585" i="7"/>
  <c r="E601" i="7"/>
  <c r="E619" i="7"/>
  <c r="E637" i="7"/>
  <c r="E653" i="7"/>
  <c r="E670" i="7"/>
  <c r="E685" i="7"/>
  <c r="E699" i="7"/>
  <c r="E712" i="7"/>
  <c r="E7" i="7"/>
  <c r="E29" i="7"/>
  <c r="E50" i="7"/>
  <c r="E71" i="7"/>
  <c r="E93" i="7"/>
  <c r="E114" i="7"/>
  <c r="E135" i="7"/>
  <c r="E157" i="7"/>
  <c r="E178" i="7"/>
  <c r="E194" i="7"/>
  <c r="E211" i="7"/>
  <c r="E227" i="7"/>
  <c r="E246" i="7"/>
  <c r="E263" i="7"/>
  <c r="E279" i="7"/>
  <c r="E297" i="7"/>
  <c r="E313" i="7"/>
  <c r="E331" i="7"/>
  <c r="E349" i="7"/>
  <c r="E365" i="7"/>
  <c r="E382" i="7"/>
  <c r="E398" i="7"/>
  <c r="E417" i="7"/>
  <c r="E434" i="7"/>
  <c r="E450" i="7"/>
  <c r="E467" i="7"/>
  <c r="E483" i="7"/>
  <c r="E502" i="7"/>
  <c r="E519" i="7"/>
  <c r="E535" i="7"/>
  <c r="E553" i="7"/>
  <c r="E569" i="7"/>
  <c r="E587" i="7"/>
  <c r="E605" i="7"/>
  <c r="E621" i="7"/>
  <c r="E638" i="7"/>
  <c r="E654" i="7"/>
  <c r="E673" i="7"/>
  <c r="E688" i="7"/>
  <c r="E700" i="7"/>
  <c r="E713" i="7"/>
  <c r="E5" i="3"/>
  <c r="E9" i="3"/>
  <c r="E13" i="3"/>
  <c r="E17" i="3"/>
  <c r="E21" i="3"/>
  <c r="E25" i="3"/>
  <c r="E29" i="3"/>
  <c r="E33" i="3"/>
  <c r="E37" i="3"/>
  <c r="E45" i="3"/>
  <c r="E49" i="3"/>
  <c r="E53" i="3"/>
  <c r="E61" i="3"/>
  <c r="E69" i="3"/>
  <c r="E77" i="3"/>
  <c r="E89" i="3"/>
  <c r="D6" i="3"/>
  <c r="D42" i="3"/>
  <c r="D54" i="3"/>
  <c r="D62" i="3"/>
  <c r="D70" i="3"/>
  <c r="D82" i="3"/>
  <c r="D90" i="3"/>
  <c r="E6" i="3"/>
  <c r="E22" i="3"/>
  <c r="E34" i="3"/>
  <c r="E42" i="3"/>
  <c r="E50" i="3"/>
  <c r="E58" i="3"/>
  <c r="E66" i="3"/>
  <c r="E74" i="3"/>
  <c r="E82" i="3"/>
  <c r="E2" i="3"/>
  <c r="E62" i="3"/>
  <c r="D3" i="3"/>
  <c r="D7" i="3"/>
  <c r="D11" i="3"/>
  <c r="D15" i="3"/>
  <c r="D19" i="3"/>
  <c r="D23" i="3"/>
  <c r="D27" i="3"/>
  <c r="D31" i="3"/>
  <c r="D35" i="3"/>
  <c r="D39" i="3"/>
  <c r="D43" i="3"/>
  <c r="D47" i="3"/>
  <c r="D51" i="3"/>
  <c r="D55" i="3"/>
  <c r="D59" i="3"/>
  <c r="D63" i="3"/>
  <c r="D67" i="3"/>
  <c r="D71" i="3"/>
  <c r="D75" i="3"/>
  <c r="D79" i="3"/>
  <c r="D83" i="3"/>
  <c r="D87" i="3"/>
  <c r="D91" i="3"/>
  <c r="E3" i="3"/>
  <c r="E7" i="3"/>
  <c r="E15" i="3"/>
  <c r="E19" i="3"/>
  <c r="E23" i="3"/>
  <c r="E27" i="3"/>
  <c r="E31" i="3"/>
  <c r="E35" i="3"/>
  <c r="E39" i="3"/>
  <c r="E43" i="3"/>
  <c r="E47" i="3"/>
  <c r="E51" i="3"/>
  <c r="E55" i="3"/>
  <c r="E59" i="3"/>
  <c r="E63" i="3"/>
  <c r="E67" i="3"/>
  <c r="E71" i="3"/>
  <c r="E75" i="3"/>
  <c r="E79" i="3"/>
  <c r="E83" i="3"/>
  <c r="E87" i="3"/>
  <c r="E91" i="3"/>
  <c r="D4" i="3"/>
  <c r="D8" i="3"/>
  <c r="D12" i="3"/>
  <c r="D16" i="3"/>
  <c r="D20" i="3"/>
  <c r="D24" i="3"/>
  <c r="D28" i="3"/>
  <c r="D32" i="3"/>
  <c r="D36" i="3"/>
  <c r="D40" i="3"/>
  <c r="D44" i="3"/>
  <c r="D48" i="3"/>
  <c r="D52" i="3"/>
  <c r="D56" i="3"/>
  <c r="D60" i="3"/>
  <c r="D64" i="3"/>
  <c r="D68" i="3"/>
  <c r="D72" i="3"/>
  <c r="D76" i="3"/>
  <c r="D80" i="3"/>
  <c r="D84" i="3"/>
  <c r="D88" i="3"/>
  <c r="E8" i="3"/>
  <c r="E24" i="3"/>
  <c r="E32" i="3"/>
  <c r="E40" i="3"/>
  <c r="E48" i="3"/>
  <c r="E60" i="3"/>
  <c r="E64" i="3"/>
  <c r="E72" i="3"/>
  <c r="E80" i="3"/>
  <c r="E88" i="3"/>
  <c r="E90" i="3"/>
  <c r="E11" i="3"/>
  <c r="E4" i="3"/>
  <c r="E12" i="3"/>
  <c r="E16" i="3"/>
  <c r="E20" i="3"/>
  <c r="E28" i="3"/>
  <c r="E36" i="3"/>
  <c r="E44" i="3"/>
  <c r="E56" i="3"/>
  <c r="E68" i="3"/>
  <c r="E76" i="3"/>
  <c r="E84" i="3"/>
  <c r="E52" i="3"/>
  <c r="D5" i="3"/>
  <c r="D9" i="3"/>
  <c r="D13" i="3"/>
  <c r="D17" i="3"/>
  <c r="D21" i="3"/>
  <c r="D25" i="3"/>
  <c r="D29" i="3"/>
  <c r="D33" i="3"/>
  <c r="D37" i="3"/>
  <c r="D41" i="3"/>
  <c r="D45" i="3"/>
  <c r="D49" i="3"/>
  <c r="D53" i="3"/>
  <c r="D57" i="3"/>
  <c r="D61" i="3"/>
  <c r="D65" i="3"/>
  <c r="D69" i="3"/>
  <c r="D73" i="3"/>
  <c r="D77" i="3"/>
  <c r="D81" i="3"/>
  <c r="D85" i="3"/>
  <c r="D89" i="3"/>
  <c r="E41" i="3"/>
  <c r="E57" i="3"/>
  <c r="E65" i="3"/>
  <c r="E73" i="3"/>
  <c r="E81" i="3"/>
  <c r="E85" i="3"/>
  <c r="D2" i="3"/>
  <c r="D10" i="3"/>
  <c r="D14" i="3"/>
  <c r="D18" i="3"/>
  <c r="D22" i="3"/>
  <c r="D26" i="3"/>
  <c r="D30" i="3"/>
  <c r="D34" i="3"/>
  <c r="D38" i="3"/>
  <c r="D46" i="3"/>
  <c r="D50" i="3"/>
  <c r="D58" i="3"/>
  <c r="D66" i="3"/>
  <c r="D74" i="3"/>
  <c r="D78" i="3"/>
  <c r="D86" i="3"/>
  <c r="E10" i="3"/>
  <c r="E14" i="3"/>
  <c r="E18" i="3"/>
  <c r="E26" i="3"/>
  <c r="E30" i="3"/>
  <c r="E38" i="3"/>
  <c r="E46" i="3"/>
  <c r="E54" i="3"/>
  <c r="E70" i="3"/>
  <c r="E78" i="3"/>
  <c r="E86" i="3"/>
  <c r="E5" i="4"/>
  <c r="D3" i="4"/>
  <c r="D7" i="4"/>
  <c r="D11" i="4"/>
  <c r="D15" i="4"/>
  <c r="D19" i="4"/>
  <c r="D23" i="4"/>
  <c r="D27" i="4"/>
  <c r="D31" i="4"/>
  <c r="D35" i="4"/>
  <c r="D39" i="4"/>
  <c r="D43" i="4"/>
  <c r="D47" i="4"/>
  <c r="D51" i="4"/>
  <c r="D55" i="4"/>
  <c r="D59" i="4"/>
  <c r="D63" i="4"/>
  <c r="D67" i="4"/>
  <c r="D71" i="4"/>
  <c r="D75" i="4"/>
  <c r="D79" i="4"/>
  <c r="D83" i="4"/>
  <c r="D87" i="4"/>
  <c r="D91" i="4"/>
  <c r="E3" i="4"/>
  <c r="E7" i="4"/>
  <c r="E11" i="4"/>
  <c r="E15" i="4"/>
  <c r="E19" i="4"/>
  <c r="E23" i="4"/>
  <c r="E27" i="4"/>
  <c r="E31" i="4"/>
  <c r="E35" i="4"/>
  <c r="E39" i="4"/>
  <c r="E43" i="4"/>
  <c r="E47" i="4"/>
  <c r="E51" i="4"/>
  <c r="E55" i="4"/>
  <c r="E59" i="4"/>
  <c r="E63" i="4"/>
  <c r="E67" i="4"/>
  <c r="E71" i="4"/>
  <c r="E75" i="4"/>
  <c r="E79" i="4"/>
  <c r="E83" i="4"/>
  <c r="E87" i="4"/>
  <c r="E91" i="4"/>
  <c r="D4" i="4"/>
  <c r="D8" i="4"/>
  <c r="D12" i="4"/>
  <c r="D16" i="4"/>
  <c r="D20" i="4"/>
  <c r="D24" i="4"/>
  <c r="D28" i="4"/>
  <c r="D32" i="4"/>
  <c r="D36" i="4"/>
  <c r="D40" i="4"/>
  <c r="D44" i="4"/>
  <c r="D48" i="4"/>
  <c r="D52" i="4"/>
  <c r="D56" i="4"/>
  <c r="D60" i="4"/>
  <c r="D64" i="4"/>
  <c r="D68" i="4"/>
  <c r="D72" i="4"/>
  <c r="D76" i="4"/>
  <c r="D80" i="4"/>
  <c r="D84" i="4"/>
  <c r="D88" i="4"/>
  <c r="E4" i="4"/>
  <c r="E8" i="4"/>
  <c r="E12" i="4"/>
  <c r="E16" i="4"/>
  <c r="E20" i="4"/>
  <c r="E24" i="4"/>
  <c r="E28" i="4"/>
  <c r="E32" i="4"/>
  <c r="E36" i="4"/>
  <c r="E40" i="4"/>
  <c r="E44" i="4"/>
  <c r="E48" i="4"/>
  <c r="E52" i="4"/>
  <c r="E56" i="4"/>
  <c r="E60" i="4"/>
  <c r="E64" i="4"/>
  <c r="E68" i="4"/>
  <c r="D5" i="4"/>
  <c r="D9" i="4"/>
  <c r="D13" i="4"/>
  <c r="D17" i="4"/>
  <c r="D21" i="4"/>
  <c r="D25" i="4"/>
  <c r="D29" i="4"/>
  <c r="D33" i="4"/>
  <c r="D37" i="4"/>
  <c r="D41" i="4"/>
  <c r="D45" i="4"/>
  <c r="D49" i="4"/>
  <c r="D53" i="4"/>
  <c r="D57" i="4"/>
  <c r="D61" i="4"/>
  <c r="D65" i="4"/>
  <c r="D69" i="4"/>
  <c r="D73" i="4"/>
  <c r="D77" i="4"/>
  <c r="D81" i="4"/>
  <c r="D85" i="4"/>
  <c r="D89" i="4"/>
  <c r="E6" i="4"/>
  <c r="D18" i="4"/>
  <c r="E29" i="4"/>
  <c r="E38" i="4"/>
  <c r="D50" i="4"/>
  <c r="E61" i="4"/>
  <c r="E70" i="4"/>
  <c r="E78" i="4"/>
  <c r="E86" i="4"/>
  <c r="E9" i="4"/>
  <c r="E18" i="4"/>
  <c r="D30" i="4"/>
  <c r="E41" i="4"/>
  <c r="E50" i="4"/>
  <c r="D62" i="4"/>
  <c r="E72" i="4"/>
  <c r="E80" i="4"/>
  <c r="E88" i="4"/>
  <c r="D10" i="4"/>
  <c r="E21" i="4"/>
  <c r="E30" i="4"/>
  <c r="D42" i="4"/>
  <c r="E53" i="4"/>
  <c r="E62" i="4"/>
  <c r="E73" i="4"/>
  <c r="E81" i="4"/>
  <c r="E89" i="4"/>
  <c r="E10" i="4"/>
  <c r="D22" i="4"/>
  <c r="E33" i="4"/>
  <c r="E42" i="4"/>
  <c r="D54" i="4"/>
  <c r="E65" i="4"/>
  <c r="D74" i="4"/>
  <c r="D82" i="4"/>
  <c r="D90" i="4"/>
  <c r="E13" i="4"/>
  <c r="E22" i="4"/>
  <c r="D34" i="4"/>
  <c r="E45" i="4"/>
  <c r="E54" i="4"/>
  <c r="D66" i="4"/>
  <c r="E74" i="4"/>
  <c r="E82" i="4"/>
  <c r="E90" i="4"/>
  <c r="D2" i="4"/>
  <c r="D14" i="4"/>
  <c r="E25" i="4"/>
  <c r="E34" i="4"/>
  <c r="D46" i="4"/>
  <c r="E57" i="4"/>
  <c r="E66" i="4"/>
  <c r="E76" i="4"/>
  <c r="E84" i="4"/>
  <c r="E2" i="4"/>
  <c r="E14" i="4"/>
  <c r="D26" i="4"/>
  <c r="E37" i="4"/>
  <c r="E46" i="4"/>
  <c r="D58" i="4"/>
  <c r="E69" i="4"/>
  <c r="E77" i="4"/>
  <c r="E85" i="4"/>
  <c r="D6" i="4"/>
  <c r="E17" i="4"/>
  <c r="E26" i="4"/>
  <c r="D38" i="4"/>
  <c r="E49" i="4"/>
  <c r="E58" i="4"/>
  <c r="D70" i="4"/>
  <c r="D78" i="4"/>
  <c r="D86" i="4"/>
  <c r="AJ1" i="13"/>
  <c r="G54" i="12"/>
  <c r="F54" i="12"/>
  <c r="G53" i="12"/>
  <c r="F53" i="12"/>
  <c r="G52" i="12"/>
  <c r="F52" i="12"/>
  <c r="G51" i="12"/>
  <c r="F51" i="12"/>
  <c r="G50" i="12"/>
  <c r="F50" i="12"/>
  <c r="G49" i="12"/>
  <c r="F49" i="12"/>
  <c r="G48" i="12"/>
  <c r="F48" i="12"/>
  <c r="G47" i="12"/>
  <c r="F47" i="12"/>
  <c r="G46" i="12"/>
  <c r="F46" i="12"/>
  <c r="G45" i="12"/>
  <c r="F45" i="12"/>
  <c r="G44" i="12"/>
  <c r="F44" i="12"/>
  <c r="G43" i="12"/>
  <c r="F43" i="12"/>
  <c r="G42" i="12"/>
  <c r="F42" i="12"/>
  <c r="G41" i="12"/>
  <c r="F41" i="12"/>
  <c r="G40" i="12"/>
  <c r="F40" i="12"/>
  <c r="G39" i="12"/>
  <c r="F39" i="12"/>
  <c r="G38" i="12"/>
  <c r="F38" i="12"/>
  <c r="G37" i="12"/>
  <c r="F37" i="12"/>
  <c r="G36" i="12"/>
  <c r="F36" i="12"/>
  <c r="G35" i="12"/>
  <c r="F35" i="12"/>
  <c r="G34" i="12"/>
  <c r="F34" i="12"/>
  <c r="G33" i="12"/>
  <c r="F33" i="12"/>
  <c r="G32" i="12"/>
  <c r="F32" i="12"/>
  <c r="G31" i="12"/>
  <c r="F31" i="12"/>
  <c r="G30" i="12"/>
  <c r="F30" i="12"/>
  <c r="G29" i="12"/>
  <c r="F29" i="12"/>
  <c r="G28" i="12"/>
  <c r="F28" i="12"/>
  <c r="G27" i="12"/>
  <c r="F27" i="12"/>
  <c r="G26" i="12"/>
  <c r="F26" i="12"/>
  <c r="G25" i="12"/>
  <c r="F25" i="12"/>
  <c r="G24" i="12"/>
  <c r="F24" i="12"/>
  <c r="G23" i="12"/>
  <c r="F23" i="12"/>
  <c r="G22" i="12"/>
  <c r="F22" i="12"/>
  <c r="G21" i="12"/>
  <c r="F21" i="12"/>
  <c r="G20" i="12"/>
  <c r="F20" i="12"/>
  <c r="G19" i="12"/>
  <c r="F19" i="12"/>
  <c r="G18" i="12"/>
  <c r="F18" i="12"/>
  <c r="G17" i="12"/>
  <c r="F17" i="12"/>
  <c r="G16" i="12"/>
  <c r="F16" i="12"/>
  <c r="G15" i="12"/>
  <c r="F15" i="12"/>
  <c r="G14" i="12"/>
  <c r="F14" i="12"/>
  <c r="C17" i="12"/>
  <c r="D3" i="7" l="1"/>
  <c r="F3" i="7"/>
  <c r="E3" i="9"/>
  <c r="N3" i="9"/>
  <c r="N18" i="11"/>
  <c r="G82" i="11"/>
  <c r="H27" i="11"/>
  <c r="N59" i="11"/>
  <c r="G4" i="11"/>
  <c r="H36" i="11"/>
  <c r="N68" i="11"/>
  <c r="G53" i="11"/>
  <c r="H85" i="11"/>
  <c r="F2" i="9"/>
  <c r="S59" i="8"/>
  <c r="S123" i="8"/>
  <c r="S21" i="8"/>
  <c r="S85" i="8"/>
  <c r="S149" i="8"/>
  <c r="S60" i="8"/>
  <c r="S102" i="8"/>
  <c r="S90" i="8"/>
  <c r="S56" i="8"/>
  <c r="S100" i="8"/>
  <c r="J26" i="8"/>
  <c r="J4" i="8"/>
  <c r="J13" i="8"/>
  <c r="J70" i="3"/>
  <c r="J43" i="3"/>
  <c r="J24" i="3"/>
  <c r="H2" i="11"/>
  <c r="H34" i="11"/>
  <c r="G50" i="11"/>
  <c r="H82" i="11"/>
  <c r="N27" i="11"/>
  <c r="G91" i="11"/>
  <c r="H4" i="11"/>
  <c r="N36" i="11"/>
  <c r="G21" i="11"/>
  <c r="H53" i="11"/>
  <c r="N85" i="11"/>
  <c r="P27" i="8"/>
  <c r="P91" i="8"/>
  <c r="P155" i="8"/>
  <c r="P53" i="8"/>
  <c r="P117" i="8"/>
  <c r="P181" i="8"/>
  <c r="P114" i="8"/>
  <c r="P30" i="8"/>
  <c r="P78" i="8"/>
  <c r="P42" i="8"/>
  <c r="P88" i="8"/>
  <c r="G27" i="8"/>
  <c r="G36" i="8"/>
  <c r="G45" i="8"/>
  <c r="G11" i="3"/>
  <c r="G75" i="3"/>
  <c r="G56" i="3"/>
  <c r="F2" i="11"/>
  <c r="N34" i="11"/>
  <c r="G18" i="11"/>
  <c r="H50" i="11"/>
  <c r="N82" i="11"/>
  <c r="G59" i="11"/>
  <c r="H91" i="11"/>
  <c r="N4" i="11"/>
  <c r="G68" i="11"/>
  <c r="H21" i="11"/>
  <c r="N53" i="11"/>
  <c r="G2" i="9"/>
  <c r="S27" i="8"/>
  <c r="S91" i="8"/>
  <c r="S155" i="8"/>
  <c r="S53" i="8"/>
  <c r="S117" i="8"/>
  <c r="S181" i="8"/>
  <c r="S114" i="8"/>
  <c r="S30" i="8"/>
  <c r="S78" i="8"/>
  <c r="S42" i="8"/>
  <c r="S88" i="8"/>
  <c r="J27" i="8"/>
  <c r="J36" i="8"/>
  <c r="J45" i="8"/>
  <c r="J11" i="3"/>
  <c r="J75" i="3"/>
  <c r="N50" i="11"/>
  <c r="G36" i="11"/>
  <c r="J2" i="9"/>
  <c r="P85" i="8"/>
  <c r="P90" i="8"/>
  <c r="G4" i="8"/>
  <c r="G24" i="3"/>
  <c r="G34" i="11"/>
  <c r="G11" i="11"/>
  <c r="H43" i="11"/>
  <c r="N75" i="11"/>
  <c r="G52" i="11"/>
  <c r="H84" i="11"/>
  <c r="N5" i="11"/>
  <c r="G69" i="11"/>
  <c r="S2" i="9"/>
  <c r="P43" i="8"/>
  <c r="P107" i="8"/>
  <c r="P171" i="8"/>
  <c r="P37" i="8"/>
  <c r="P101" i="8"/>
  <c r="P165" i="8"/>
  <c r="P140" i="8"/>
  <c r="P62" i="8"/>
  <c r="P104" i="8"/>
  <c r="P80" i="8"/>
  <c r="P74" i="8"/>
  <c r="G42" i="8"/>
  <c r="G43" i="8"/>
  <c r="G29" i="8"/>
  <c r="G27" i="3"/>
  <c r="G91" i="3"/>
  <c r="G40" i="3"/>
  <c r="G22" i="11"/>
  <c r="H54" i="11"/>
  <c r="N86" i="11"/>
  <c r="G63" i="11"/>
  <c r="H8" i="11"/>
  <c r="N40" i="11"/>
  <c r="G25" i="11"/>
  <c r="H57" i="11"/>
  <c r="N89" i="11"/>
  <c r="S55" i="8"/>
  <c r="S119" i="8"/>
  <c r="S17" i="8"/>
  <c r="S81" i="8"/>
  <c r="S145" i="8"/>
  <c r="S52" i="8"/>
  <c r="S96" i="8"/>
  <c r="S84" i="8"/>
  <c r="S48" i="8"/>
  <c r="S150" i="8"/>
  <c r="J22" i="8"/>
  <c r="J32" i="8"/>
  <c r="J41" i="8"/>
  <c r="J7" i="3"/>
  <c r="J71" i="3"/>
  <c r="J52" i="3"/>
  <c r="J29" i="3"/>
  <c r="J14" i="3"/>
  <c r="H6" i="11"/>
  <c r="N38" i="11"/>
  <c r="G15" i="11"/>
  <c r="H47" i="11"/>
  <c r="N79" i="11"/>
  <c r="G56" i="11"/>
  <c r="H88" i="11"/>
  <c r="N9" i="11"/>
  <c r="G73" i="11"/>
  <c r="S7" i="8"/>
  <c r="S71" i="8"/>
  <c r="S135" i="8"/>
  <c r="S33" i="8"/>
  <c r="S97" i="8"/>
  <c r="S161" i="8"/>
  <c r="S82" i="8"/>
  <c r="S16" i="8"/>
  <c r="S176" i="8"/>
  <c r="S170" i="8"/>
  <c r="J6" i="8"/>
  <c r="J7" i="8"/>
  <c r="J16" i="8"/>
  <c r="J23" i="3"/>
  <c r="J87" i="3"/>
  <c r="J36" i="3"/>
  <c r="J13" i="3"/>
  <c r="J77" i="3"/>
  <c r="J78" i="3"/>
  <c r="J5" i="3"/>
  <c r="G46" i="11"/>
  <c r="H78" i="11"/>
  <c r="N23" i="11"/>
  <c r="G87" i="11"/>
  <c r="H32" i="11"/>
  <c r="N64" i="11"/>
  <c r="G49" i="11"/>
  <c r="H81" i="11"/>
  <c r="G33" i="3"/>
  <c r="G18" i="3"/>
  <c r="H2" i="7"/>
  <c r="J82" i="3"/>
  <c r="J47" i="3"/>
  <c r="J28" i="3"/>
  <c r="J69" i="3"/>
  <c r="J66" i="3"/>
  <c r="S63" i="8"/>
  <c r="S127" i="8"/>
  <c r="S25" i="8"/>
  <c r="S89" i="8"/>
  <c r="S153" i="8"/>
  <c r="S68" i="8"/>
  <c r="S160" i="8"/>
  <c r="S148" i="8"/>
  <c r="S8" i="8"/>
  <c r="S112" i="8"/>
  <c r="S106" i="8"/>
  <c r="J30" i="8"/>
  <c r="J8" i="8"/>
  <c r="J17" i="8"/>
  <c r="J19" i="3"/>
  <c r="J83" i="3"/>
  <c r="J64" i="3"/>
  <c r="J41" i="3"/>
  <c r="J26" i="3"/>
  <c r="H26" i="11"/>
  <c r="N58" i="11"/>
  <c r="G3" i="11"/>
  <c r="H35" i="11"/>
  <c r="N67" i="11"/>
  <c r="G44" i="11"/>
  <c r="H76" i="11"/>
  <c r="N29" i="11"/>
  <c r="P3" i="8"/>
  <c r="P67" i="8"/>
  <c r="P131" i="8"/>
  <c r="P29" i="8"/>
  <c r="P93" i="8"/>
  <c r="P157" i="8"/>
  <c r="P76" i="8"/>
  <c r="P166" i="8"/>
  <c r="P154" i="8"/>
  <c r="P162" i="8"/>
  <c r="P124" i="8"/>
  <c r="P58" i="8"/>
  <c r="G35" i="8"/>
  <c r="G53" i="3"/>
  <c r="P152" i="8"/>
  <c r="F2" i="8"/>
  <c r="J12" i="8"/>
  <c r="J21" i="3"/>
  <c r="G62" i="11"/>
  <c r="H7" i="11"/>
  <c r="N39" i="11"/>
  <c r="G16" i="11"/>
  <c r="H48" i="11"/>
  <c r="N80" i="11"/>
  <c r="G65" i="11"/>
  <c r="J17" i="3"/>
  <c r="J81" i="3"/>
  <c r="J86" i="3"/>
  <c r="J31" i="3"/>
  <c r="J12" i="3"/>
  <c r="J76" i="3"/>
  <c r="J2" i="3"/>
  <c r="P15" i="8"/>
  <c r="P79" i="8"/>
  <c r="P143" i="8"/>
  <c r="P9" i="8"/>
  <c r="P73" i="8"/>
  <c r="P137" i="8"/>
  <c r="P36" i="8"/>
  <c r="P134" i="8"/>
  <c r="P70" i="8"/>
  <c r="P110" i="8"/>
  <c r="P92" i="8"/>
  <c r="P18" i="8"/>
  <c r="P2" i="8"/>
  <c r="S120" i="8"/>
  <c r="J46" i="8"/>
  <c r="J24" i="8"/>
  <c r="J54" i="3"/>
  <c r="J35" i="3"/>
  <c r="J16" i="3"/>
  <c r="J80" i="3"/>
  <c r="J57" i="3"/>
  <c r="J10" i="3"/>
  <c r="H10" i="11"/>
  <c r="N42" i="11"/>
  <c r="G19" i="11"/>
  <c r="H51" i="11"/>
  <c r="N83" i="11"/>
  <c r="G60" i="11"/>
  <c r="H13" i="11"/>
  <c r="N45" i="11"/>
  <c r="P19" i="8"/>
  <c r="P83" i="8"/>
  <c r="P147" i="8"/>
  <c r="P13" i="8"/>
  <c r="P77" i="8"/>
  <c r="P141" i="8"/>
  <c r="P44" i="8"/>
  <c r="P180" i="8"/>
  <c r="P40" i="8"/>
  <c r="P144" i="8"/>
  <c r="P138" i="8"/>
  <c r="G18" i="8"/>
  <c r="G5" i="8"/>
  <c r="G37" i="3"/>
  <c r="N7" i="4"/>
  <c r="G71" i="4"/>
  <c r="H16" i="4"/>
  <c r="N48" i="4"/>
  <c r="G21" i="4"/>
  <c r="H53" i="4"/>
  <c r="N85" i="4"/>
  <c r="G34" i="4"/>
  <c r="H14" i="4"/>
  <c r="N78" i="4"/>
  <c r="G43" i="4"/>
  <c r="H75" i="4"/>
  <c r="N20" i="4"/>
  <c r="G84" i="4"/>
  <c r="H25" i="4"/>
  <c r="N57" i="4"/>
  <c r="G54" i="4"/>
  <c r="H6" i="4"/>
  <c r="N86" i="4"/>
  <c r="G47" i="4"/>
  <c r="H79" i="4"/>
  <c r="N24" i="4"/>
  <c r="G88" i="4"/>
  <c r="H29" i="4"/>
  <c r="N61" i="4"/>
  <c r="G19" i="4"/>
  <c r="H51" i="4"/>
  <c r="N83" i="4"/>
  <c r="G60" i="4"/>
  <c r="H33" i="4"/>
  <c r="N65" i="4"/>
  <c r="G74" i="4"/>
  <c r="H66" i="4"/>
  <c r="N46" i="4"/>
  <c r="G55" i="4"/>
  <c r="H87" i="4"/>
  <c r="N32" i="4"/>
  <c r="G5" i="4"/>
  <c r="H37" i="4"/>
  <c r="N69" i="4"/>
  <c r="G82" i="4"/>
  <c r="H38" i="4"/>
  <c r="N27" i="4"/>
  <c r="G91" i="4"/>
  <c r="H4" i="4"/>
  <c r="N36" i="4"/>
  <c r="G9" i="4"/>
  <c r="H41" i="4"/>
  <c r="N73" i="4"/>
  <c r="G90" i="4"/>
  <c r="H58" i="4"/>
  <c r="N31" i="4"/>
  <c r="G8" i="4"/>
  <c r="H40" i="4"/>
  <c r="N72" i="4"/>
  <c r="G45" i="4"/>
  <c r="H77" i="4"/>
  <c r="N50" i="4"/>
  <c r="G3" i="4"/>
  <c r="H35" i="4"/>
  <c r="N67" i="4"/>
  <c r="G44" i="4"/>
  <c r="H76" i="4"/>
  <c r="N17" i="4"/>
  <c r="G81" i="4"/>
  <c r="H42" i="4"/>
  <c r="F2" i="4"/>
  <c r="N70" i="4"/>
  <c r="W40" i="2" a="1"/>
  <c r="T38" i="2" a="1"/>
  <c r="Q10" i="2" a="1"/>
  <c r="O42" i="2" a="1"/>
  <c r="W60" i="2" a="1"/>
  <c r="T42" i="2" a="1"/>
  <c r="P10" i="2" a="1"/>
  <c r="Y77" i="2" a="1"/>
  <c r="V31" i="2" a="1"/>
  <c r="R23" i="2" a="1"/>
  <c r="O72" i="2" a="1"/>
  <c r="X28" i="2" a="1"/>
  <c r="U34" i="2" a="1"/>
  <c r="R11" i="2" a="1"/>
  <c r="O19" i="2" a="1"/>
  <c r="X48" i="2" a="1"/>
  <c r="T75" i="2" a="1"/>
  <c r="Q51" i="2" a="1"/>
  <c r="N73" i="2" a="1"/>
  <c r="W67" i="2" a="1"/>
  <c r="T26" i="2" a="1"/>
  <c r="T10" i="2" a="1"/>
  <c r="Y31" i="2" a="1"/>
  <c r="V53" i="2" a="1"/>
  <c r="S26" i="2" a="1"/>
  <c r="P41" i="2" a="1"/>
  <c r="V29" i="2" a="1"/>
  <c r="T55" i="2" a="1"/>
  <c r="Q56" i="2" a="1"/>
  <c r="V51" i="2" a="1"/>
  <c r="W56" i="2" a="1"/>
  <c r="T74" i="2" a="1"/>
  <c r="P27" i="2" a="1"/>
  <c r="N44" i="2" a="1"/>
  <c r="W72" i="2" a="1"/>
  <c r="T78" i="2" a="1"/>
  <c r="P31" i="2" a="1"/>
  <c r="X16" i="2" a="1"/>
  <c r="U64" i="2" a="1"/>
  <c r="Q61" i="2" a="1"/>
  <c r="N16" i="2" a="1"/>
  <c r="W65" i="2" a="1"/>
  <c r="T17" i="2" a="1"/>
  <c r="Q50" i="2" a="1"/>
  <c r="N34" i="2" a="1"/>
  <c r="W50" i="2" a="1"/>
  <c r="S49" i="2" a="1"/>
  <c r="P75" i="2" a="1"/>
  <c r="Y48" i="2" a="1"/>
  <c r="V77" i="2" a="1"/>
  <c r="S86" i="2" a="1"/>
  <c r="P30" i="2" a="1"/>
  <c r="Y82" i="2" a="1"/>
  <c r="U84" i="2" a="1"/>
  <c r="R31" i="2" a="1"/>
  <c r="X69" i="2" a="1"/>
  <c r="U35" i="2" a="1"/>
  <c r="R34" i="2" a="1"/>
  <c r="O38" i="2" a="1"/>
  <c r="X77" i="2" a="1"/>
  <c r="U47" i="2" a="1"/>
  <c r="R38" i="2" a="1"/>
  <c r="O11" i="2" a="1"/>
  <c r="W25" i="2" a="1"/>
  <c r="T89" i="2" a="1"/>
  <c r="Q28" i="2" a="1"/>
  <c r="Y75" i="2" a="1"/>
  <c r="V67" i="2" a="1"/>
  <c r="R40" i="2" a="1"/>
  <c r="O23" i="2" a="1"/>
  <c r="X44" i="2" a="1"/>
  <c r="U62" i="2" a="1"/>
  <c r="R27" i="2" a="1"/>
  <c r="O27" i="2" a="1"/>
  <c r="X64" i="2" a="1"/>
  <c r="T79" i="2" a="1"/>
  <c r="Q59" i="2" a="1"/>
  <c r="N77" i="2" a="1"/>
  <c r="W16" i="2" a="1"/>
  <c r="T62" i="2" a="1"/>
  <c r="P19" i="2" a="1"/>
  <c r="W66" i="2" a="1"/>
  <c r="S65" i="2" a="1"/>
  <c r="P20" i="2" a="1"/>
  <c r="N51" i="2" a="1"/>
  <c r="W70" i="2" a="1"/>
  <c r="S69" i="2" a="1"/>
  <c r="P24" i="2" a="1"/>
  <c r="Y66" i="2" a="1"/>
  <c r="U36" i="2" a="1"/>
  <c r="R65" i="2" a="1"/>
  <c r="O65" i="2" a="1"/>
  <c r="X86" i="2" a="1"/>
  <c r="U42" i="2" a="1"/>
  <c r="Q79" i="2" a="1"/>
  <c r="N52" i="2" a="1"/>
  <c r="V32" i="2" a="1"/>
  <c r="S47" i="2" a="1"/>
  <c r="P68" i="2" a="1"/>
  <c r="Y25" i="2" a="1"/>
  <c r="V58" i="2" a="1"/>
  <c r="S84" i="2" a="1"/>
  <c r="O20" i="2" a="1"/>
  <c r="X57" i="2" a="1"/>
  <c r="U15" i="2" a="1"/>
  <c r="R26" i="2" a="1"/>
  <c r="O30" i="2" a="1"/>
  <c r="O57" i="2" a="1"/>
  <c r="O34" i="2" a="1"/>
  <c r="X17" i="2" a="1"/>
  <c r="W33" i="2" a="1"/>
  <c r="T76" i="2" a="1"/>
  <c r="Q38" i="2" a="1"/>
  <c r="N22" i="2" a="1"/>
  <c r="W49" i="2" a="1"/>
  <c r="T88" i="2" a="1"/>
  <c r="Q42" i="2" a="1"/>
  <c r="Y36" i="2" a="1"/>
  <c r="V49" i="2" a="1"/>
  <c r="S74" i="2" a="1"/>
  <c r="P18" i="2" a="1"/>
  <c r="Y70" i="2" a="1"/>
  <c r="U48" i="2" a="1"/>
  <c r="R73" i="2" a="1"/>
  <c r="O73" i="2" a="1"/>
  <c r="W48" i="2" a="1"/>
  <c r="T53" i="2" a="1"/>
  <c r="Q35" i="2" a="1"/>
  <c r="N70" i="2" a="1"/>
  <c r="W86" i="2" a="1"/>
  <c r="S89" i="2" a="1"/>
  <c r="P40" i="2" a="1"/>
  <c r="Y29" i="2" a="1"/>
  <c r="V62" i="2" a="1"/>
  <c r="S12" i="2" a="1"/>
  <c r="O24" i="2" a="1"/>
  <c r="Y24" i="2" a="1"/>
  <c r="X59" i="2" a="1"/>
  <c r="S63" i="2" a="1"/>
  <c r="Q30" i="2" a="1"/>
  <c r="V48" i="2" a="1"/>
  <c r="S83" i="2" a="1"/>
  <c r="P84" i="2" a="1"/>
  <c r="Y88" i="2" a="1"/>
  <c r="V59" i="2" a="1"/>
  <c r="R16" i="2" a="1"/>
  <c r="O77" i="2" a="1"/>
  <c r="X20" i="2" a="1"/>
  <c r="T67" i="2" a="1"/>
  <c r="Q27" i="2" a="1"/>
  <c r="N65" i="2" a="1"/>
  <c r="W80" i="2" a="1"/>
  <c r="T50" i="2" a="1"/>
  <c r="N10" i="2" a="1"/>
  <c r="Y23" i="2" a="1"/>
  <c r="V37" i="2" a="1"/>
  <c r="S18" i="2" a="1"/>
  <c r="P33" i="2" a="1"/>
  <c r="X89" i="2" a="1"/>
  <c r="U87" i="2" a="1"/>
  <c r="R52" i="2" a="1"/>
  <c r="N67" i="2" a="1"/>
  <c r="W52" i="2" a="1"/>
  <c r="T56" i="2" a="1"/>
  <c r="Q26" i="2" a="1"/>
  <c r="N14" i="2" a="1"/>
  <c r="R30" i="2" a="1"/>
  <c r="V34" i="2" a="1"/>
  <c r="Q34" i="2" a="1"/>
  <c r="X58" i="2" a="1"/>
  <c r="U26" i="2" a="1"/>
  <c r="Q43" i="2" a="1"/>
  <c r="N40" i="2" a="1"/>
  <c r="X70" i="2" a="1"/>
  <c r="U30" i="2" a="1"/>
  <c r="Q55" i="2" a="1"/>
  <c r="N29" i="2" a="1"/>
  <c r="W42" i="2" a="1"/>
  <c r="S41" i="2" a="1"/>
  <c r="P67" i="2" a="1"/>
  <c r="Y72" i="2" a="1"/>
  <c r="V18" i="2" a="1"/>
  <c r="S44" i="2" a="1"/>
  <c r="P54" i="2" a="1"/>
  <c r="Y74" i="2" a="1"/>
  <c r="U60" i="2" a="1"/>
  <c r="R81" i="2" a="1"/>
  <c r="O81" i="2" a="1"/>
  <c r="W64" i="2" a="1"/>
  <c r="T57" i="2" a="1"/>
  <c r="Q47" i="2" a="1"/>
  <c r="N74" i="2" a="1"/>
  <c r="G27" i="11"/>
  <c r="H68" i="11"/>
  <c r="P59" i="8"/>
  <c r="P149" i="8"/>
  <c r="P56" i="8"/>
  <c r="G13" i="8"/>
  <c r="J56" i="3"/>
  <c r="G66" i="11"/>
  <c r="H11" i="11"/>
  <c r="N43" i="11"/>
  <c r="G20" i="11"/>
  <c r="H52" i="11"/>
  <c r="N84" i="11"/>
  <c r="G37" i="11"/>
  <c r="H69" i="11"/>
  <c r="O2" i="9"/>
  <c r="S43" i="8"/>
  <c r="S107" i="8"/>
  <c r="S171" i="8"/>
  <c r="S37" i="8"/>
  <c r="S101" i="8"/>
  <c r="S165" i="8"/>
  <c r="S140" i="8"/>
  <c r="S62" i="8"/>
  <c r="S104" i="8"/>
  <c r="S80" i="8"/>
  <c r="S74" i="8"/>
  <c r="J42" i="8"/>
  <c r="J43" i="8"/>
  <c r="J29" i="8"/>
  <c r="J27" i="3"/>
  <c r="J91" i="3"/>
  <c r="J40" i="3"/>
  <c r="H22" i="11"/>
  <c r="N54" i="11"/>
  <c r="G31" i="11"/>
  <c r="H63" i="11"/>
  <c r="N8" i="11"/>
  <c r="G72" i="11"/>
  <c r="H25" i="11"/>
  <c r="N57" i="11"/>
  <c r="P23" i="8"/>
  <c r="P87" i="8"/>
  <c r="P151" i="8"/>
  <c r="P49" i="8"/>
  <c r="P113" i="8"/>
  <c r="P177" i="8"/>
  <c r="P108" i="8"/>
  <c r="P22" i="8"/>
  <c r="P174" i="8"/>
  <c r="P156" i="8"/>
  <c r="P34" i="8"/>
  <c r="G23" i="8"/>
  <c r="G9" i="8"/>
  <c r="G62" i="3"/>
  <c r="G39" i="3"/>
  <c r="G20" i="3"/>
  <c r="G84" i="3"/>
  <c r="G61" i="3"/>
  <c r="G50" i="3"/>
  <c r="N6" i="11"/>
  <c r="G70" i="11"/>
  <c r="H15" i="11"/>
  <c r="N47" i="11"/>
  <c r="G24" i="11"/>
  <c r="H56" i="11"/>
  <c r="N88" i="11"/>
  <c r="G41" i="11"/>
  <c r="H73" i="11"/>
  <c r="P39" i="8"/>
  <c r="P103" i="8"/>
  <c r="P167" i="8"/>
  <c r="P65" i="8"/>
  <c r="P129" i="8"/>
  <c r="P20" i="8"/>
  <c r="P54" i="8"/>
  <c r="P130" i="8"/>
  <c r="P66" i="8"/>
  <c r="P158" i="8"/>
  <c r="G38" i="8"/>
  <c r="G39" i="8"/>
  <c r="G25" i="8"/>
  <c r="G55" i="3"/>
  <c r="G4" i="3"/>
  <c r="G68" i="3"/>
  <c r="G45" i="3"/>
  <c r="G30" i="3"/>
  <c r="G19" i="8"/>
  <c r="G14" i="11"/>
  <c r="H46" i="11"/>
  <c r="N78" i="11"/>
  <c r="G55" i="11"/>
  <c r="H87" i="11"/>
  <c r="N32" i="11"/>
  <c r="G17" i="11"/>
  <c r="H49" i="11"/>
  <c r="N81" i="11"/>
  <c r="J33" i="3"/>
  <c r="J18" i="3"/>
  <c r="K2" i="7"/>
  <c r="G15" i="3"/>
  <c r="G79" i="3"/>
  <c r="G60" i="3"/>
  <c r="G22" i="3"/>
  <c r="P31" i="8"/>
  <c r="P95" i="8"/>
  <c r="P159" i="8"/>
  <c r="P57" i="8"/>
  <c r="P121" i="8"/>
  <c r="P4" i="8"/>
  <c r="P172" i="8"/>
  <c r="P38" i="8"/>
  <c r="P136" i="8"/>
  <c r="P64" i="8"/>
  <c r="P50" i="8"/>
  <c r="P94" i="8"/>
  <c r="G31" i="8"/>
  <c r="G40" i="8"/>
  <c r="G90" i="3"/>
  <c r="G51" i="3"/>
  <c r="G32" i="3"/>
  <c r="G9" i="3"/>
  <c r="G73" i="3"/>
  <c r="G74" i="3"/>
  <c r="N26" i="11"/>
  <c r="G90" i="11"/>
  <c r="H3" i="11"/>
  <c r="N35" i="11"/>
  <c r="G12" i="11"/>
  <c r="H44" i="11"/>
  <c r="N76" i="11"/>
  <c r="G61" i="11"/>
  <c r="S3" i="8"/>
  <c r="S67" i="8"/>
  <c r="S131" i="8"/>
  <c r="S29" i="8"/>
  <c r="S93" i="8"/>
  <c r="S157" i="8"/>
  <c r="S76" i="8"/>
  <c r="S166" i="8"/>
  <c r="S154" i="8"/>
  <c r="S162" i="8"/>
  <c r="S124" i="8"/>
  <c r="S58" i="8"/>
  <c r="J35" i="8"/>
  <c r="J53" i="3"/>
  <c r="S152" i="8"/>
  <c r="G3" i="8"/>
  <c r="G21" i="8"/>
  <c r="G30" i="11"/>
  <c r="H62" i="11"/>
  <c r="N7" i="11"/>
  <c r="G71" i="11"/>
  <c r="H16" i="11"/>
  <c r="N48" i="11"/>
  <c r="G33" i="11"/>
  <c r="H65" i="11"/>
  <c r="G49" i="3"/>
  <c r="G34" i="3"/>
  <c r="G42" i="3"/>
  <c r="G63" i="3"/>
  <c r="G44" i="3"/>
  <c r="G85" i="3"/>
  <c r="F2" i="3"/>
  <c r="S15" i="8"/>
  <c r="S79" i="8"/>
  <c r="S143" i="8"/>
  <c r="S9" i="8"/>
  <c r="S73" i="8"/>
  <c r="S137" i="8"/>
  <c r="S36" i="8"/>
  <c r="S134" i="8"/>
  <c r="S70" i="8"/>
  <c r="S110" i="8"/>
  <c r="S92" i="8"/>
  <c r="S18" i="8"/>
  <c r="S2" i="8"/>
  <c r="G14" i="8"/>
  <c r="G15" i="8"/>
  <c r="G33" i="8"/>
  <c r="G3" i="3"/>
  <c r="G67" i="3"/>
  <c r="G48" i="3"/>
  <c r="G25" i="3"/>
  <c r="G89" i="3"/>
  <c r="G46" i="3"/>
  <c r="N10" i="11"/>
  <c r="G74" i="11"/>
  <c r="H19" i="11"/>
  <c r="N51" i="11"/>
  <c r="G28" i="11"/>
  <c r="H60" i="11"/>
  <c r="N13" i="11"/>
  <c r="G77" i="11"/>
  <c r="S19" i="8"/>
  <c r="S83" i="8"/>
  <c r="S147" i="8"/>
  <c r="S13" i="8"/>
  <c r="S77" i="8"/>
  <c r="S141" i="8"/>
  <c r="S44" i="8"/>
  <c r="S180" i="8"/>
  <c r="S40" i="8"/>
  <c r="S144" i="8"/>
  <c r="S138" i="8"/>
  <c r="J18" i="8"/>
  <c r="J5" i="8"/>
  <c r="J37" i="3"/>
  <c r="G39" i="4"/>
  <c r="H71" i="4"/>
  <c r="N16" i="4"/>
  <c r="G80" i="4"/>
  <c r="H21" i="4"/>
  <c r="N53" i="4"/>
  <c r="G62" i="4"/>
  <c r="H34" i="4"/>
  <c r="N14" i="4"/>
  <c r="G11" i="4"/>
  <c r="H43" i="4"/>
  <c r="N75" i="4"/>
  <c r="G52" i="4"/>
  <c r="H84" i="4"/>
  <c r="N25" i="4"/>
  <c r="G89" i="4"/>
  <c r="H54" i="4"/>
  <c r="N6" i="4"/>
  <c r="G15" i="4"/>
  <c r="H47" i="4"/>
  <c r="N79" i="4"/>
  <c r="G56" i="4"/>
  <c r="H88" i="4"/>
  <c r="N29" i="4"/>
  <c r="G26" i="4"/>
  <c r="H19" i="4"/>
  <c r="N51" i="4"/>
  <c r="G28" i="4"/>
  <c r="H60" i="4"/>
  <c r="N33" i="4"/>
  <c r="G18" i="4"/>
  <c r="H74" i="4"/>
  <c r="N66" i="4"/>
  <c r="G23" i="4"/>
  <c r="H55" i="4"/>
  <c r="N87" i="4"/>
  <c r="G64" i="4"/>
  <c r="H5" i="4"/>
  <c r="N37" i="4"/>
  <c r="G10" i="4"/>
  <c r="H82" i="4"/>
  <c r="N38" i="4"/>
  <c r="G59" i="4"/>
  <c r="H91" i="4"/>
  <c r="N4" i="4"/>
  <c r="G68" i="4"/>
  <c r="H9" i="4"/>
  <c r="N41" i="4"/>
  <c r="G30" i="4"/>
  <c r="H90" i="4"/>
  <c r="N58" i="4"/>
  <c r="G63" i="4"/>
  <c r="H8" i="4"/>
  <c r="N40" i="4"/>
  <c r="G13" i="4"/>
  <c r="H45" i="4"/>
  <c r="N77" i="4"/>
  <c r="G22" i="4"/>
  <c r="H3" i="4"/>
  <c r="N35" i="4"/>
  <c r="G12" i="4"/>
  <c r="H44" i="4"/>
  <c r="N76" i="4"/>
  <c r="G49" i="4"/>
  <c r="H81" i="4"/>
  <c r="N42" i="4"/>
  <c r="N2" i="4"/>
  <c r="Y28" i="2" a="1"/>
  <c r="V33" i="2" a="1"/>
  <c r="S66" i="2" a="1"/>
  <c r="P82" i="2" a="1"/>
  <c r="Y32" i="2" a="1"/>
  <c r="V41" i="2" a="1"/>
  <c r="S70" i="2" a="1"/>
  <c r="P14" i="2" a="1"/>
  <c r="X61" i="2" a="1"/>
  <c r="U51" i="2" a="1"/>
  <c r="R20" i="2" a="1"/>
  <c r="N15" i="2" a="1"/>
  <c r="W44" i="2" a="1"/>
  <c r="T20" i="2" a="1"/>
  <c r="Q14" i="2" a="1"/>
  <c r="N63" i="2" a="1"/>
  <c r="W18" i="2" a="1"/>
  <c r="S17" i="2" a="1"/>
  <c r="P43" i="2" a="1"/>
  <c r="Y16" i="2" a="1"/>
  <c r="V17" i="2" a="1"/>
  <c r="S54" i="2" a="1"/>
  <c r="P77" i="2" a="1"/>
  <c r="Y50" i="2" a="1"/>
  <c r="U67" i="2" a="1"/>
  <c r="R41" i="2" a="1"/>
  <c r="O45" i="2" a="1"/>
  <c r="P66" i="2" a="1"/>
  <c r="N53" i="2" a="1"/>
  <c r="U44" i="2" a="1"/>
  <c r="Y60" i="2" a="1"/>
  <c r="V61" i="2" a="1"/>
  <c r="S56" i="2" a="1"/>
  <c r="P42" i="2" a="1"/>
  <c r="Y64" i="2" a="1"/>
  <c r="V75" i="2" a="1"/>
  <c r="S88" i="2" a="1"/>
  <c r="P46" i="2" a="1"/>
  <c r="W20" i="2" a="1"/>
  <c r="T45" i="2" a="1"/>
  <c r="Q15" i="2" a="1"/>
  <c r="N62" i="2" a="1"/>
  <c r="V28" i="2" a="1"/>
  <c r="S39" i="2" a="1"/>
  <c r="P64" i="2" a="1"/>
  <c r="Y21" i="2" a="1"/>
  <c r="V54" i="2" a="1"/>
  <c r="S68" i="2" a="1"/>
  <c r="O16" i="2" a="1"/>
  <c r="X84" i="2" a="1"/>
  <c r="U41" i="2" a="1"/>
  <c r="R56" i="2" a="1"/>
  <c r="O87" i="2" a="1"/>
  <c r="X62" i="2" a="1"/>
  <c r="T19" i="2" a="1"/>
  <c r="Q29" i="2" a="1"/>
  <c r="W15" i="2" a="1"/>
  <c r="T16" i="2" a="1"/>
  <c r="Q20" i="2" a="1"/>
  <c r="N89" i="2" a="1"/>
  <c r="W19" i="2" a="1"/>
  <c r="T28" i="2" a="1"/>
  <c r="Q24" i="2" a="1"/>
  <c r="Y15" i="2" a="1"/>
  <c r="V88" i="2" a="1"/>
  <c r="S87" i="2" a="1"/>
  <c r="P25" i="2" a="1"/>
  <c r="X40" i="2" a="1"/>
  <c r="U76" i="2" a="1"/>
  <c r="Q73" i="2" a="1"/>
  <c r="N20" i="2" a="1"/>
  <c r="W12" i="2" a="1"/>
  <c r="T32" i="2" a="1"/>
  <c r="Q18" i="2" a="1"/>
  <c r="N71" i="2" a="1"/>
  <c r="W22" i="2" a="1"/>
  <c r="S21" i="2" a="1"/>
  <c r="P47" i="2" a="1"/>
  <c r="Y52" i="2" a="1"/>
  <c r="V85" i="2" a="1"/>
  <c r="H59" i="11"/>
  <c r="N21" i="11"/>
  <c r="P123" i="8"/>
  <c r="P60" i="8"/>
  <c r="P100" i="8"/>
  <c r="G70" i="3"/>
  <c r="G2" i="11"/>
  <c r="H66" i="11"/>
  <c r="N11" i="11"/>
  <c r="G75" i="11"/>
  <c r="H20" i="11"/>
  <c r="N52" i="11"/>
  <c r="G5" i="11"/>
  <c r="H37" i="11"/>
  <c r="N69" i="11"/>
  <c r="P11" i="8"/>
  <c r="P75" i="8"/>
  <c r="P139" i="8"/>
  <c r="P5" i="8"/>
  <c r="P69" i="8"/>
  <c r="P133" i="8"/>
  <c r="P28" i="8"/>
  <c r="P128" i="8"/>
  <c r="P116" i="8"/>
  <c r="P24" i="8"/>
  <c r="P10" i="8"/>
  <c r="G10" i="8"/>
  <c r="G11" i="8"/>
  <c r="G20" i="8"/>
  <c r="G6" i="3"/>
  <c r="G59" i="3"/>
  <c r="G8" i="3"/>
  <c r="G72" i="3"/>
  <c r="N22" i="11"/>
  <c r="G86" i="11"/>
  <c r="H31" i="11"/>
  <c r="N63" i="11"/>
  <c r="G40" i="11"/>
  <c r="H72" i="11"/>
  <c r="N25" i="11"/>
  <c r="G89" i="11"/>
  <c r="S23" i="8"/>
  <c r="S87" i="8"/>
  <c r="S151" i="8"/>
  <c r="S49" i="8"/>
  <c r="S113" i="8"/>
  <c r="S177" i="8"/>
  <c r="S108" i="8"/>
  <c r="S22" i="8"/>
  <c r="S174" i="8"/>
  <c r="S156" i="8"/>
  <c r="S34" i="8"/>
  <c r="J23" i="8"/>
  <c r="J9" i="8"/>
  <c r="J62" i="3"/>
  <c r="J39" i="3"/>
  <c r="J20" i="3"/>
  <c r="J84" i="3"/>
  <c r="J61" i="3"/>
  <c r="J50" i="3"/>
  <c r="G38" i="11"/>
  <c r="H70" i="11"/>
  <c r="N15" i="11"/>
  <c r="G79" i="11"/>
  <c r="H24" i="11"/>
  <c r="N56" i="11"/>
  <c r="G9" i="11"/>
  <c r="H41" i="11"/>
  <c r="N73" i="11"/>
  <c r="S39" i="8"/>
  <c r="S103" i="8"/>
  <c r="S167" i="8"/>
  <c r="S65" i="8"/>
  <c r="S129" i="8"/>
  <c r="S20" i="8"/>
  <c r="S54" i="8"/>
  <c r="S130" i="8"/>
  <c r="S66" i="8"/>
  <c r="S158" i="8"/>
  <c r="J38" i="8"/>
  <c r="J39" i="8"/>
  <c r="J25" i="8"/>
  <c r="J55" i="3"/>
  <c r="J4" i="3"/>
  <c r="J68" i="3"/>
  <c r="J45" i="3"/>
  <c r="J30" i="3"/>
  <c r="J19" i="8"/>
  <c r="H14" i="11"/>
  <c r="N46" i="11"/>
  <c r="G23" i="11"/>
  <c r="H55" i="11"/>
  <c r="N87" i="11"/>
  <c r="G64" i="11"/>
  <c r="H17" i="11"/>
  <c r="N49" i="11"/>
  <c r="G88" i="3"/>
  <c r="G65" i="3"/>
  <c r="G58" i="3"/>
  <c r="G2" i="7"/>
  <c r="J15" i="3"/>
  <c r="J79" i="3"/>
  <c r="J60" i="3"/>
  <c r="J22" i="3"/>
  <c r="S31" i="8"/>
  <c r="S95" i="8"/>
  <c r="S159" i="8"/>
  <c r="S57" i="8"/>
  <c r="S121" i="8"/>
  <c r="S4" i="8"/>
  <c r="S172" i="8"/>
  <c r="S38" i="8"/>
  <c r="S136" i="8"/>
  <c r="S64" i="8"/>
  <c r="S50" i="8"/>
  <c r="S94" i="8"/>
  <c r="J31" i="8"/>
  <c r="J40" i="8"/>
  <c r="J90" i="3"/>
  <c r="J51" i="3"/>
  <c r="J32" i="3"/>
  <c r="J9" i="3"/>
  <c r="J73" i="3"/>
  <c r="J74" i="3"/>
  <c r="G58" i="11"/>
  <c r="H90" i="11"/>
  <c r="N3" i="11"/>
  <c r="G67" i="11"/>
  <c r="H12" i="11"/>
  <c r="N44" i="11"/>
  <c r="G29" i="11"/>
  <c r="H61" i="11"/>
  <c r="P35" i="8"/>
  <c r="P99" i="8"/>
  <c r="P163" i="8"/>
  <c r="P61" i="8"/>
  <c r="P125" i="8"/>
  <c r="P12" i="8"/>
  <c r="P178" i="8"/>
  <c r="P46" i="8"/>
  <c r="P142" i="8"/>
  <c r="P72" i="8"/>
  <c r="P118" i="8"/>
  <c r="G34" i="8"/>
  <c r="G44" i="8"/>
  <c r="P164" i="8"/>
  <c r="G2" i="8"/>
  <c r="J3" i="8"/>
  <c r="J21" i="8"/>
  <c r="H30" i="11"/>
  <c r="N62" i="11"/>
  <c r="G39" i="11"/>
  <c r="H71" i="11"/>
  <c r="N16" i="11"/>
  <c r="G80" i="11"/>
  <c r="H33" i="11"/>
  <c r="N65" i="11"/>
  <c r="J49" i="3"/>
  <c r="J34" i="3"/>
  <c r="J42" i="3"/>
  <c r="J63" i="3"/>
  <c r="J44" i="3"/>
  <c r="J85" i="3"/>
  <c r="G38" i="3"/>
  <c r="P47" i="8"/>
  <c r="P111" i="8"/>
  <c r="P175" i="8"/>
  <c r="P41" i="8"/>
  <c r="P105" i="8"/>
  <c r="P169" i="8"/>
  <c r="P146" i="8"/>
  <c r="P6" i="8"/>
  <c r="P122" i="8"/>
  <c r="P32" i="8"/>
  <c r="P86" i="8"/>
  <c r="P132" i="8"/>
  <c r="O2" i="8"/>
  <c r="J14" i="8"/>
  <c r="J15" i="8"/>
  <c r="J33" i="8"/>
  <c r="J3" i="3"/>
  <c r="J67" i="3"/>
  <c r="J48" i="3"/>
  <c r="J25" i="3"/>
  <c r="J89" i="3"/>
  <c r="J46" i="3"/>
  <c r="G42" i="11"/>
  <c r="H74" i="11"/>
  <c r="N19" i="11"/>
  <c r="G83" i="11"/>
  <c r="H28" i="11"/>
  <c r="N60" i="11"/>
  <c r="G45" i="11"/>
  <c r="H77" i="11"/>
  <c r="P51" i="8"/>
  <c r="P115" i="8"/>
  <c r="P179" i="8"/>
  <c r="P45" i="8"/>
  <c r="P109" i="8"/>
  <c r="P173" i="8"/>
  <c r="P14" i="8"/>
  <c r="P168" i="8"/>
  <c r="P98" i="8"/>
  <c r="P26" i="8"/>
  <c r="P126" i="8"/>
  <c r="G28" i="8"/>
  <c r="G37" i="8"/>
  <c r="G7" i="4"/>
  <c r="H39" i="4"/>
  <c r="N71" i="4"/>
  <c r="G48" i="4"/>
  <c r="H80" i="4"/>
  <c r="N21" i="4"/>
  <c r="G85" i="4"/>
  <c r="H62" i="4"/>
  <c r="N34" i="4"/>
  <c r="G78" i="4"/>
  <c r="H11" i="4"/>
  <c r="N43" i="4"/>
  <c r="G20" i="4"/>
  <c r="H52" i="4"/>
  <c r="N84" i="4"/>
  <c r="G57" i="4"/>
  <c r="H89" i="4"/>
  <c r="N54" i="4"/>
  <c r="G86" i="4"/>
  <c r="H15" i="4"/>
  <c r="N47" i="4"/>
  <c r="G24" i="4"/>
  <c r="H56" i="4"/>
  <c r="N88" i="4"/>
  <c r="G61" i="4"/>
  <c r="H26" i="4"/>
  <c r="N19" i="4"/>
  <c r="G83" i="4"/>
  <c r="H28" i="4"/>
  <c r="N60" i="4"/>
  <c r="G65" i="4"/>
  <c r="H18" i="4"/>
  <c r="N74" i="4"/>
  <c r="G46" i="4"/>
  <c r="H23" i="4"/>
  <c r="N55" i="4"/>
  <c r="G32" i="4"/>
  <c r="H64" i="4"/>
  <c r="N5" i="4"/>
  <c r="G69" i="4"/>
  <c r="H10" i="4"/>
  <c r="N82" i="4"/>
  <c r="G27" i="4"/>
  <c r="H59" i="4"/>
  <c r="N91" i="4"/>
  <c r="G36" i="4"/>
  <c r="H68" i="4"/>
  <c r="N9" i="4"/>
  <c r="G73" i="4"/>
  <c r="H30" i="4"/>
  <c r="N90" i="4"/>
  <c r="G31" i="4"/>
  <c r="H63" i="4"/>
  <c r="N8" i="4"/>
  <c r="G72" i="4"/>
  <c r="H13" i="4"/>
  <c r="N45" i="4"/>
  <c r="G50" i="4"/>
  <c r="H22" i="4"/>
  <c r="N3" i="4"/>
  <c r="G67" i="4"/>
  <c r="H12" i="4"/>
  <c r="N44" i="4"/>
  <c r="G17" i="4"/>
  <c r="H49" i="4"/>
  <c r="N81" i="4"/>
  <c r="G2" i="4"/>
  <c r="G70" i="4"/>
  <c r="X63" i="2" a="1"/>
  <c r="U17" i="2" a="1"/>
  <c r="R63" i="2" a="1"/>
  <c r="O67" i="2" a="1"/>
  <c r="X68" i="2" a="1"/>
  <c r="U21" i="2" a="1"/>
  <c r="R79" i="2" a="1"/>
  <c r="O79" i="2" a="1"/>
  <c r="W57" i="2" a="1"/>
  <c r="T13" i="2" a="1"/>
  <c r="Q46" i="2" a="1"/>
  <c r="N30" i="2" a="1"/>
  <c r="W78" i="2" a="1"/>
  <c r="S81" i="2" a="1"/>
  <c r="P32" i="2" a="1"/>
  <c r="Y81" i="2" a="1"/>
  <c r="V22" i="2" a="1"/>
  <c r="S60" i="2" a="1"/>
  <c r="P58" i="2" a="1"/>
  <c r="Y78" i="2" a="1"/>
  <c r="U72" i="2" a="1"/>
  <c r="R19" i="2" a="1"/>
  <c r="O31" i="2" a="1"/>
  <c r="X22" i="2" a="1"/>
  <c r="U54" i="2" a="1"/>
  <c r="Q44" i="2" a="1"/>
  <c r="N64" i="2" a="1"/>
  <c r="N18" i="2" a="1"/>
  <c r="S48" i="2" a="1"/>
  <c r="O78" i="2" a="1"/>
  <c r="X25" i="2" a="1"/>
  <c r="U53" i="2" a="1"/>
  <c r="R42" i="2" a="1"/>
  <c r="O74" i="2" a="1"/>
  <c r="X29" i="2" a="1"/>
  <c r="U57" i="2" a="1"/>
  <c r="R70" i="2" a="1"/>
  <c r="O82" i="2" a="1"/>
  <c r="V56" i="2" a="1"/>
  <c r="S15" i="2" a="1"/>
  <c r="P53" i="2" a="1"/>
  <c r="Y85" i="2" a="1"/>
  <c r="V35" i="2" a="1"/>
  <c r="R35" i="2" a="1"/>
  <c r="O76" i="2" a="1"/>
  <c r="X19" i="2" a="1"/>
  <c r="U83" i="2" a="1"/>
  <c r="R54" i="2" a="1"/>
  <c r="O58" i="2" a="1"/>
  <c r="X39" i="2" a="1"/>
  <c r="T47" i="2" a="1"/>
  <c r="Q65" i="2" a="1"/>
  <c r="N45" i="2" a="1"/>
  <c r="W79" i="2" a="1"/>
  <c r="T30" i="2" a="1"/>
  <c r="S10" i="2" a="1"/>
  <c r="W34" i="2" a="1"/>
  <c r="S33" i="2" a="1"/>
  <c r="P59" i="2" a="1"/>
  <c r="N61" i="2" a="1"/>
  <c r="W38" i="2" a="1"/>
  <c r="S37" i="2" a="1"/>
  <c r="P63" i="2" a="1"/>
  <c r="Y34" i="2" a="1"/>
  <c r="U19" i="2" a="1"/>
  <c r="R21" i="2" a="1"/>
  <c r="O25" i="2" a="1"/>
  <c r="W32" i="2" a="1"/>
  <c r="T49" i="2" a="1"/>
  <c r="Q23" i="2" a="1"/>
  <c r="N66" i="2" a="1"/>
  <c r="W82" i="2" a="1"/>
  <c r="S85" i="2" a="1"/>
  <c r="P36" i="2" a="1"/>
  <c r="Y43" i="2" a="1"/>
  <c r="V26" i="2" a="1"/>
  <c r="S76" i="2" a="1"/>
  <c r="P62" i="2" a="1"/>
  <c r="X13" i="2" a="1"/>
  <c r="U45" i="2" a="1"/>
  <c r="R68" i="2" a="1"/>
  <c r="X67" i="2" a="1"/>
  <c r="U56" i="2" a="1"/>
  <c r="R74" i="2" a="1"/>
  <c r="O86" i="2" a="1"/>
  <c r="X79" i="2" a="1"/>
  <c r="U68" i="2" a="1"/>
  <c r="R78" i="2" a="1"/>
  <c r="O83" i="2" a="1"/>
  <c r="W81" i="2" a="1"/>
  <c r="T14" i="2" a="1"/>
  <c r="W10" i="2" a="1"/>
  <c r="Y19" i="2" a="1"/>
  <c r="V25" i="2" a="1"/>
  <c r="S14" i="2" a="1"/>
  <c r="P29" i="2" a="1"/>
  <c r="X81" i="2" a="1"/>
  <c r="U75" i="2" a="1"/>
  <c r="R36" i="2" a="1"/>
  <c r="N55" i="2" a="1"/>
  <c r="W35" i="2" a="1"/>
  <c r="T72" i="2" a="1"/>
  <c r="Q76" i="2" a="1"/>
  <c r="N31" i="2" a="1"/>
  <c r="W26" i="2" a="1"/>
  <c r="S25" i="2" a="1"/>
  <c r="P51" i="2" a="1"/>
  <c r="P45" i="2" a="1"/>
  <c r="R80" i="2" a="1"/>
  <c r="Y33" i="2" a="1"/>
  <c r="Y69" i="2" a="1"/>
  <c r="V23" i="2" a="1"/>
  <c r="R89" i="2" a="1"/>
  <c r="O64" i="2" a="1"/>
  <c r="Y73" i="2" a="1"/>
  <c r="V27" i="2" a="1"/>
  <c r="R15" i="2" a="1"/>
  <c r="O68" i="2" a="1"/>
  <c r="X11" i="2" a="1"/>
  <c r="T35" i="2" a="1"/>
  <c r="Q49" i="2" a="1"/>
  <c r="N33" i="2" a="1"/>
  <c r="W89" i="2" a="1"/>
  <c r="T18" i="2" a="1"/>
  <c r="V10" i="2" a="1"/>
  <c r="Y84" i="2" a="1"/>
  <c r="V87" i="2" a="1"/>
  <c r="R48" i="2" a="1"/>
  <c r="O47" i="2" a="1"/>
  <c r="X60" i="2" a="1"/>
  <c r="U74" i="2" a="1"/>
  <c r="R39" i="2" a="1"/>
  <c r="O35" i="2" a="1"/>
  <c r="W39" i="2" a="1"/>
  <c r="T84" i="2" a="1"/>
  <c r="Q84" i="2" a="1"/>
  <c r="N35" i="2" a="1"/>
  <c r="T87" i="2" a="1"/>
  <c r="W30" i="2" a="1"/>
  <c r="R66" i="2" a="1"/>
  <c r="X71" i="2" a="1"/>
  <c r="U40" i="2" a="1"/>
  <c r="R84" i="2" a="1"/>
  <c r="N87" i="2" a="1"/>
  <c r="W75" i="2" a="1"/>
  <c r="T41" i="2" a="1"/>
  <c r="Q86" i="2" a="1"/>
  <c r="Y68" i="2" a="1"/>
  <c r="V14" i="2" a="1"/>
  <c r="S20" i="2" a="1"/>
  <c r="P50" i="2" a="1"/>
  <c r="X36" i="2" a="1"/>
  <c r="U29" i="2" a="1"/>
  <c r="R32" i="2" a="1"/>
  <c r="O85" i="2" a="1"/>
  <c r="X14" i="2" a="1"/>
  <c r="U46" i="2" a="1"/>
  <c r="Q16" i="2" a="1"/>
  <c r="N56" i="2" a="1"/>
  <c r="V36" i="2" a="1"/>
  <c r="S59" i="2" a="1"/>
  <c r="P72" i="2" a="1"/>
  <c r="Y61" i="2" a="1"/>
  <c r="V15" i="2" a="1"/>
  <c r="R77" i="2" a="1"/>
  <c r="O56" i="2" a="1"/>
  <c r="Y86" i="2" a="1"/>
  <c r="W36" i="2" a="1"/>
  <c r="P13" i="2" a="1"/>
  <c r="P48" i="2" a="1"/>
  <c r="V80" i="2" a="1"/>
  <c r="S71" i="2" a="1"/>
  <c r="P17" i="2" a="1"/>
  <c r="Y11" i="2" a="1"/>
  <c r="V84" i="2" a="1"/>
  <c r="S79" i="2" a="1"/>
  <c r="P21" i="2" a="1"/>
  <c r="X85" i="2" a="1"/>
  <c r="U59" i="2" a="1"/>
  <c r="R46" i="2" a="1"/>
  <c r="O46" i="2" a="1"/>
  <c r="X32" i="2" a="1"/>
  <c r="T71" i="2" a="1"/>
  <c r="Q39" i="2" a="1"/>
  <c r="N69" i="2" a="1"/>
  <c r="W51" i="2" a="1"/>
  <c r="T22" i="2" a="1"/>
  <c r="U10" i="2" a="1"/>
  <c r="Y14" i="2" a="1"/>
  <c r="U33" i="2" a="1"/>
  <c r="R60" i="2" a="1"/>
  <c r="O63" i="2" a="1"/>
  <c r="X27" i="2" a="1"/>
  <c r="H18" i="11"/>
  <c r="N91" i="11"/>
  <c r="G85" i="11"/>
  <c r="P21" i="8"/>
  <c r="P102" i="8"/>
  <c r="G26" i="8"/>
  <c r="G43" i="3"/>
  <c r="N2" i="11"/>
  <c r="N66" i="11"/>
  <c r="G43" i="11"/>
  <c r="H75" i="11"/>
  <c r="N20" i="11"/>
  <c r="G84" i="11"/>
  <c r="H5" i="11"/>
  <c r="N37" i="11"/>
  <c r="P2" i="9"/>
  <c r="S11" i="8"/>
  <c r="S75" i="8"/>
  <c r="S139" i="8"/>
  <c r="S5" i="8"/>
  <c r="S69" i="8"/>
  <c r="S133" i="8"/>
  <c r="S28" i="8"/>
  <c r="S128" i="8"/>
  <c r="S116" i="8"/>
  <c r="S24" i="8"/>
  <c r="S10" i="8"/>
  <c r="J10" i="8"/>
  <c r="J11" i="8"/>
  <c r="J20" i="8"/>
  <c r="J6" i="3"/>
  <c r="J59" i="3"/>
  <c r="J8" i="3"/>
  <c r="J72" i="3"/>
  <c r="G54" i="11"/>
  <c r="H86" i="11"/>
  <c r="N31" i="11"/>
  <c r="G8" i="11"/>
  <c r="H40" i="11"/>
  <c r="N72" i="11"/>
  <c r="G57" i="11"/>
  <c r="H89" i="11"/>
  <c r="P55" i="8"/>
  <c r="P119" i="8"/>
  <c r="P17" i="8"/>
  <c r="P81" i="8"/>
  <c r="P145" i="8"/>
  <c r="P52" i="8"/>
  <c r="P96" i="8"/>
  <c r="P84" i="8"/>
  <c r="P48" i="8"/>
  <c r="P150" i="8"/>
  <c r="G22" i="8"/>
  <c r="G32" i="8"/>
  <c r="G41" i="8"/>
  <c r="G7" i="3"/>
  <c r="G71" i="3"/>
  <c r="G52" i="3"/>
  <c r="G29" i="3"/>
  <c r="G14" i="3"/>
  <c r="G6" i="11"/>
  <c r="H38" i="11"/>
  <c r="N70" i="11"/>
  <c r="G47" i="11"/>
  <c r="H79" i="11"/>
  <c r="N24" i="11"/>
  <c r="G88" i="11"/>
  <c r="H9" i="11"/>
  <c r="N41" i="11"/>
  <c r="P7" i="8"/>
  <c r="P71" i="8"/>
  <c r="P135" i="8"/>
  <c r="P33" i="8"/>
  <c r="P97" i="8"/>
  <c r="P161" i="8"/>
  <c r="P82" i="8"/>
  <c r="P16" i="8"/>
  <c r="P176" i="8"/>
  <c r="P170" i="8"/>
  <c r="G6" i="8"/>
  <c r="G7" i="8"/>
  <c r="G16" i="8"/>
  <c r="G23" i="3"/>
  <c r="G87" i="3"/>
  <c r="G36" i="3"/>
  <c r="G13" i="3"/>
  <c r="G77" i="3"/>
  <c r="G78" i="3"/>
  <c r="G5" i="3"/>
  <c r="N14" i="11"/>
  <c r="G78" i="11"/>
  <c r="H23" i="11"/>
  <c r="N55" i="11"/>
  <c r="G32" i="11"/>
  <c r="H64" i="11"/>
  <c r="N17" i="11"/>
  <c r="G81" i="11"/>
  <c r="J88" i="3"/>
  <c r="J65" i="3"/>
  <c r="J58" i="3"/>
  <c r="G82" i="3"/>
  <c r="G47" i="3"/>
  <c r="G28" i="3"/>
  <c r="G69" i="3"/>
  <c r="G66" i="3"/>
  <c r="P63" i="8"/>
  <c r="P127" i="8"/>
  <c r="P25" i="8"/>
  <c r="P89" i="8"/>
  <c r="P153" i="8"/>
  <c r="P68" i="8"/>
  <c r="P160" i="8"/>
  <c r="P148" i="8"/>
  <c r="P8" i="8"/>
  <c r="P112" i="8"/>
  <c r="P106" i="8"/>
  <c r="G30" i="8"/>
  <c r="G8" i="8"/>
  <c r="G17" i="8"/>
  <c r="G19" i="3"/>
  <c r="G83" i="3"/>
  <c r="G64" i="3"/>
  <c r="G41" i="3"/>
  <c r="G26" i="3"/>
  <c r="G26" i="11"/>
  <c r="H58" i="11"/>
  <c r="N90" i="11"/>
  <c r="G35" i="11"/>
  <c r="H67" i="11"/>
  <c r="N12" i="11"/>
  <c r="G76" i="11"/>
  <c r="H29" i="11"/>
  <c r="N61" i="11"/>
  <c r="S35" i="8"/>
  <c r="S99" i="8"/>
  <c r="S163" i="8"/>
  <c r="S61" i="8"/>
  <c r="S125" i="8"/>
  <c r="S12" i="8"/>
  <c r="S178" i="8"/>
  <c r="S46" i="8"/>
  <c r="S142" i="8"/>
  <c r="S72" i="8"/>
  <c r="S118" i="8"/>
  <c r="J2" i="8"/>
  <c r="G7" i="11"/>
  <c r="H80" i="11"/>
  <c r="G86" i="3"/>
  <c r="G2" i="3"/>
  <c r="S175" i="8"/>
  <c r="S146" i="8"/>
  <c r="S86" i="8"/>
  <c r="G24" i="8"/>
  <c r="G80" i="3"/>
  <c r="H42" i="11"/>
  <c r="N28" i="11"/>
  <c r="S51" i="8"/>
  <c r="S109" i="8"/>
  <c r="S98" i="8"/>
  <c r="J37" i="8"/>
  <c r="H48" i="4"/>
  <c r="N62" i="4"/>
  <c r="G75" i="4"/>
  <c r="H57" i="4"/>
  <c r="N15" i="4"/>
  <c r="G29" i="4"/>
  <c r="H83" i="4"/>
  <c r="N18" i="4"/>
  <c r="G87" i="4"/>
  <c r="H69" i="4"/>
  <c r="N59" i="4"/>
  <c r="G41" i="4"/>
  <c r="H31" i="4"/>
  <c r="N13" i="4"/>
  <c r="H70" i="4"/>
  <c r="N25" i="2" a="1"/>
  <c r="N26" i="2" a="1"/>
  <c r="Y49" i="2" a="1"/>
  <c r="T21" i="2" a="1"/>
  <c r="U39" i="2" a="1"/>
  <c r="X52" i="2" a="1"/>
  <c r="Q22" i="2" a="1"/>
  <c r="W13" i="2" a="1"/>
  <c r="V47" i="2" a="1"/>
  <c r="Y18" i="2" a="1"/>
  <c r="P80" i="2" a="1"/>
  <c r="J34" i="8"/>
  <c r="G12" i="8"/>
  <c r="H39" i="11"/>
  <c r="N33" i="11"/>
  <c r="G31" i="3"/>
  <c r="J38" i="3"/>
  <c r="S41" i="8"/>
  <c r="S6" i="8"/>
  <c r="S132" i="8"/>
  <c r="G54" i="3"/>
  <c r="G57" i="3"/>
  <c r="N74" i="11"/>
  <c r="G13" i="11"/>
  <c r="S115" i="8"/>
  <c r="S173" i="8"/>
  <c r="S26" i="8"/>
  <c r="H7" i="4"/>
  <c r="N80" i="4"/>
  <c r="G14" i="4"/>
  <c r="H20" i="4"/>
  <c r="N89" i="4"/>
  <c r="G79" i="4"/>
  <c r="H61" i="4"/>
  <c r="N28" i="4"/>
  <c r="G66" i="4"/>
  <c r="H32" i="4"/>
  <c r="N10" i="4"/>
  <c r="G4" i="4"/>
  <c r="H73" i="4"/>
  <c r="N63" i="4"/>
  <c r="G77" i="4"/>
  <c r="H67" i="4"/>
  <c r="N49" i="4"/>
  <c r="X74" i="2" a="1"/>
  <c r="X82" i="2" a="1"/>
  <c r="V24" i="2" a="1"/>
  <c r="V82" i="2" a="1"/>
  <c r="U77" i="2" a="1"/>
  <c r="T15" i="2" a="1"/>
  <c r="T64" i="2" a="1"/>
  <c r="R76" i="2" a="1"/>
  <c r="Q85" i="2" a="1"/>
  <c r="Q11" i="2" a="1"/>
  <c r="O89" i="2" a="1"/>
  <c r="N43" i="2" a="1"/>
  <c r="N27" i="2" a="1"/>
  <c r="Y20" i="2" a="1"/>
  <c r="V38" i="2" a="1"/>
  <c r="V42" i="2" a="1"/>
  <c r="U38" i="2" a="1"/>
  <c r="S31" i="2" a="1"/>
  <c r="R61" i="2" a="1"/>
  <c r="R22" i="2" a="1"/>
  <c r="S24" i="2" a="1"/>
  <c r="V70" i="2" a="1"/>
  <c r="O32" i="2" a="1"/>
  <c r="V74" i="2" a="1"/>
  <c r="O36" i="2" a="1"/>
  <c r="U78" i="2" a="1"/>
  <c r="N80" i="2" a="1"/>
  <c r="T24" i="2" a="1"/>
  <c r="Y89" i="2" a="1"/>
  <c r="R43" i="2" a="1"/>
  <c r="X35" i="2" a="1"/>
  <c r="R58" i="2" a="1"/>
  <c r="X80" i="2" a="1"/>
  <c r="Q71" i="2" a="1"/>
  <c r="X21" i="2" a="1"/>
  <c r="R59" i="2" a="1"/>
  <c r="S23" i="2" a="1"/>
  <c r="N58" i="2" a="1"/>
  <c r="S27" i="2" a="1"/>
  <c r="X12" i="2" a="1"/>
  <c r="R12" i="2" a="1"/>
  <c r="X46" i="2" a="1"/>
  <c r="Q17" i="2" a="1"/>
  <c r="V64" i="2" a="1"/>
  <c r="P81" i="2" a="1"/>
  <c r="V11" i="2" a="1"/>
  <c r="O52" i="2" a="1"/>
  <c r="U32" i="2" a="1"/>
  <c r="O70" i="2" a="1"/>
  <c r="Q77" i="2" a="1"/>
  <c r="Y83" i="2" a="1"/>
  <c r="R87" i="2" a="1"/>
  <c r="X83" i="2" a="1"/>
  <c r="Q33" i="2" a="1"/>
  <c r="W88" i="2" a="1"/>
  <c r="P35" i="2" a="1"/>
  <c r="V57" i="2" a="1"/>
  <c r="P22" i="2" a="1"/>
  <c r="U43" i="2" a="1"/>
  <c r="O37" i="2" a="1"/>
  <c r="T25" i="2" a="1"/>
  <c r="N42" i="2" a="1"/>
  <c r="S11" i="2" a="1"/>
  <c r="Q31" i="2" a="1"/>
  <c r="X51" i="2" a="1"/>
  <c r="W17" i="2" a="1"/>
  <c r="Q83" i="2" a="1"/>
  <c r="W21" i="2" a="1"/>
  <c r="Q12" i="2" a="1"/>
  <c r="V46" i="2" a="1"/>
  <c r="P79" i="2" a="1"/>
  <c r="U69" i="2" a="1"/>
  <c r="O18" i="2" a="1"/>
  <c r="T11" i="2" a="1"/>
  <c r="N88" i="2" a="1"/>
  <c r="S51" i="2" a="1"/>
  <c r="Y55" i="2" a="1"/>
  <c r="U16" i="2" a="1"/>
  <c r="R64" i="2" a="1"/>
  <c r="N75" i="2" a="1"/>
  <c r="Q37" i="2" a="1"/>
  <c r="P38" i="2" a="1"/>
  <c r="W62" i="2" a="1"/>
  <c r="V73" i="2" a="1"/>
  <c r="U80" i="2" a="1"/>
  <c r="T54" i="2" a="1"/>
  <c r="R72" i="2" a="1"/>
  <c r="U20" i="2" a="1"/>
  <c r="T85" i="2" a="1"/>
  <c r="S82" i="2" a="1"/>
  <c r="Q19" i="2" a="1"/>
  <c r="U66" i="2" a="1"/>
  <c r="S77" i="2" a="1"/>
  <c r="R44" i="2" a="1"/>
  <c r="Q63" i="2" a="1"/>
  <c r="U79" i="2" a="1"/>
  <c r="R33" i="2" a="1"/>
  <c r="Q57" i="2" a="1"/>
  <c r="P83" i="2" a="1"/>
  <c r="X65" i="2" a="1"/>
  <c r="Y63" i="2" a="1"/>
  <c r="W27" i="2" a="1"/>
  <c r="V45" i="2" a="1"/>
  <c r="N78" i="2" a="1"/>
  <c r="S30" i="2" a="1"/>
  <c r="T43" i="2" a="1"/>
  <c r="T80" i="2" a="1"/>
  <c r="X34" i="2" a="1"/>
  <c r="R57" i="2" a="1"/>
  <c r="P71" i="2" a="1"/>
  <c r="O41" i="2" a="1"/>
  <c r="R10" i="2" a="1"/>
  <c r="R85" i="2" a="1"/>
  <c r="O40" i="2" a="1"/>
  <c r="N21" i="2" a="1"/>
  <c r="W43" i="2" a="1"/>
  <c r="Q68" i="2" a="1"/>
  <c r="P28" i="2" a="1"/>
  <c r="O55" i="2" a="1"/>
  <c r="O75" i="2" a="1"/>
  <c r="P55" i="2" a="1"/>
  <c r="Y10" i="2" a="1"/>
  <c r="T66" i="2" a="1"/>
  <c r="N68" i="2" a="1"/>
  <c r="N11" i="2" a="1"/>
  <c r="V72" i="2" a="1"/>
  <c r="R86" i="2" a="1"/>
  <c r="S29" i="2" a="1"/>
  <c r="O66" i="2" a="1"/>
  <c r="U55" i="2" a="1"/>
  <c r="W69" i="2" a="1"/>
  <c r="X30" i="2" a="1"/>
  <c r="T65" i="2" a="1"/>
  <c r="N41" i="2" a="1"/>
  <c r="J44" i="8"/>
  <c r="G21" i="3"/>
  <c r="N71" i="11"/>
  <c r="G17" i="3"/>
  <c r="G12" i="3"/>
  <c r="S47" i="8"/>
  <c r="S105" i="8"/>
  <c r="S122" i="8"/>
  <c r="P120" i="8"/>
  <c r="G35" i="3"/>
  <c r="G10" i="3"/>
  <c r="G51" i="11"/>
  <c r="H45" i="11"/>
  <c r="S179" i="8"/>
  <c r="S14" i="8"/>
  <c r="S126" i="8"/>
  <c r="N39" i="4"/>
  <c r="G53" i="4"/>
  <c r="H78" i="4"/>
  <c r="N52" i="4"/>
  <c r="G6" i="4"/>
  <c r="H24" i="4"/>
  <c r="N26" i="4"/>
  <c r="G33" i="4"/>
  <c r="H46" i="4"/>
  <c r="N64" i="4"/>
  <c r="G38" i="4"/>
  <c r="H36" i="4"/>
  <c r="N30" i="4"/>
  <c r="G40" i="4"/>
  <c r="H50" i="4"/>
  <c r="N12" i="4"/>
  <c r="G42" i="4"/>
  <c r="T27" i="2" a="1"/>
  <c r="T31" i="2" a="1"/>
  <c r="S35" i="2" a="1"/>
  <c r="R53" i="2" a="1"/>
  <c r="R18" i="2" a="1"/>
  <c r="Q25" i="2" a="1"/>
  <c r="Q72" i="2" a="1"/>
  <c r="T68" i="2" a="1"/>
  <c r="N57" i="2" a="1"/>
  <c r="Y39" i="2" a="1"/>
  <c r="X73" i="2" a="1"/>
  <c r="W31" i="2" a="1"/>
  <c r="W83" i="2" a="1"/>
  <c r="V21" i="2" a="1"/>
  <c r="S64" i="2" a="1"/>
  <c r="S80" i="2" a="1"/>
  <c r="Q67" i="2" a="1"/>
  <c r="P73" i="2" a="1"/>
  <c r="O48" i="2" a="1"/>
  <c r="O26" i="2" a="1"/>
  <c r="Q69" i="2" a="1"/>
  <c r="T61" i="2" a="1"/>
  <c r="N47" i="2" a="1"/>
  <c r="T77" i="2" a="1"/>
  <c r="Y79" i="2" a="1"/>
  <c r="S42" i="2" a="1"/>
  <c r="Y38" i="2" a="1"/>
  <c r="R25" i="2" a="1"/>
  <c r="W73" i="2" a="1"/>
  <c r="Q54" i="2" a="1"/>
  <c r="W54" i="2" a="1"/>
  <c r="P87" i="2" a="1"/>
  <c r="V30" i="2" a="1"/>
  <c r="P70" i="2" a="1"/>
  <c r="W11" i="2" a="1"/>
  <c r="X41" i="2" a="1"/>
  <c r="R71" i="2" a="1"/>
  <c r="X53" i="2" a="1"/>
  <c r="R83" i="2" a="1"/>
  <c r="W68" i="2" a="1"/>
  <c r="O10" i="2" a="1"/>
  <c r="V79" i="2" a="1"/>
  <c r="P65" i="2" a="1"/>
  <c r="U88" i="2" a="1"/>
  <c r="N24" i="2" a="1"/>
  <c r="T44" i="2" a="1"/>
  <c r="N79" i="2" a="1"/>
  <c r="S57" i="2" a="1"/>
  <c r="Y22" i="2" a="1"/>
  <c r="O60" i="2" a="1"/>
  <c r="W63" i="2" a="1"/>
  <c r="Q78" i="2" a="1"/>
  <c r="V52" i="2" a="1"/>
  <c r="P88" i="2" a="1"/>
  <c r="U65" i="2" a="1"/>
  <c r="O14" i="2" a="1"/>
  <c r="T39" i="2" a="1"/>
  <c r="N37" i="2" a="1"/>
  <c r="T36" i="2" a="1"/>
  <c r="Y47" i="2" a="1"/>
  <c r="R55" i="2" a="1"/>
  <c r="X76" i="2" a="1"/>
  <c r="R51" i="2" a="1"/>
  <c r="R47" i="2" a="1"/>
  <c r="W55" i="2" a="1"/>
  <c r="U81" i="2" a="1"/>
  <c r="O17" i="2" a="1"/>
  <c r="U89" i="2" a="1"/>
  <c r="O21" i="2" a="1"/>
  <c r="T40" i="2" a="1"/>
  <c r="N19" i="2" a="1"/>
  <c r="S13" i="2" a="1"/>
  <c r="Y12" i="2" a="1"/>
  <c r="S50" i="2" a="1"/>
  <c r="X72" i="2" a="1"/>
  <c r="Q89" i="2" a="1"/>
  <c r="W85" i="2" a="1"/>
  <c r="T29" i="2" a="1"/>
  <c r="Q66" i="2" a="1"/>
  <c r="N46" i="2" a="1"/>
  <c r="P74" i="2" a="1"/>
  <c r="U27" i="2" a="1"/>
  <c r="P16" i="2" a="1"/>
  <c r="P49" i="2" a="1"/>
  <c r="O15" i="2" a="1"/>
  <c r="Y27" i="2" a="1"/>
  <c r="S32" i="2" a="1"/>
  <c r="O53" i="2" a="1"/>
  <c r="N59" i="2" a="1"/>
  <c r="Y46" i="2" a="1"/>
  <c r="N32" i="2" a="1"/>
  <c r="N72" i="2" a="1"/>
  <c r="Y17" i="2" a="1"/>
  <c r="X18" i="2" a="1"/>
  <c r="N17" i="2" a="1"/>
  <c r="T70" i="2" a="1"/>
  <c r="X15" i="2" a="1"/>
  <c r="W41" i="2" a="1"/>
  <c r="N49" i="2" a="1"/>
  <c r="U11" i="2" a="1"/>
  <c r="S38" i="2" a="1"/>
  <c r="Q52" i="2" a="1"/>
  <c r="P37" i="2" a="1"/>
  <c r="T23" i="2" a="1"/>
  <c r="S19" i="2" a="1"/>
  <c r="S55" i="2" a="1"/>
  <c r="N85" i="2" a="1"/>
  <c r="Y58" i="2" a="1"/>
  <c r="W87" i="2" a="1"/>
  <c r="V69" i="2" a="1"/>
  <c r="U18" i="2" a="1"/>
  <c r="Y56" i="2" a="1"/>
  <c r="O13" i="2" a="1"/>
  <c r="O54" i="2" a="1"/>
  <c r="S61" i="2" a="1"/>
  <c r="Y71" i="2" a="1"/>
  <c r="X38" i="2" a="1"/>
  <c r="V50" i="2" a="1"/>
  <c r="U50" i="2" a="1"/>
  <c r="R45" i="2" a="1"/>
  <c r="T12" i="2" a="1"/>
  <c r="X10" i="2" a="1"/>
  <c r="T33" i="2" a="1"/>
  <c r="N83" i="2" a="1"/>
  <c r="G35" i="4"/>
  <c r="X54" i="2" a="1"/>
  <c r="W45" i="2" a="1"/>
  <c r="T59" i="2" a="1"/>
  <c r="R28" i="2" a="1"/>
  <c r="Q64" i="2" a="1"/>
  <c r="Y87" i="2" a="1"/>
  <c r="X78" i="2" a="1"/>
  <c r="V86" i="2" a="1"/>
  <c r="T51" i="2" a="1"/>
  <c r="Q62" i="2" a="1"/>
  <c r="Q74" i="2" a="1"/>
  <c r="P61" i="2" a="1"/>
  <c r="O29" i="2" a="1"/>
  <c r="S53" i="2" a="1"/>
  <c r="S28" i="2" a="1"/>
  <c r="S40" i="2" a="1"/>
  <c r="O71" i="2" a="1"/>
  <c r="T46" i="2" a="1"/>
  <c r="S46" i="2" a="1"/>
  <c r="W28" i="2" a="1"/>
  <c r="P12" i="2" a="1"/>
  <c r="T37" i="2" a="1"/>
  <c r="S73" i="2" a="1"/>
  <c r="R82" i="2" a="1"/>
  <c r="Q53" i="2" a="1"/>
  <c r="Q48" i="2" a="1"/>
  <c r="O84" i="2" a="1"/>
  <c r="O43" i="2" a="1"/>
  <c r="Y26" i="2" a="1"/>
  <c r="Y30" i="2" a="1"/>
  <c r="Q36" i="2" a="1"/>
  <c r="P39" i="2" a="1"/>
  <c r="P69" i="2" a="1"/>
  <c r="N28" i="2" a="1"/>
  <c r="O88" i="2" a="1"/>
  <c r="V83" i="2" a="1"/>
  <c r="O59" i="2" a="1"/>
  <c r="N23" i="2" a="1"/>
  <c r="O61" i="2" a="1"/>
  <c r="X88" i="2" a="1"/>
  <c r="X56" i="2" a="1"/>
  <c r="R75" i="2" a="1"/>
  <c r="X31" i="2" a="1"/>
  <c r="N36" i="2" a="1"/>
  <c r="P11" i="2" a="1"/>
  <c r="V78" i="2" a="1"/>
  <c r="W46" i="2" a="1"/>
  <c r="S75" i="2" a="1"/>
  <c r="O39" i="2" a="1"/>
  <c r="W74" i="2" a="1"/>
  <c r="U49" i="2" a="1"/>
  <c r="S164" i="8"/>
  <c r="N30" i="11"/>
  <c r="G48" i="11"/>
  <c r="G81" i="3"/>
  <c r="G76" i="3"/>
  <c r="S111" i="8"/>
  <c r="S169" i="8"/>
  <c r="S32" i="8"/>
  <c r="G46" i="8"/>
  <c r="G16" i="3"/>
  <c r="G10" i="11"/>
  <c r="H83" i="11"/>
  <c r="N77" i="11"/>
  <c r="S45" i="8"/>
  <c r="S168" i="8"/>
  <c r="J28" i="8"/>
  <c r="G16" i="4"/>
  <c r="H85" i="4"/>
  <c r="N11" i="4"/>
  <c r="G25" i="4"/>
  <c r="H86" i="4"/>
  <c r="N56" i="4"/>
  <c r="G51" i="4"/>
  <c r="H65" i="4"/>
  <c r="N23" i="4"/>
  <c r="G37" i="4"/>
  <c r="H27" i="4"/>
  <c r="N68" i="4"/>
  <c r="G58" i="4"/>
  <c r="H72" i="4"/>
  <c r="N22" i="4"/>
  <c r="G76" i="4"/>
  <c r="H2" i="4"/>
  <c r="Q41" i="2" a="1"/>
  <c r="Q45" i="2" a="1"/>
  <c r="P60" i="2" a="1"/>
  <c r="O44" i="2" a="1"/>
  <c r="O22" i="2" a="1"/>
  <c r="N13" i="2" a="1"/>
  <c r="Y54" i="2" a="1"/>
  <c r="X75" i="2" a="1"/>
  <c r="X87" i="2" a="1"/>
  <c r="V63" i="2" a="1"/>
  <c r="U63" i="2" a="1"/>
  <c r="T60" i="2" a="1"/>
  <c r="T58" i="2" a="1"/>
  <c r="S58" i="2" a="1"/>
  <c r="P78" i="2" a="1"/>
  <c r="P86" i="2" a="1"/>
  <c r="N48" i="2" a="1"/>
  <c r="Y53" i="2" a="1"/>
  <c r="X49" i="2" a="1"/>
  <c r="X47" i="2" a="1"/>
  <c r="Y37" i="2" a="1"/>
  <c r="S72" i="2" a="1"/>
  <c r="Y41" i="2" a="1"/>
  <c r="S16" i="2" a="1"/>
  <c r="X42" i="2" a="1"/>
  <c r="Q13" i="2" a="1"/>
  <c r="W29" i="2" a="1"/>
  <c r="Q40" i="2" a="1"/>
  <c r="V39" i="2" a="1"/>
  <c r="O80" i="2" a="1"/>
  <c r="U12" i="2" a="1"/>
  <c r="O62" i="2" a="1"/>
  <c r="T83" i="2" a="1"/>
  <c r="N81" i="2" a="1"/>
  <c r="V76" i="2" a="1"/>
  <c r="V16" i="2" a="1"/>
  <c r="P52" i="2" a="1"/>
  <c r="V20" i="2" a="1"/>
  <c r="P56" i="2" a="1"/>
  <c r="U25" i="2" a="1"/>
  <c r="O33" i="2" a="1"/>
  <c r="U82" i="2" a="1"/>
  <c r="N84" i="2" a="1"/>
  <c r="S43" i="2" a="1"/>
  <c r="Y57" i="2" a="1"/>
  <c r="R69" i="2" a="1"/>
  <c r="X43" i="2" a="1"/>
  <c r="R62" i="2" a="1"/>
  <c r="S62" i="2" a="1"/>
  <c r="X55" i="2" a="1"/>
  <c r="V55" i="2" a="1"/>
  <c r="O69" i="2" a="1"/>
  <c r="U52" i="2" a="1"/>
  <c r="N76" i="2" a="1"/>
  <c r="T82" i="2" a="1"/>
  <c r="Y40" i="2" a="1"/>
  <c r="S78" i="2" a="1"/>
  <c r="Y42" i="2" a="1"/>
  <c r="R29" i="2" a="1"/>
  <c r="W77" i="2" a="1"/>
  <c r="Q58" i="2" a="1"/>
  <c r="V71" i="2" a="1"/>
  <c r="P44" i="2" a="1"/>
  <c r="T69" i="2" a="1"/>
  <c r="V12" i="2" a="1"/>
  <c r="T73" i="2" a="1"/>
  <c r="N86" i="2" a="1"/>
  <c r="T81" i="2" a="1"/>
  <c r="Y13" i="2" a="1"/>
  <c r="S36" i="2" a="1"/>
  <c r="X37" i="2" a="1"/>
  <c r="R14" i="2" a="1"/>
  <c r="X50" i="2" a="1"/>
  <c r="Q21" i="2" a="1"/>
  <c r="V68" i="2" a="1"/>
  <c r="P89" i="2" a="1"/>
  <c r="V40" i="2" a="1"/>
  <c r="S67" i="2" a="1"/>
  <c r="P76" i="2" a="1"/>
  <c r="Q88" i="2" a="1"/>
  <c r="Q75" i="2" a="1"/>
  <c r="V44" i="2" a="1"/>
  <c r="V19" i="2" a="1"/>
  <c r="V81" i="2" a="1"/>
  <c r="T52" i="2" a="1"/>
  <c r="S22" i="2" a="1"/>
  <c r="N39" i="2" a="1"/>
  <c r="U24" i="2" a="1"/>
  <c r="S45" i="2" a="1"/>
  <c r="R37" i="2" a="1"/>
  <c r="U58" i="2" a="1"/>
  <c r="U70" i="2" a="1"/>
  <c r="S52" i="2" a="1"/>
  <c r="Q32" i="2" a="1"/>
  <c r="W24" i="2" a="1"/>
  <c r="T86" i="2" a="1"/>
  <c r="R50" i="2" a="1"/>
  <c r="Q60" i="2" a="1"/>
  <c r="U13" i="2" a="1"/>
  <c r="Y51" i="2" a="1"/>
  <c r="X24" i="2" a="1"/>
  <c r="W47" i="2" a="1"/>
  <c r="U61" i="2" a="1"/>
  <c r="O49" i="2" a="1"/>
  <c r="R88" i="2" a="1"/>
  <c r="Y35" i="2" a="1"/>
  <c r="Q70" i="2" a="1"/>
  <c r="R49" i="2" a="1"/>
  <c r="Q82" i="2" a="1"/>
  <c r="P26" i="2" a="1"/>
  <c r="P34" i="2" a="1"/>
  <c r="Q87" i="2" a="1"/>
  <c r="W61" i="2" a="1"/>
  <c r="T48" i="2" a="1"/>
  <c r="O50" i="2" a="1"/>
  <c r="U73" i="2" a="1"/>
  <c r="Q80" i="2" a="1"/>
  <c r="O12" i="2" a="1"/>
  <c r="N60" i="2" a="1"/>
  <c r="O51" i="2" a="1"/>
  <c r="Y67" i="2" a="1"/>
  <c r="U71" i="2" a="1"/>
  <c r="X26" i="2" a="1"/>
  <c r="Y65" i="2" a="1"/>
  <c r="H17" i="4"/>
  <c r="X45" i="2" a="1"/>
  <c r="V65" i="2" a="1"/>
  <c r="T63" i="2" a="1"/>
  <c r="R24" i="2" a="1"/>
  <c r="P15" i="2" a="1"/>
  <c r="Y76" i="2" a="1"/>
  <c r="V60" i="2" a="1"/>
  <c r="U85" i="2" a="1"/>
  <c r="W59" i="2" a="1"/>
  <c r="W71" i="2" a="1"/>
  <c r="V89" i="2" a="1"/>
  <c r="U31" i="2" a="1"/>
  <c r="N38" i="2" a="1"/>
  <c r="Y59" i="2" a="1"/>
  <c r="T34" i="2" a="1"/>
  <c r="U23" i="2" a="1"/>
  <c r="N12" i="2" a="1"/>
  <c r="Y80" i="2" a="1"/>
  <c r="Q81" i="2" a="1"/>
  <c r="W58" i="2" a="1"/>
  <c r="W76" i="2" a="1"/>
  <c r="N54" i="2" a="1"/>
  <c r="X33" i="2" a="1"/>
  <c r="X23" i="2" a="1"/>
  <c r="W37" i="2" a="1"/>
  <c r="V43" i="2" a="1"/>
  <c r="U86" i="2" a="1"/>
  <c r="P23" i="2" a="1"/>
  <c r="R13" i="2" a="1"/>
  <c r="R17" i="2" a="1"/>
  <c r="W23" i="2" a="1"/>
  <c r="W14" i="2" a="1"/>
  <c r="V13" i="2" a="1"/>
  <c r="U14" i="2" a="1"/>
  <c r="R67" i="2" a="1"/>
  <c r="X66" i="2" a="1"/>
  <c r="N82" i="2" a="1"/>
  <c r="P57" i="2" a="1"/>
  <c r="U22" i="2" a="1"/>
  <c r="Y44" i="2" a="1"/>
  <c r="N50" i="2" a="1"/>
  <c r="W84" i="2" a="1"/>
  <c r="Y45" i="2" a="1"/>
  <c r="S34" i="2" a="1"/>
  <c r="P85" i="2" a="1"/>
  <c r="U28" i="2" a="1"/>
  <c r="Y62" i="2" a="1"/>
  <c r="V66" i="2" a="1"/>
  <c r="O28" i="2" a="1"/>
  <c r="U37" i="2" a="1"/>
  <c r="W53" i="2" a="1"/>
  <c r="G3" i="9"/>
  <c r="P3" i="9"/>
  <c r="K3" i="7"/>
  <c r="H3" i="7"/>
  <c r="J3" i="9"/>
  <c r="S3" i="9"/>
  <c r="W53" i="2" l="1"/>
  <c r="U37" i="2"/>
  <c r="O28" i="2"/>
  <c r="V66" i="2"/>
  <c r="Y62" i="2"/>
  <c r="U28" i="2"/>
  <c r="P85" i="2"/>
  <c r="S34" i="2"/>
  <c r="Y45" i="2"/>
  <c r="W84" i="2"/>
  <c r="N50" i="2"/>
  <c r="Y44" i="2"/>
  <c r="U22" i="2"/>
  <c r="P57" i="2"/>
  <c r="N82" i="2"/>
  <c r="X66" i="2"/>
  <c r="R67" i="2"/>
  <c r="U14" i="2"/>
  <c r="V13" i="2"/>
  <c r="W14" i="2"/>
  <c r="W23" i="2"/>
  <c r="R17" i="2"/>
  <c r="R13" i="2"/>
  <c r="P23" i="2"/>
  <c r="U86" i="2"/>
  <c r="V43" i="2"/>
  <c r="W37" i="2"/>
  <c r="X23" i="2"/>
  <c r="X33" i="2"/>
  <c r="N54" i="2"/>
  <c r="W76" i="2"/>
  <c r="W58" i="2"/>
  <c r="Q81" i="2"/>
  <c r="Y80" i="2"/>
  <c r="N12" i="2"/>
  <c r="U23" i="2"/>
  <c r="T34" i="2"/>
  <c r="Y59" i="2"/>
  <c r="N38" i="2"/>
  <c r="U31" i="2"/>
  <c r="V89" i="2"/>
  <c r="W71" i="2"/>
  <c r="W59" i="2"/>
  <c r="U85" i="2"/>
  <c r="V60" i="2"/>
  <c r="Y76" i="2"/>
  <c r="P15" i="2"/>
  <c r="R24" i="2"/>
  <c r="T63" i="2"/>
  <c r="V65" i="2"/>
  <c r="X45" i="2"/>
  <c r="Y65" i="2"/>
  <c r="X26" i="2"/>
  <c r="U71" i="2"/>
  <c r="Y67" i="2"/>
  <c r="O51" i="2"/>
  <c r="N60" i="2"/>
  <c r="O12" i="2"/>
  <c r="Q80" i="2"/>
  <c r="U73" i="2"/>
  <c r="O50" i="2"/>
  <c r="T48" i="2"/>
  <c r="W61" i="2"/>
  <c r="Q87" i="2"/>
  <c r="P34" i="2"/>
  <c r="P26" i="2"/>
  <c r="Q82" i="2"/>
  <c r="R49" i="2"/>
  <c r="Q70" i="2"/>
  <c r="Y35" i="2"/>
  <c r="R88" i="2"/>
  <c r="O49" i="2"/>
  <c r="U61" i="2"/>
  <c r="W47" i="2"/>
  <c r="X24" i="2"/>
  <c r="Y51" i="2"/>
  <c r="U13" i="2"/>
  <c r="Q60" i="2"/>
  <c r="R50" i="2"/>
  <c r="T86" i="2"/>
  <c r="W24" i="2"/>
  <c r="Q32" i="2"/>
  <c r="S52" i="2"/>
  <c r="U70" i="2"/>
  <c r="U58" i="2"/>
  <c r="R37" i="2"/>
  <c r="S45" i="2"/>
  <c r="U24" i="2"/>
  <c r="N39" i="2"/>
  <c r="S22" i="2"/>
  <c r="T52" i="2"/>
  <c r="V81" i="2"/>
  <c r="V19" i="2"/>
  <c r="V44" i="2"/>
  <c r="Q75" i="2"/>
  <c r="Q88" i="2"/>
  <c r="P76" i="2"/>
  <c r="S67" i="2"/>
  <c r="V40" i="2"/>
  <c r="P89" i="2"/>
  <c r="V68" i="2"/>
  <c r="Q21" i="2"/>
  <c r="X50" i="2"/>
  <c r="R14" i="2"/>
  <c r="X37" i="2"/>
  <c r="S36" i="2"/>
  <c r="Y13" i="2"/>
  <c r="T81" i="2"/>
  <c r="N86" i="2"/>
  <c r="T73" i="2"/>
  <c r="V12" i="2"/>
  <c r="T69" i="2"/>
  <c r="P44" i="2"/>
  <c r="V71" i="2"/>
  <c r="Q58" i="2"/>
  <c r="W77" i="2"/>
  <c r="R29" i="2"/>
  <c r="Y42" i="2"/>
  <c r="S78" i="2"/>
  <c r="Y40" i="2"/>
  <c r="T82" i="2"/>
  <c r="N76" i="2"/>
  <c r="U52" i="2"/>
  <c r="O69" i="2"/>
  <c r="V55" i="2"/>
  <c r="X55" i="2"/>
  <c r="S62" i="2"/>
  <c r="R62" i="2"/>
  <c r="X43" i="2"/>
  <c r="R69" i="2"/>
  <c r="Y57" i="2"/>
  <c r="S43" i="2"/>
  <c r="N84" i="2"/>
  <c r="U82" i="2"/>
  <c r="O33" i="2"/>
  <c r="U25" i="2"/>
  <c r="P56" i="2"/>
  <c r="V20" i="2"/>
  <c r="P52" i="2"/>
  <c r="V16" i="2"/>
  <c r="V76" i="2"/>
  <c r="N81" i="2"/>
  <c r="T83" i="2"/>
  <c r="O62" i="2"/>
  <c r="U12" i="2"/>
  <c r="O80" i="2"/>
  <c r="V39" i="2"/>
  <c r="Q40" i="2"/>
  <c r="W29" i="2"/>
  <c r="Q13" i="2"/>
  <c r="X42" i="2"/>
  <c r="S16" i="2"/>
  <c r="Y41" i="2"/>
  <c r="S72" i="2"/>
  <c r="Y37" i="2"/>
  <c r="X47" i="2"/>
  <c r="X49" i="2"/>
  <c r="Y53" i="2"/>
  <c r="N48" i="2"/>
  <c r="P86" i="2"/>
  <c r="P78" i="2"/>
  <c r="S58" i="2"/>
  <c r="T58" i="2"/>
  <c r="T60" i="2"/>
  <c r="U63" i="2"/>
  <c r="V63" i="2"/>
  <c r="X87" i="2"/>
  <c r="X75" i="2"/>
  <c r="Y54" i="2"/>
  <c r="N13" i="2"/>
  <c r="O22" i="2"/>
  <c r="O44" i="2"/>
  <c r="P60" i="2"/>
  <c r="Q45" i="2"/>
  <c r="Q41" i="2"/>
  <c r="I76" i="4"/>
  <c r="I58" i="4"/>
  <c r="I37" i="4"/>
  <c r="I51" i="4"/>
  <c r="I25" i="4"/>
  <c r="I16" i="4"/>
  <c r="I10" i="11"/>
  <c r="H16" i="3"/>
  <c r="H46" i="8"/>
  <c r="H76" i="3"/>
  <c r="H81" i="3"/>
  <c r="I48" i="11"/>
  <c r="U49" i="2"/>
  <c r="W74" i="2"/>
  <c r="O39" i="2"/>
  <c r="S75" i="2"/>
  <c r="W46" i="2"/>
  <c r="V78" i="2"/>
  <c r="P11" i="2"/>
  <c r="N36" i="2"/>
  <c r="X31" i="2"/>
  <c r="R75" i="2"/>
  <c r="X56" i="2"/>
  <c r="X88" i="2"/>
  <c r="O61" i="2"/>
  <c r="N23" i="2"/>
  <c r="O59" i="2"/>
  <c r="V83" i="2"/>
  <c r="O88" i="2"/>
  <c r="N28" i="2"/>
  <c r="P69" i="2"/>
  <c r="P39" i="2"/>
  <c r="Q36" i="2"/>
  <c r="Y30" i="2"/>
  <c r="Y26" i="2"/>
  <c r="O43" i="2"/>
  <c r="O84" i="2"/>
  <c r="Q48" i="2"/>
  <c r="Q53" i="2"/>
  <c r="R82" i="2"/>
  <c r="S73" i="2"/>
  <c r="T37" i="2"/>
  <c r="P12" i="2"/>
  <c r="W28" i="2"/>
  <c r="S46" i="2"/>
  <c r="T46" i="2"/>
  <c r="O71" i="2"/>
  <c r="S40" i="2"/>
  <c r="S28" i="2"/>
  <c r="S53" i="2"/>
  <c r="O29" i="2"/>
  <c r="P61" i="2"/>
  <c r="Q74" i="2"/>
  <c r="Q62" i="2"/>
  <c r="T51" i="2"/>
  <c r="V86" i="2"/>
  <c r="X78" i="2"/>
  <c r="Y87" i="2"/>
  <c r="Q64" i="2"/>
  <c r="R28" i="2"/>
  <c r="T59" i="2"/>
  <c r="W45" i="2"/>
  <c r="X54" i="2"/>
  <c r="I35" i="4"/>
  <c r="N83" i="2"/>
  <c r="T33" i="2"/>
  <c r="X10" i="2"/>
  <c r="T12" i="2"/>
  <c r="R45" i="2"/>
  <c r="U50" i="2"/>
  <c r="V50" i="2"/>
  <c r="X38" i="2"/>
  <c r="Y71" i="2"/>
  <c r="S61" i="2"/>
  <c r="O54" i="2"/>
  <c r="O13" i="2"/>
  <c r="Y56" i="2"/>
  <c r="U18" i="2"/>
  <c r="V69" i="2"/>
  <c r="W87" i="2"/>
  <c r="Y58" i="2"/>
  <c r="N85" i="2"/>
  <c r="S55" i="2"/>
  <c r="S19" i="2"/>
  <c r="T23" i="2"/>
  <c r="P37" i="2"/>
  <c r="Q52" i="2"/>
  <c r="S38" i="2"/>
  <c r="U11" i="2"/>
  <c r="N49" i="2"/>
  <c r="W41" i="2"/>
  <c r="X15" i="2"/>
  <c r="T70" i="2"/>
  <c r="N17" i="2"/>
  <c r="X18" i="2"/>
  <c r="Y17" i="2"/>
  <c r="N72" i="2"/>
  <c r="N32" i="2"/>
  <c r="Y46" i="2"/>
  <c r="N59" i="2"/>
  <c r="O53" i="2"/>
  <c r="S32" i="2"/>
  <c r="Y27" i="2"/>
  <c r="O15" i="2"/>
  <c r="P49" i="2"/>
  <c r="P16" i="2"/>
  <c r="U27" i="2"/>
  <c r="P74" i="2"/>
  <c r="N46" i="2"/>
  <c r="Q66" i="2"/>
  <c r="T29" i="2"/>
  <c r="W85" i="2"/>
  <c r="Q89" i="2"/>
  <c r="X72" i="2"/>
  <c r="S50" i="2"/>
  <c r="Y12" i="2"/>
  <c r="S13" i="2"/>
  <c r="N19" i="2"/>
  <c r="T40" i="2"/>
  <c r="O21" i="2"/>
  <c r="U89" i="2"/>
  <c r="O17" i="2"/>
  <c r="U81" i="2"/>
  <c r="W55" i="2"/>
  <c r="R47" i="2"/>
  <c r="R51" i="2"/>
  <c r="X76" i="2"/>
  <c r="R55" i="2"/>
  <c r="Y47" i="2"/>
  <c r="T36" i="2"/>
  <c r="N37" i="2"/>
  <c r="T39" i="2"/>
  <c r="O14" i="2"/>
  <c r="U65" i="2"/>
  <c r="P88" i="2"/>
  <c r="V52" i="2"/>
  <c r="Q78" i="2"/>
  <c r="W63" i="2"/>
  <c r="O60" i="2"/>
  <c r="Y22" i="2"/>
  <c r="S57" i="2"/>
  <c r="N79" i="2"/>
  <c r="T44" i="2"/>
  <c r="N24" i="2"/>
  <c r="U88" i="2"/>
  <c r="P65" i="2"/>
  <c r="V79" i="2"/>
  <c r="O10" i="2"/>
  <c r="W68" i="2"/>
  <c r="R83" i="2"/>
  <c r="X53" i="2"/>
  <c r="R71" i="2"/>
  <c r="X41" i="2"/>
  <c r="W11" i="2"/>
  <c r="P70" i="2"/>
  <c r="V30" i="2"/>
  <c r="P87" i="2"/>
  <c r="W54" i="2"/>
  <c r="Q54" i="2"/>
  <c r="W73" i="2"/>
  <c r="R25" i="2"/>
  <c r="Y38" i="2"/>
  <c r="S42" i="2"/>
  <c r="Y79" i="2"/>
  <c r="T77" i="2"/>
  <c r="N47" i="2"/>
  <c r="T61" i="2"/>
  <c r="Q69" i="2"/>
  <c r="O26" i="2"/>
  <c r="O48" i="2"/>
  <c r="P73" i="2"/>
  <c r="Q67" i="2"/>
  <c r="S80" i="2"/>
  <c r="S64" i="2"/>
  <c r="V21" i="2"/>
  <c r="W83" i="2"/>
  <c r="W31" i="2"/>
  <c r="X73" i="2"/>
  <c r="Y39" i="2"/>
  <c r="N57" i="2"/>
  <c r="T68" i="2"/>
  <c r="Q72" i="2"/>
  <c r="Q25" i="2"/>
  <c r="R18" i="2"/>
  <c r="R53" i="2"/>
  <c r="S35" i="2"/>
  <c r="T31" i="2"/>
  <c r="T27" i="2"/>
  <c r="I42" i="4"/>
  <c r="I40" i="4"/>
  <c r="I38" i="4"/>
  <c r="I33" i="4"/>
  <c r="I6" i="4"/>
  <c r="I53" i="4"/>
  <c r="I51" i="11"/>
  <c r="H10" i="3"/>
  <c r="H35" i="3"/>
  <c r="Q120" i="8"/>
  <c r="H12" i="3"/>
  <c r="H17" i="3"/>
  <c r="H21" i="3"/>
  <c r="N41" i="2"/>
  <c r="T65" i="2"/>
  <c r="X30" i="2"/>
  <c r="W69" i="2"/>
  <c r="U55" i="2"/>
  <c r="O66" i="2"/>
  <c r="S29" i="2"/>
  <c r="R86" i="2"/>
  <c r="V72" i="2"/>
  <c r="N11" i="2"/>
  <c r="N68" i="2"/>
  <c r="T66" i="2"/>
  <c r="Y10" i="2"/>
  <c r="P55" i="2"/>
  <c r="O75" i="2"/>
  <c r="O55" i="2"/>
  <c r="P28" i="2"/>
  <c r="Q68" i="2"/>
  <c r="W43" i="2"/>
  <c r="N21" i="2"/>
  <c r="O40" i="2"/>
  <c r="R85" i="2"/>
  <c r="R10" i="2"/>
  <c r="O41" i="2"/>
  <c r="P71" i="2"/>
  <c r="R57" i="2"/>
  <c r="X34" i="2"/>
  <c r="T80" i="2"/>
  <c r="T43" i="2"/>
  <c r="S30" i="2"/>
  <c r="N78" i="2"/>
  <c r="V45" i="2"/>
  <c r="W27" i="2"/>
  <c r="Y63" i="2"/>
  <c r="X65" i="2"/>
  <c r="P83" i="2"/>
  <c r="Q57" i="2"/>
  <c r="R33" i="2"/>
  <c r="U79" i="2"/>
  <c r="Q63" i="2"/>
  <c r="R44" i="2"/>
  <c r="S77" i="2"/>
  <c r="U66" i="2"/>
  <c r="Q19" i="2"/>
  <c r="S82" i="2"/>
  <c r="T85" i="2"/>
  <c r="U20" i="2"/>
  <c r="R72" i="2"/>
  <c r="T54" i="2"/>
  <c r="U80" i="2"/>
  <c r="V73" i="2"/>
  <c r="W62" i="2"/>
  <c r="P38" i="2"/>
  <c r="Q37" i="2"/>
  <c r="N75" i="2"/>
  <c r="R64" i="2"/>
  <c r="U16" i="2"/>
  <c r="Y55" i="2"/>
  <c r="S51" i="2"/>
  <c r="N88" i="2"/>
  <c r="T11" i="2"/>
  <c r="O18" i="2"/>
  <c r="U69" i="2"/>
  <c r="P79" i="2"/>
  <c r="V46" i="2"/>
  <c r="Q12" i="2"/>
  <c r="W21" i="2"/>
  <c r="Q83" i="2"/>
  <c r="W17" i="2"/>
  <c r="X51" i="2"/>
  <c r="Q31" i="2"/>
  <c r="S11" i="2"/>
  <c r="N42" i="2"/>
  <c r="T25" i="2"/>
  <c r="O37" i="2"/>
  <c r="U43" i="2"/>
  <c r="P22" i="2"/>
  <c r="V57" i="2"/>
  <c r="P35" i="2"/>
  <c r="W88" i="2"/>
  <c r="Q33" i="2"/>
  <c r="X83" i="2"/>
  <c r="R87" i="2"/>
  <c r="Y83" i="2"/>
  <c r="Q77" i="2"/>
  <c r="O70" i="2"/>
  <c r="U32" i="2"/>
  <c r="O52" i="2"/>
  <c r="V11" i="2"/>
  <c r="P81" i="2"/>
  <c r="V64" i="2"/>
  <c r="Q17" i="2"/>
  <c r="X46" i="2"/>
  <c r="R12" i="2"/>
  <c r="X12" i="2"/>
  <c r="S27" i="2"/>
  <c r="N58" i="2"/>
  <c r="S23" i="2"/>
  <c r="R59" i="2"/>
  <c r="X21" i="2"/>
  <c r="Q71" i="2"/>
  <c r="X80" i="2"/>
  <c r="R58" i="2"/>
  <c r="X35" i="2"/>
  <c r="R43" i="2"/>
  <c r="Y89" i="2"/>
  <c r="T24" i="2"/>
  <c r="N80" i="2"/>
  <c r="U78" i="2"/>
  <c r="O36" i="2"/>
  <c r="V74" i="2"/>
  <c r="O32" i="2"/>
  <c r="V70" i="2"/>
  <c r="S24" i="2"/>
  <c r="R22" i="2"/>
  <c r="R61" i="2"/>
  <c r="S31" i="2"/>
  <c r="U38" i="2"/>
  <c r="V42" i="2"/>
  <c r="V38" i="2"/>
  <c r="Y20" i="2"/>
  <c r="N27" i="2"/>
  <c r="N43" i="2"/>
  <c r="O89" i="2"/>
  <c r="Q11" i="2"/>
  <c r="Q85" i="2"/>
  <c r="R76" i="2"/>
  <c r="T64" i="2"/>
  <c r="T15" i="2"/>
  <c r="U77" i="2"/>
  <c r="V82" i="2"/>
  <c r="V24" i="2"/>
  <c r="X82" i="2"/>
  <c r="X74" i="2"/>
  <c r="I77" i="4"/>
  <c r="I4" i="4"/>
  <c r="I66" i="4"/>
  <c r="I79" i="4"/>
  <c r="I14" i="4"/>
  <c r="I13" i="11"/>
  <c r="H57" i="3"/>
  <c r="H54" i="3"/>
  <c r="H31" i="3"/>
  <c r="H12" i="8"/>
  <c r="P80" i="2"/>
  <c r="Y18" i="2"/>
  <c r="V47" i="2"/>
  <c r="W13" i="2"/>
  <c r="Q22" i="2"/>
  <c r="X52" i="2"/>
  <c r="U39" i="2"/>
  <c r="T21" i="2"/>
  <c r="Y49" i="2"/>
  <c r="N26" i="2"/>
  <c r="N25" i="2"/>
  <c r="I41" i="4"/>
  <c r="I87" i="4"/>
  <c r="I29" i="4"/>
  <c r="I75" i="4"/>
  <c r="H80" i="3"/>
  <c r="H24" i="8"/>
  <c r="H2" i="3"/>
  <c r="I2" i="3" s="1"/>
  <c r="F3" i="3" s="1"/>
  <c r="H86" i="3"/>
  <c r="I7" i="11"/>
  <c r="I76" i="11"/>
  <c r="I35" i="11"/>
  <c r="I26" i="11"/>
  <c r="H26" i="3"/>
  <c r="H41" i="3"/>
  <c r="H64" i="3"/>
  <c r="H83" i="3"/>
  <c r="H19" i="3"/>
  <c r="H17" i="8"/>
  <c r="H8" i="8"/>
  <c r="H30" i="8"/>
  <c r="Q106" i="8"/>
  <c r="Q112" i="8"/>
  <c r="Q8" i="8"/>
  <c r="Q148" i="8"/>
  <c r="Q160" i="8"/>
  <c r="Q68" i="8"/>
  <c r="Q153" i="8"/>
  <c r="Q89" i="8"/>
  <c r="Q25" i="8"/>
  <c r="Q127" i="8"/>
  <c r="Q63" i="8"/>
  <c r="H66" i="3"/>
  <c r="H69" i="3"/>
  <c r="H28" i="3"/>
  <c r="H47" i="3"/>
  <c r="H82" i="3"/>
  <c r="I81" i="11"/>
  <c r="I32" i="11"/>
  <c r="I78" i="11"/>
  <c r="H5" i="3"/>
  <c r="H78" i="3"/>
  <c r="H77" i="3"/>
  <c r="H13" i="3"/>
  <c r="H36" i="3"/>
  <c r="H87" i="3"/>
  <c r="H23" i="3"/>
  <c r="H16" i="8"/>
  <c r="H7" i="8"/>
  <c r="H6" i="8"/>
  <c r="Q170" i="8"/>
  <c r="Q176" i="8"/>
  <c r="Q16" i="8"/>
  <c r="Q82" i="8"/>
  <c r="Q161" i="8"/>
  <c r="Q97" i="8"/>
  <c r="Q33" i="8"/>
  <c r="Q135" i="8"/>
  <c r="Q71" i="8"/>
  <c r="Q7" i="8"/>
  <c r="I88" i="11"/>
  <c r="I47" i="11"/>
  <c r="I6" i="11"/>
  <c r="H14" i="3"/>
  <c r="H29" i="3"/>
  <c r="H52" i="3"/>
  <c r="H71" i="3"/>
  <c r="H7" i="3"/>
  <c r="H41" i="8"/>
  <c r="H32" i="8"/>
  <c r="H22" i="8"/>
  <c r="Q150" i="8"/>
  <c r="Q48" i="8"/>
  <c r="Q84" i="8"/>
  <c r="Q96" i="8"/>
  <c r="Q52" i="8"/>
  <c r="Q145" i="8"/>
  <c r="Q81" i="8"/>
  <c r="Q17" i="8"/>
  <c r="Q119" i="8"/>
  <c r="Q55" i="8"/>
  <c r="I57" i="11"/>
  <c r="I8" i="11"/>
  <c r="I54" i="11"/>
  <c r="Q2" i="9"/>
  <c r="R2" i="9" s="1"/>
  <c r="I84" i="11"/>
  <c r="I43" i="11"/>
  <c r="H43" i="3"/>
  <c r="H26" i="8"/>
  <c r="Q102" i="8"/>
  <c r="Q21" i="8"/>
  <c r="I85" i="11"/>
  <c r="X27" i="2"/>
  <c r="O63" i="2"/>
  <c r="R60" i="2"/>
  <c r="U33" i="2"/>
  <c r="Y14" i="2"/>
  <c r="U10" i="2"/>
  <c r="T22" i="2"/>
  <c r="W51" i="2"/>
  <c r="N69" i="2"/>
  <c r="Q39" i="2"/>
  <c r="T71" i="2"/>
  <c r="X32" i="2"/>
  <c r="O46" i="2"/>
  <c r="R46" i="2"/>
  <c r="U59" i="2"/>
  <c r="X85" i="2"/>
  <c r="P21" i="2"/>
  <c r="S79" i="2"/>
  <c r="V84" i="2"/>
  <c r="Y11" i="2"/>
  <c r="P17" i="2"/>
  <c r="S71" i="2"/>
  <c r="V80" i="2"/>
  <c r="P48" i="2"/>
  <c r="P13" i="2"/>
  <c r="W36" i="2"/>
  <c r="Y86" i="2"/>
  <c r="O56" i="2"/>
  <c r="R77" i="2"/>
  <c r="V15" i="2"/>
  <c r="Y61" i="2"/>
  <c r="P72" i="2"/>
  <c r="S59" i="2"/>
  <c r="V36" i="2"/>
  <c r="N56" i="2"/>
  <c r="Q16" i="2"/>
  <c r="U46" i="2"/>
  <c r="X14" i="2"/>
  <c r="O85" i="2"/>
  <c r="R32" i="2"/>
  <c r="U29" i="2"/>
  <c r="X36" i="2"/>
  <c r="P50" i="2"/>
  <c r="S20" i="2"/>
  <c r="V14" i="2"/>
  <c r="Y68" i="2"/>
  <c r="Q86" i="2"/>
  <c r="T41" i="2"/>
  <c r="W75" i="2"/>
  <c r="N87" i="2"/>
  <c r="R84" i="2"/>
  <c r="U40" i="2"/>
  <c r="X71" i="2"/>
  <c r="R66" i="2"/>
  <c r="W30" i="2"/>
  <c r="T87" i="2"/>
  <c r="N35" i="2"/>
  <c r="Q84" i="2"/>
  <c r="T84" i="2"/>
  <c r="W39" i="2"/>
  <c r="O35" i="2"/>
  <c r="R39" i="2"/>
  <c r="U74" i="2"/>
  <c r="X60" i="2"/>
  <c r="O47" i="2"/>
  <c r="R48" i="2"/>
  <c r="V87" i="2"/>
  <c r="Y84" i="2"/>
  <c r="V10" i="2"/>
  <c r="T18" i="2"/>
  <c r="W89" i="2"/>
  <c r="N33" i="2"/>
  <c r="Q49" i="2"/>
  <c r="T35" i="2"/>
  <c r="X11" i="2"/>
  <c r="O68" i="2"/>
  <c r="R15" i="2"/>
  <c r="V27" i="2"/>
  <c r="Y73" i="2"/>
  <c r="O64" i="2"/>
  <c r="R89" i="2"/>
  <c r="V23" i="2"/>
  <c r="Y69" i="2"/>
  <c r="Y33" i="2"/>
  <c r="R80" i="2"/>
  <c r="P45" i="2"/>
  <c r="P51" i="2"/>
  <c r="S25" i="2"/>
  <c r="W26" i="2"/>
  <c r="N31" i="2"/>
  <c r="Q76" i="2"/>
  <c r="T72" i="2"/>
  <c r="W35" i="2"/>
  <c r="N55" i="2"/>
  <c r="R36" i="2"/>
  <c r="U75" i="2"/>
  <c r="X81" i="2"/>
  <c r="P29" i="2"/>
  <c r="S14" i="2"/>
  <c r="V25" i="2"/>
  <c r="Y19" i="2"/>
  <c r="W10" i="2"/>
  <c r="T14" i="2"/>
  <c r="W81" i="2"/>
  <c r="O83" i="2"/>
  <c r="R78" i="2"/>
  <c r="U68" i="2"/>
  <c r="X79" i="2"/>
  <c r="O86" i="2"/>
  <c r="R74" i="2"/>
  <c r="U56" i="2"/>
  <c r="X67" i="2"/>
  <c r="R68" i="2"/>
  <c r="U45" i="2"/>
  <c r="X13" i="2"/>
  <c r="P62" i="2"/>
  <c r="S76" i="2"/>
  <c r="V26" i="2"/>
  <c r="Y43" i="2"/>
  <c r="P36" i="2"/>
  <c r="S85" i="2"/>
  <c r="W82" i="2"/>
  <c r="N66" i="2"/>
  <c r="Q23" i="2"/>
  <c r="T49" i="2"/>
  <c r="W32" i="2"/>
  <c r="O25" i="2"/>
  <c r="R21" i="2"/>
  <c r="U19" i="2"/>
  <c r="Y34" i="2"/>
  <c r="P63" i="2"/>
  <c r="S37" i="2"/>
  <c r="W38" i="2"/>
  <c r="N61" i="2"/>
  <c r="P59" i="2"/>
  <c r="S33" i="2"/>
  <c r="W34" i="2"/>
  <c r="S10" i="2"/>
  <c r="T30" i="2"/>
  <c r="W79" i="2"/>
  <c r="N45" i="2"/>
  <c r="Q65" i="2"/>
  <c r="T47" i="2"/>
  <c r="X39" i="2"/>
  <c r="O58" i="2"/>
  <c r="R54" i="2"/>
  <c r="U83" i="2"/>
  <c r="X19" i="2"/>
  <c r="O76" i="2"/>
  <c r="R35" i="2"/>
  <c r="V35" i="2"/>
  <c r="Y85" i="2"/>
  <c r="P53" i="2"/>
  <c r="S15" i="2"/>
  <c r="V56" i="2"/>
  <c r="O82" i="2"/>
  <c r="R70" i="2"/>
  <c r="U57" i="2"/>
  <c r="X29" i="2"/>
  <c r="O74" i="2"/>
  <c r="R42" i="2"/>
  <c r="U53" i="2"/>
  <c r="X25" i="2"/>
  <c r="O78" i="2"/>
  <c r="S48" i="2"/>
  <c r="N18" i="2"/>
  <c r="N64" i="2"/>
  <c r="Q44" i="2"/>
  <c r="U54" i="2"/>
  <c r="X22" i="2"/>
  <c r="O31" i="2"/>
  <c r="R19" i="2"/>
  <c r="U72" i="2"/>
  <c r="Y78" i="2"/>
  <c r="P58" i="2"/>
  <c r="S60" i="2"/>
  <c r="V22" i="2"/>
  <c r="Y81" i="2"/>
  <c r="P32" i="2"/>
  <c r="S81" i="2"/>
  <c r="W78" i="2"/>
  <c r="N30" i="2"/>
  <c r="Q46" i="2"/>
  <c r="T13" i="2"/>
  <c r="W57" i="2"/>
  <c r="O79" i="2"/>
  <c r="R79" i="2"/>
  <c r="U21" i="2"/>
  <c r="X68" i="2"/>
  <c r="O67" i="2"/>
  <c r="R63" i="2"/>
  <c r="U17" i="2"/>
  <c r="X63" i="2"/>
  <c r="I70" i="4"/>
  <c r="I2" i="4"/>
  <c r="I17" i="4"/>
  <c r="I67" i="4"/>
  <c r="I50" i="4"/>
  <c r="I72" i="4"/>
  <c r="I31" i="4"/>
  <c r="I73" i="4"/>
  <c r="I36" i="4"/>
  <c r="I27" i="4"/>
  <c r="I69" i="4"/>
  <c r="I32" i="4"/>
  <c r="I46" i="4"/>
  <c r="I65" i="4"/>
  <c r="I83" i="4"/>
  <c r="I61" i="4"/>
  <c r="I24" i="4"/>
  <c r="I86" i="4"/>
  <c r="I57" i="4"/>
  <c r="I20" i="4"/>
  <c r="I78" i="4"/>
  <c r="I85" i="4"/>
  <c r="I48" i="4"/>
  <c r="I7" i="4"/>
  <c r="H37" i="8"/>
  <c r="H28" i="8"/>
  <c r="Q126" i="8"/>
  <c r="Q26" i="8"/>
  <c r="Q98" i="8"/>
  <c r="Q168" i="8"/>
  <c r="Q14" i="8"/>
  <c r="Q173" i="8"/>
  <c r="Q109" i="8"/>
  <c r="Q45" i="8"/>
  <c r="Q179" i="8"/>
  <c r="Q115" i="8"/>
  <c r="Q51" i="8"/>
  <c r="I45" i="11"/>
  <c r="I83" i="11"/>
  <c r="I42" i="11"/>
  <c r="T2" i="8"/>
  <c r="Q132" i="8"/>
  <c r="Q86" i="8"/>
  <c r="Q32" i="8"/>
  <c r="Q122" i="8"/>
  <c r="Q6" i="8"/>
  <c r="Q146" i="8"/>
  <c r="Q169" i="8"/>
  <c r="Q105" i="8"/>
  <c r="Q41" i="8"/>
  <c r="Q175" i="8"/>
  <c r="Q111" i="8"/>
  <c r="Q47" i="8"/>
  <c r="H38" i="3"/>
  <c r="I80" i="11"/>
  <c r="I39" i="11"/>
  <c r="H2" i="8"/>
  <c r="I2" i="8" s="1"/>
  <c r="F3" i="8" s="1"/>
  <c r="Q164" i="8"/>
  <c r="H44" i="8"/>
  <c r="H34" i="8"/>
  <c r="Q118" i="8"/>
  <c r="Q72" i="8"/>
  <c r="Q142" i="8"/>
  <c r="Q46" i="8"/>
  <c r="Q178" i="8"/>
  <c r="Q12" i="8"/>
  <c r="Q125" i="8"/>
  <c r="Q61" i="8"/>
  <c r="Q163" i="8"/>
  <c r="Q99" i="8"/>
  <c r="Q35" i="8"/>
  <c r="I29" i="11"/>
  <c r="I67" i="11"/>
  <c r="I58" i="11"/>
  <c r="L2" i="7"/>
  <c r="H58" i="3"/>
  <c r="H65" i="3"/>
  <c r="H88" i="3"/>
  <c r="I64" i="11"/>
  <c r="I23" i="11"/>
  <c r="I9" i="11"/>
  <c r="I79" i="11"/>
  <c r="I38" i="11"/>
  <c r="I89" i="11"/>
  <c r="I40" i="11"/>
  <c r="I86" i="11"/>
  <c r="H72" i="3"/>
  <c r="H8" i="3"/>
  <c r="H59" i="3"/>
  <c r="H6" i="3"/>
  <c r="H20" i="8"/>
  <c r="H11" i="8"/>
  <c r="H10" i="8"/>
  <c r="Q10" i="8"/>
  <c r="Q24" i="8"/>
  <c r="Q116" i="8"/>
  <c r="Q128" i="8"/>
  <c r="Q28" i="8"/>
  <c r="Q133" i="8"/>
  <c r="Q69" i="8"/>
  <c r="Q5" i="8"/>
  <c r="Q139" i="8"/>
  <c r="Q75" i="8"/>
  <c r="Q11" i="8"/>
  <c r="I5" i="11"/>
  <c r="I75" i="11"/>
  <c r="I2" i="11"/>
  <c r="H70" i="3"/>
  <c r="Q100" i="8"/>
  <c r="Q60" i="8"/>
  <c r="Q123" i="8"/>
  <c r="V85" i="2"/>
  <c r="Y52" i="2"/>
  <c r="P47" i="2"/>
  <c r="S21" i="2"/>
  <c r="W22" i="2"/>
  <c r="N71" i="2"/>
  <c r="Q18" i="2"/>
  <c r="T32" i="2"/>
  <c r="W12" i="2"/>
  <c r="N20" i="2"/>
  <c r="Q73" i="2"/>
  <c r="U76" i="2"/>
  <c r="X40" i="2"/>
  <c r="P25" i="2"/>
  <c r="S87" i="2"/>
  <c r="V88" i="2"/>
  <c r="Y15" i="2"/>
  <c r="Q24" i="2"/>
  <c r="T28" i="2"/>
  <c r="W19" i="2"/>
  <c r="N89" i="2"/>
  <c r="Q20" i="2"/>
  <c r="T16" i="2"/>
  <c r="W15" i="2"/>
  <c r="Q29" i="2"/>
  <c r="T19" i="2"/>
  <c r="X62" i="2"/>
  <c r="O87" i="2"/>
  <c r="R56" i="2"/>
  <c r="U41" i="2"/>
  <c r="X84" i="2"/>
  <c r="O16" i="2"/>
  <c r="S68" i="2"/>
  <c r="V54" i="2"/>
  <c r="Y21" i="2"/>
  <c r="P64" i="2"/>
  <c r="S39" i="2"/>
  <c r="V28" i="2"/>
  <c r="N62" i="2"/>
  <c r="Q15" i="2"/>
  <c r="T45" i="2"/>
  <c r="W20" i="2"/>
  <c r="P46" i="2"/>
  <c r="S88" i="2"/>
  <c r="V75" i="2"/>
  <c r="Y64" i="2"/>
  <c r="P42" i="2"/>
  <c r="S56" i="2"/>
  <c r="V61" i="2"/>
  <c r="Y60" i="2"/>
  <c r="U44" i="2"/>
  <c r="N53" i="2"/>
  <c r="P66" i="2"/>
  <c r="O45" i="2"/>
  <c r="R41" i="2"/>
  <c r="U67" i="2"/>
  <c r="Y50" i="2"/>
  <c r="P77" i="2"/>
  <c r="S54" i="2"/>
  <c r="V17" i="2"/>
  <c r="Y16" i="2"/>
  <c r="P43" i="2"/>
  <c r="S17" i="2"/>
  <c r="W18" i="2"/>
  <c r="N63" i="2"/>
  <c r="Q14" i="2"/>
  <c r="T20" i="2"/>
  <c r="W44" i="2"/>
  <c r="N15" i="2"/>
  <c r="R20" i="2"/>
  <c r="U51" i="2"/>
  <c r="X61" i="2"/>
  <c r="P14" i="2"/>
  <c r="S70" i="2"/>
  <c r="V41" i="2"/>
  <c r="Y32" i="2"/>
  <c r="P82" i="2"/>
  <c r="S66" i="2"/>
  <c r="V33" i="2"/>
  <c r="Y28" i="2"/>
  <c r="I49" i="4"/>
  <c r="I12" i="4"/>
  <c r="I22" i="4"/>
  <c r="I13" i="4"/>
  <c r="I63" i="4"/>
  <c r="I30" i="4"/>
  <c r="I68" i="4"/>
  <c r="I59" i="4"/>
  <c r="I10" i="4"/>
  <c r="I64" i="4"/>
  <c r="I23" i="4"/>
  <c r="I18" i="4"/>
  <c r="I28" i="4"/>
  <c r="I26" i="4"/>
  <c r="I56" i="4"/>
  <c r="I15" i="4"/>
  <c r="I89" i="4"/>
  <c r="I52" i="4"/>
  <c r="I11" i="4"/>
  <c r="I62" i="4"/>
  <c r="I80" i="4"/>
  <c r="I39" i="4"/>
  <c r="I77" i="11"/>
  <c r="I28" i="11"/>
  <c r="I74" i="11"/>
  <c r="H46" i="3"/>
  <c r="H89" i="3"/>
  <c r="H25" i="3"/>
  <c r="H48" i="3"/>
  <c r="H67" i="3"/>
  <c r="H3" i="3"/>
  <c r="H33" i="8"/>
  <c r="H15" i="8"/>
  <c r="H14" i="8"/>
  <c r="K2" i="3"/>
  <c r="H85" i="3"/>
  <c r="H44" i="3"/>
  <c r="H63" i="3"/>
  <c r="H42" i="3"/>
  <c r="H34" i="3"/>
  <c r="H49" i="3"/>
  <c r="I33" i="11"/>
  <c r="I71" i="11"/>
  <c r="I30" i="11"/>
  <c r="H21" i="8"/>
  <c r="H3" i="8"/>
  <c r="I61" i="11"/>
  <c r="I12" i="11"/>
  <c r="I90" i="11"/>
  <c r="H74" i="3"/>
  <c r="H73" i="3"/>
  <c r="H9" i="3"/>
  <c r="H32" i="3"/>
  <c r="H51" i="3"/>
  <c r="H90" i="3"/>
  <c r="H40" i="8"/>
  <c r="H31" i="8"/>
  <c r="Q94" i="8"/>
  <c r="Q50" i="8"/>
  <c r="Q64" i="8"/>
  <c r="Q136" i="8"/>
  <c r="Q38" i="8"/>
  <c r="Q172" i="8"/>
  <c r="Q4" i="8"/>
  <c r="Q121" i="8"/>
  <c r="Q57" i="8"/>
  <c r="Q159" i="8"/>
  <c r="Q95" i="8"/>
  <c r="Q31" i="8"/>
  <c r="H22" i="3"/>
  <c r="H60" i="3"/>
  <c r="H79" i="3"/>
  <c r="H15" i="3"/>
  <c r="I17" i="11"/>
  <c r="I55" i="11"/>
  <c r="I14" i="11"/>
  <c r="H19" i="8"/>
  <c r="H30" i="3"/>
  <c r="H45" i="3"/>
  <c r="H68" i="3"/>
  <c r="H4" i="3"/>
  <c r="H55" i="3"/>
  <c r="H25" i="8"/>
  <c r="H39" i="8"/>
  <c r="H38" i="8"/>
  <c r="Q158" i="8"/>
  <c r="Q66" i="8"/>
  <c r="Q130" i="8"/>
  <c r="Q54" i="8"/>
  <c r="Q20" i="8"/>
  <c r="Q129" i="8"/>
  <c r="Q65" i="8"/>
  <c r="Q167" i="8"/>
  <c r="Q103" i="8"/>
  <c r="Q39" i="8"/>
  <c r="I41" i="11"/>
  <c r="I24" i="11"/>
  <c r="I70" i="11"/>
  <c r="H50" i="3"/>
  <c r="H61" i="3"/>
  <c r="H84" i="3"/>
  <c r="H20" i="3"/>
  <c r="H39" i="3"/>
  <c r="H62" i="3"/>
  <c r="H9" i="8"/>
  <c r="H23" i="8"/>
  <c r="Q34" i="8"/>
  <c r="Q156" i="8"/>
  <c r="Q174" i="8"/>
  <c r="Q22" i="8"/>
  <c r="Q108" i="8"/>
  <c r="Q177" i="8"/>
  <c r="Q113" i="8"/>
  <c r="Q49" i="8"/>
  <c r="Q151" i="8"/>
  <c r="Q87" i="8"/>
  <c r="Q23" i="8"/>
  <c r="I72" i="11"/>
  <c r="I31" i="11"/>
  <c r="T2" i="9"/>
  <c r="I37" i="11"/>
  <c r="I20" i="11"/>
  <c r="I66" i="11"/>
  <c r="H13" i="8"/>
  <c r="Q56" i="8"/>
  <c r="Q149" i="8"/>
  <c r="Q59" i="8"/>
  <c r="I27" i="11"/>
  <c r="N74" i="2"/>
  <c r="Q47" i="2"/>
  <c r="T57" i="2"/>
  <c r="W64" i="2"/>
  <c r="O81" i="2"/>
  <c r="R81" i="2"/>
  <c r="U60" i="2"/>
  <c r="Y74" i="2"/>
  <c r="P54" i="2"/>
  <c r="S44" i="2"/>
  <c r="V18" i="2"/>
  <c r="Y72" i="2"/>
  <c r="P67" i="2"/>
  <c r="S41" i="2"/>
  <c r="W42" i="2"/>
  <c r="N29" i="2"/>
  <c r="Q55" i="2"/>
  <c r="U30" i="2"/>
  <c r="X70" i="2"/>
  <c r="N40" i="2"/>
  <c r="Q43" i="2"/>
  <c r="U26" i="2"/>
  <c r="X58" i="2"/>
  <c r="Q34" i="2"/>
  <c r="V34" i="2"/>
  <c r="R30" i="2"/>
  <c r="N14" i="2"/>
  <c r="Q26" i="2"/>
  <c r="T56" i="2"/>
  <c r="W52" i="2"/>
  <c r="N67" i="2"/>
  <c r="R52" i="2"/>
  <c r="U87" i="2"/>
  <c r="X89" i="2"/>
  <c r="P33" i="2"/>
  <c r="S18" i="2"/>
  <c r="V37" i="2"/>
  <c r="Y23" i="2"/>
  <c r="N10" i="2"/>
  <c r="T50" i="2"/>
  <c r="W80" i="2"/>
  <c r="N65" i="2"/>
  <c r="Q27" i="2"/>
  <c r="T67" i="2"/>
  <c r="X20" i="2"/>
  <c r="O77" i="2"/>
  <c r="R16" i="2"/>
  <c r="V59" i="2"/>
  <c r="Y88" i="2"/>
  <c r="P84" i="2"/>
  <c r="S83" i="2"/>
  <c r="V48" i="2"/>
  <c r="Q30" i="2"/>
  <c r="S63" i="2"/>
  <c r="X59" i="2"/>
  <c r="Y24" i="2"/>
  <c r="O24" i="2"/>
  <c r="S12" i="2"/>
  <c r="V62" i="2"/>
  <c r="Y29" i="2"/>
  <c r="P40" i="2"/>
  <c r="S89" i="2"/>
  <c r="W86" i="2"/>
  <c r="N70" i="2"/>
  <c r="Q35" i="2"/>
  <c r="T53" i="2"/>
  <c r="W48" i="2"/>
  <c r="O73" i="2"/>
  <c r="R73" i="2"/>
  <c r="U48" i="2"/>
  <c r="Y70" i="2"/>
  <c r="P18" i="2"/>
  <c r="S74" i="2"/>
  <c r="V49" i="2"/>
  <c r="Y36" i="2"/>
  <c r="Q42" i="2"/>
  <c r="T88" i="2"/>
  <c r="W49" i="2"/>
  <c r="N22" i="2"/>
  <c r="Q38" i="2"/>
  <c r="T76" i="2"/>
  <c r="W33" i="2"/>
  <c r="X17" i="2"/>
  <c r="O34" i="2"/>
  <c r="O57" i="2"/>
  <c r="O30" i="2"/>
  <c r="R26" i="2"/>
  <c r="U15" i="2"/>
  <c r="X57" i="2"/>
  <c r="O20" i="2"/>
  <c r="S84" i="2"/>
  <c r="V58" i="2"/>
  <c r="Y25" i="2"/>
  <c r="P68" i="2"/>
  <c r="S47" i="2"/>
  <c r="V32" i="2"/>
  <c r="N52" i="2"/>
  <c r="Q79" i="2"/>
  <c r="U42" i="2"/>
  <c r="X86" i="2"/>
  <c r="O65" i="2"/>
  <c r="R65" i="2"/>
  <c r="U36" i="2"/>
  <c r="Y66" i="2"/>
  <c r="P24" i="2"/>
  <c r="S69" i="2"/>
  <c r="W70" i="2"/>
  <c r="N51" i="2"/>
  <c r="P20" i="2"/>
  <c r="S65" i="2"/>
  <c r="W66" i="2"/>
  <c r="P19" i="2"/>
  <c r="T62" i="2"/>
  <c r="W16" i="2"/>
  <c r="N77" i="2"/>
  <c r="Q59" i="2"/>
  <c r="T79" i="2"/>
  <c r="X64" i="2"/>
  <c r="O27" i="2"/>
  <c r="R27" i="2"/>
  <c r="U62" i="2"/>
  <c r="X44" i="2"/>
  <c r="O23" i="2"/>
  <c r="R40" i="2"/>
  <c r="V67" i="2"/>
  <c r="Y75" i="2"/>
  <c r="Q28" i="2"/>
  <c r="T89" i="2"/>
  <c r="W25" i="2"/>
  <c r="O11" i="2"/>
  <c r="R38" i="2"/>
  <c r="U47" i="2"/>
  <c r="X77" i="2"/>
  <c r="O38" i="2"/>
  <c r="R34" i="2"/>
  <c r="U35" i="2"/>
  <c r="X69" i="2"/>
  <c r="R31" i="2"/>
  <c r="U84" i="2"/>
  <c r="Y82" i="2"/>
  <c r="P30" i="2"/>
  <c r="S86" i="2"/>
  <c r="V77" i="2"/>
  <c r="Y48" i="2"/>
  <c r="P75" i="2"/>
  <c r="S49" i="2"/>
  <c r="W50" i="2"/>
  <c r="N34" i="2"/>
  <c r="Q50" i="2"/>
  <c r="T17" i="2"/>
  <c r="W65" i="2"/>
  <c r="N16" i="2"/>
  <c r="Q61" i="2"/>
  <c r="U64" i="2"/>
  <c r="X16" i="2"/>
  <c r="P31" i="2"/>
  <c r="T78" i="2"/>
  <c r="W72" i="2"/>
  <c r="N44" i="2"/>
  <c r="P27" i="2"/>
  <c r="T74" i="2"/>
  <c r="W56" i="2"/>
  <c r="V51" i="2"/>
  <c r="Q56" i="2"/>
  <c r="T55" i="2"/>
  <c r="V29" i="2"/>
  <c r="P41" i="2"/>
  <c r="S26" i="2"/>
  <c r="V53" i="2"/>
  <c r="Y31" i="2"/>
  <c r="T10" i="2"/>
  <c r="T26" i="2"/>
  <c r="W67" i="2"/>
  <c r="N73" i="2"/>
  <c r="Q51" i="2"/>
  <c r="T75" i="2"/>
  <c r="X48" i="2"/>
  <c r="O19" i="2"/>
  <c r="R11" i="2"/>
  <c r="U34" i="2"/>
  <c r="X28" i="2"/>
  <c r="O72" i="2"/>
  <c r="R23" i="2"/>
  <c r="V31" i="2"/>
  <c r="Y77" i="2"/>
  <c r="P10" i="2"/>
  <c r="T42" i="2"/>
  <c r="W60" i="2"/>
  <c r="O42" i="2"/>
  <c r="Q10" i="2"/>
  <c r="T38" i="2"/>
  <c r="W40" i="2"/>
  <c r="O2" i="4"/>
  <c r="I81" i="4"/>
  <c r="I44" i="4"/>
  <c r="I3" i="4"/>
  <c r="I45" i="4"/>
  <c r="I8" i="4"/>
  <c r="I90" i="4"/>
  <c r="I9" i="4"/>
  <c r="I91" i="4"/>
  <c r="I82" i="4"/>
  <c r="I5" i="4"/>
  <c r="I55" i="4"/>
  <c r="I74" i="4"/>
  <c r="I60" i="4"/>
  <c r="I19" i="4"/>
  <c r="I88" i="4"/>
  <c r="I47" i="4"/>
  <c r="I54" i="4"/>
  <c r="I84" i="4"/>
  <c r="I43" i="4"/>
  <c r="I34" i="4"/>
  <c r="I21" i="4"/>
  <c r="I71" i="4"/>
  <c r="H37" i="3"/>
  <c r="H5" i="8"/>
  <c r="H18" i="8"/>
  <c r="Q138" i="8"/>
  <c r="Q144" i="8"/>
  <c r="Q40" i="8"/>
  <c r="Q180" i="8"/>
  <c r="Q44" i="8"/>
  <c r="Q141" i="8"/>
  <c r="Q77" i="8"/>
  <c r="Q13" i="8"/>
  <c r="Q147" i="8"/>
  <c r="Q83" i="8"/>
  <c r="Q19" i="8"/>
  <c r="I60" i="11"/>
  <c r="I19" i="11"/>
  <c r="Q2" i="8"/>
  <c r="R2" i="8" s="1"/>
  <c r="O3" i="8" s="1"/>
  <c r="T3" i="8" s="1"/>
  <c r="Q18" i="8"/>
  <c r="Q92" i="8"/>
  <c r="Q110" i="8"/>
  <c r="Q70" i="8"/>
  <c r="Q134" i="8"/>
  <c r="Q36" i="8"/>
  <c r="Q137" i="8"/>
  <c r="Q73" i="8"/>
  <c r="Q9" i="8"/>
  <c r="Q143" i="8"/>
  <c r="Q79" i="8"/>
  <c r="Q15" i="8"/>
  <c r="I65" i="11"/>
  <c r="I16" i="11"/>
  <c r="I62" i="11"/>
  <c r="K2" i="8"/>
  <c r="Q152" i="8"/>
  <c r="H53" i="3"/>
  <c r="H35" i="8"/>
  <c r="Q58" i="8"/>
  <c r="Q124" i="8"/>
  <c r="Q162" i="8"/>
  <c r="Q154" i="8"/>
  <c r="Q166" i="8"/>
  <c r="Q76" i="8"/>
  <c r="Q157" i="8"/>
  <c r="Q93" i="8"/>
  <c r="Q29" i="8"/>
  <c r="Q131" i="8"/>
  <c r="Q67" i="8"/>
  <c r="Q3" i="8"/>
  <c r="I44" i="11"/>
  <c r="I3" i="11"/>
  <c r="I2" i="7"/>
  <c r="J2" i="7" s="1"/>
  <c r="H18" i="3"/>
  <c r="H33" i="3"/>
  <c r="I49" i="11"/>
  <c r="I87" i="11"/>
  <c r="I46" i="11"/>
  <c r="I73" i="11"/>
  <c r="I56" i="11"/>
  <c r="I15" i="11"/>
  <c r="I25" i="11"/>
  <c r="I63" i="11"/>
  <c r="I22" i="11"/>
  <c r="H40" i="3"/>
  <c r="H91" i="3"/>
  <c r="H27" i="3"/>
  <c r="H29" i="8"/>
  <c r="H43" i="8"/>
  <c r="H42" i="8"/>
  <c r="Q74" i="8"/>
  <c r="Q80" i="8"/>
  <c r="Q104" i="8"/>
  <c r="Q62" i="8"/>
  <c r="Q140" i="8"/>
  <c r="Q165" i="8"/>
  <c r="Q101" i="8"/>
  <c r="Q37" i="8"/>
  <c r="Q171" i="8"/>
  <c r="Q107" i="8"/>
  <c r="Q43" i="8"/>
  <c r="I69" i="11"/>
  <c r="I52" i="11"/>
  <c r="I11" i="11"/>
  <c r="I34" i="11"/>
  <c r="H24" i="3"/>
  <c r="H4" i="8"/>
  <c r="Q90" i="8"/>
  <c r="Q85" i="8"/>
  <c r="I36" i="11"/>
  <c r="H2" i="9"/>
  <c r="I2" i="9" s="1"/>
  <c r="I68" i="11"/>
  <c r="I59" i="11"/>
  <c r="I18" i="11"/>
  <c r="O2" i="11"/>
  <c r="H56" i="3"/>
  <c r="H75" i="3"/>
  <c r="H11" i="3"/>
  <c r="H45" i="8"/>
  <c r="H36" i="8"/>
  <c r="H27" i="8"/>
  <c r="Q88" i="8"/>
  <c r="Q42" i="8"/>
  <c r="Q78" i="8"/>
  <c r="Q30" i="8"/>
  <c r="Q114" i="8"/>
  <c r="Q181" i="8"/>
  <c r="Q117" i="8"/>
  <c r="Q53" i="8"/>
  <c r="Q155" i="8"/>
  <c r="Q91" i="8"/>
  <c r="Q27" i="8"/>
  <c r="I21" i="11"/>
  <c r="I91" i="11"/>
  <c r="I50" i="11"/>
  <c r="K2" i="9"/>
  <c r="I53" i="11"/>
  <c r="I4" i="11"/>
  <c r="I82" i="11"/>
  <c r="G3" i="7"/>
  <c r="L3" i="7" s="1"/>
  <c r="I3" i="3"/>
  <c r="F4" i="3" s="1"/>
  <c r="K3" i="3"/>
  <c r="I3" i="8"/>
  <c r="F4" i="8" s="1"/>
  <c r="K3" i="8"/>
  <c r="N4" i="9"/>
  <c r="Q3" i="9"/>
  <c r="O3" i="9"/>
  <c r="T3" i="9" s="1"/>
  <c r="E4" i="9"/>
  <c r="H3" i="9"/>
  <c r="I3" i="7"/>
  <c r="F4" i="7"/>
  <c r="F3" i="9"/>
  <c r="D4" i="7"/>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91" i="7" s="1"/>
  <c r="D92" i="7" s="1"/>
  <c r="D93" i="7" s="1"/>
  <c r="D94" i="7" s="1"/>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133" i="7" s="1"/>
  <c r="D134" i="7" s="1"/>
  <c r="D135" i="7" s="1"/>
  <c r="D136" i="7" s="1"/>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175" i="7" s="1"/>
  <c r="D176" i="7" s="1"/>
  <c r="D177" i="7" s="1"/>
  <c r="D178" i="7" s="1"/>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301" i="7" s="1"/>
  <c r="D302" i="7" s="1"/>
  <c r="D303" i="7" s="1"/>
  <c r="D304" i="7" s="1"/>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D344" i="7" s="1"/>
  <c r="D345" i="7" s="1"/>
  <c r="D346" i="7" s="1"/>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427" i="7" s="1"/>
  <c r="D428" i="7" s="1"/>
  <c r="D429" i="7" s="1"/>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D469" i="7" s="1"/>
  <c r="D470" i="7" s="1"/>
  <c r="D471" i="7" s="1"/>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D511" i="7" s="1"/>
  <c r="D512" i="7" s="1"/>
  <c r="D513" i="7" s="1"/>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D553" i="7" s="1"/>
  <c r="D554" i="7" s="1"/>
  <c r="D555" i="7" s="1"/>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D595" i="7" s="1"/>
  <c r="D596" i="7" s="1"/>
  <c r="D597" i="7" s="1"/>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D637" i="7" s="1"/>
  <c r="D638" i="7" s="1"/>
  <c r="D639" i="7" s="1"/>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D679" i="7" s="1"/>
  <c r="D680" i="7" s="1"/>
  <c r="D681" i="7" s="1"/>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D721" i="7" s="1"/>
  <c r="R3" i="8"/>
  <c r="O4" i="8" s="1"/>
  <c r="T4" i="8" s="1"/>
  <c r="B19" i="12"/>
  <c r="G4" i="6"/>
  <c r="N10" i="6"/>
  <c r="N25" i="6"/>
  <c r="G46" i="6"/>
  <c r="H86" i="6"/>
  <c r="H84" i="6"/>
  <c r="H11" i="6"/>
  <c r="N2" i="6"/>
  <c r="H2" i="6"/>
  <c r="H42" i="6"/>
  <c r="G69" i="6"/>
  <c r="G5" i="6"/>
  <c r="H32" i="6"/>
  <c r="G87" i="6"/>
  <c r="G23" i="6"/>
  <c r="G81" i="6"/>
  <c r="H17" i="6"/>
  <c r="H35" i="6"/>
  <c r="N45" i="6"/>
  <c r="N63" i="6"/>
  <c r="N60" i="10"/>
  <c r="G38" i="10"/>
  <c r="N19" i="10"/>
  <c r="G49" i="10"/>
  <c r="G12" i="10"/>
  <c r="G37" i="10"/>
  <c r="N40" i="10"/>
  <c r="N31" i="10"/>
  <c r="H30" i="10"/>
  <c r="H43" i="10"/>
  <c r="G58" i="10"/>
  <c r="H80" i="10"/>
  <c r="N16" i="10"/>
  <c r="H71" i="10"/>
  <c r="N7" i="10"/>
  <c r="J45" i="16"/>
  <c r="L45" i="16"/>
  <c r="H47" i="16"/>
  <c r="J47" i="16"/>
  <c r="H41" i="16"/>
  <c r="J41" i="16"/>
  <c r="G40" i="16"/>
  <c r="I40" i="16"/>
  <c r="H39" i="16"/>
  <c r="J39" i="16"/>
  <c r="H74" i="16"/>
  <c r="G74" i="16"/>
  <c r="G37" i="16"/>
  <c r="H24" i="16"/>
  <c r="J24" i="16"/>
  <c r="K66" i="16"/>
  <c r="H66" i="16"/>
  <c r="K31" i="16"/>
  <c r="T31" i="16"/>
  <c r="H50" i="16"/>
  <c r="I50" i="16"/>
  <c r="T33" i="16"/>
  <c r="G33" i="16"/>
  <c r="I8" i="16"/>
  <c r="K8" i="16"/>
  <c r="H26" i="16"/>
  <c r="J26" i="16"/>
  <c r="H23" i="16"/>
  <c r="J23" i="16"/>
  <c r="K48" i="16"/>
  <c r="T48" i="16"/>
  <c r="G28" i="16"/>
  <c r="L43" i="16"/>
  <c r="T70" i="16"/>
  <c r="G38" i="16"/>
  <c r="I86" i="16"/>
  <c r="K86" i="16"/>
  <c r="J6" i="16"/>
  <c r="L6" i="16"/>
  <c r="H83" i="16"/>
  <c r="J83" i="16"/>
  <c r="J19" i="16"/>
  <c r="L19" i="16"/>
  <c r="F67" i="5"/>
  <c r="F64" i="5"/>
  <c r="G3" i="5"/>
  <c r="G29" i="5"/>
  <c r="F59" i="5"/>
  <c r="H89" i="5"/>
  <c r="G34" i="5"/>
  <c r="F68" i="5"/>
  <c r="H19" i="5"/>
  <c r="H12" i="5"/>
  <c r="H52" i="5"/>
  <c r="F50" i="5"/>
  <c r="F41" i="5"/>
  <c r="F4" i="5"/>
  <c r="G63" i="5"/>
  <c r="G20" i="5"/>
  <c r="G38" i="5"/>
  <c r="H80" i="5"/>
  <c r="F23" i="5"/>
  <c r="F84" i="5"/>
  <c r="F24" i="5"/>
  <c r="G62" i="5"/>
  <c r="G68" i="6"/>
  <c r="H43" i="6"/>
  <c r="G20" i="6"/>
  <c r="N58" i="6"/>
  <c r="N53" i="6"/>
  <c r="G80" i="6"/>
  <c r="G16" i="6"/>
  <c r="H71" i="6"/>
  <c r="G7" i="6"/>
  <c r="H65" i="6"/>
  <c r="N28" i="6"/>
  <c r="G83" i="6"/>
  <c r="G29" i="6"/>
  <c r="N56" i="6"/>
  <c r="H35" i="10"/>
  <c r="N57" i="10"/>
  <c r="N28" i="10"/>
  <c r="H6" i="10"/>
  <c r="H74" i="10"/>
  <c r="H9" i="10"/>
  <c r="N86" i="10"/>
  <c r="H85" i="10"/>
  <c r="N21" i="10"/>
  <c r="N70" i="10"/>
  <c r="H88" i="10"/>
  <c r="G24" i="10"/>
  <c r="H79" i="10"/>
  <c r="G15" i="10"/>
  <c r="N36" i="10"/>
  <c r="G91" i="10"/>
  <c r="H27" i="10"/>
  <c r="G22" i="10"/>
  <c r="G34" i="10"/>
  <c r="N61" i="10"/>
  <c r="N64" i="10"/>
  <c r="N55" i="10"/>
  <c r="G90" i="10"/>
  <c r="K61" i="16"/>
  <c r="T61" i="16"/>
  <c r="L79" i="16"/>
  <c r="K79" i="16"/>
  <c r="J22" i="16"/>
  <c r="L22" i="16"/>
  <c r="H77" i="16"/>
  <c r="L36" i="16"/>
  <c r="T2" i="16"/>
  <c r="H2" i="16"/>
  <c r="H89" i="16"/>
  <c r="J89" i="16"/>
  <c r="I25" i="16"/>
  <c r="G25" i="16"/>
  <c r="I80" i="16"/>
  <c r="K80" i="16"/>
  <c r="I7" i="16"/>
  <c r="L7" i="16"/>
  <c r="H85" i="16"/>
  <c r="T21" i="16"/>
  <c r="T68" i="16"/>
  <c r="H68" i="16"/>
  <c r="T81" i="16"/>
  <c r="T13" i="16"/>
  <c r="K52" i="16"/>
  <c r="T52" i="16"/>
  <c r="H78" i="16"/>
  <c r="G78" i="16"/>
  <c r="H16" i="16"/>
  <c r="J16" i="16"/>
  <c r="G42" i="16"/>
  <c r="H42" i="16"/>
  <c r="L91" i="16"/>
  <c r="K91" i="16"/>
  <c r="G27" i="16"/>
  <c r="L27" i="16"/>
  <c r="K14" i="16"/>
  <c r="T14" i="16"/>
  <c r="J76" i="16"/>
  <c r="I76" i="16"/>
  <c r="H67" i="16"/>
  <c r="G67" i="16"/>
  <c r="G3" i="16"/>
  <c r="I3" i="16"/>
  <c r="G32" i="5"/>
  <c r="G61" i="5"/>
  <c r="F10" i="5"/>
  <c r="F33" i="5"/>
  <c r="G27" i="5"/>
  <c r="F36" i="5"/>
  <c r="F90" i="5"/>
  <c r="G13" i="5"/>
  <c r="G43" i="5"/>
  <c r="H88" i="5"/>
  <c r="G18" i="5"/>
  <c r="G47" i="5"/>
  <c r="H86" i="5"/>
  <c r="G22" i="5"/>
  <c r="H69" i="5"/>
  <c r="G28" i="5"/>
  <c r="H71" i="5"/>
  <c r="F40" i="5"/>
  <c r="H46" i="5"/>
  <c r="G41" i="6"/>
  <c r="G59" i="6"/>
  <c r="G6" i="6"/>
  <c r="H54" i="6"/>
  <c r="G73" i="6"/>
  <c r="N57" i="6"/>
  <c r="G34" i="6"/>
  <c r="N38" i="6"/>
  <c r="N37" i="6"/>
  <c r="G64" i="6"/>
  <c r="H55" i="6"/>
  <c r="G49" i="6"/>
  <c r="H76" i="6"/>
  <c r="G12" i="6"/>
  <c r="H77" i="6"/>
  <c r="N40" i="6"/>
  <c r="H31" i="6"/>
  <c r="N65" i="10"/>
  <c r="N44" i="10"/>
  <c r="H42" i="10"/>
  <c r="N25" i="10"/>
  <c r="G67" i="10"/>
  <c r="H46" i="10"/>
  <c r="G69" i="10"/>
  <c r="H5" i="10"/>
  <c r="G72" i="10"/>
  <c r="H8" i="10"/>
  <c r="N17" i="10"/>
  <c r="G84" i="10"/>
  <c r="N20" i="10"/>
  <c r="F2" i="10"/>
  <c r="N48" i="10"/>
  <c r="I18" i="16"/>
  <c r="J18" i="16"/>
  <c r="T56" i="16"/>
  <c r="H56" i="16"/>
  <c r="L5" i="16"/>
  <c r="L82" i="16"/>
  <c r="I73" i="16"/>
  <c r="K73" i="16"/>
  <c r="K20" i="16"/>
  <c r="G54" i="16"/>
  <c r="H69" i="16"/>
  <c r="J69" i="16"/>
  <c r="T4" i="16"/>
  <c r="G10" i="16"/>
  <c r="K65" i="16"/>
  <c r="L65" i="16"/>
  <c r="H58" i="16"/>
  <c r="J58" i="16"/>
  <c r="J87" i="16"/>
  <c r="L87" i="16"/>
  <c r="T46" i="16"/>
  <c r="K46" i="16"/>
  <c r="H88" i="16"/>
  <c r="L75" i="16"/>
  <c r="T11" i="16"/>
  <c r="H9" i="16"/>
  <c r="K64" i="16"/>
  <c r="T64" i="16"/>
  <c r="G44" i="16"/>
  <c r="L51" i="16"/>
  <c r="H53" i="5"/>
  <c r="G35" i="5"/>
  <c r="H83" i="5"/>
  <c r="G72" i="5"/>
  <c r="G58" i="5"/>
  <c r="G44" i="5"/>
  <c r="G65" i="5"/>
  <c r="H70" i="5"/>
  <c r="G6" i="5"/>
  <c r="H25" i="5"/>
  <c r="G55" i="5"/>
  <c r="F73" i="5"/>
  <c r="G30" i="5"/>
  <c r="G26" i="6"/>
  <c r="H90" i="6"/>
  <c r="H89" i="6"/>
  <c r="H9" i="6"/>
  <c r="G75" i="6"/>
  <c r="H82" i="6"/>
  <c r="N18" i="6"/>
  <c r="G85" i="6"/>
  <c r="N48" i="6"/>
  <c r="H39" i="6"/>
  <c r="N50" i="6"/>
  <c r="H33" i="6"/>
  <c r="G60" i="6"/>
  <c r="N51" i="6"/>
  <c r="H22" i="6"/>
  <c r="G30" i="6"/>
  <c r="N88" i="6"/>
  <c r="N24" i="6"/>
  <c r="G79" i="6"/>
  <c r="G15" i="6"/>
  <c r="H73" i="10"/>
  <c r="G33" i="10"/>
  <c r="N26" i="10"/>
  <c r="G83" i="10"/>
  <c r="H81" i="10"/>
  <c r="H76" i="10"/>
  <c r="H3" i="10"/>
  <c r="G18" i="10"/>
  <c r="H53" i="10"/>
  <c r="N56" i="10"/>
  <c r="G47" i="10"/>
  <c r="H66" i="10"/>
  <c r="G68" i="10"/>
  <c r="H4" i="10"/>
  <c r="N59" i="10"/>
  <c r="N32" i="10"/>
  <c r="G87" i="10"/>
  <c r="N23" i="10"/>
  <c r="G14" i="10"/>
  <c r="L62" i="16"/>
  <c r="K29" i="16"/>
  <c r="I29" i="16"/>
  <c r="K15" i="16"/>
  <c r="J15" i="16"/>
  <c r="I57" i="16"/>
  <c r="G57" i="16"/>
  <c r="G30" i="16"/>
  <c r="I30" i="16"/>
  <c r="I71" i="16"/>
  <c r="L71" i="16"/>
  <c r="J53" i="16"/>
  <c r="L53" i="16"/>
  <c r="L63" i="16"/>
  <c r="G49" i="16"/>
  <c r="T49" i="16"/>
  <c r="J72" i="16"/>
  <c r="L72" i="16"/>
  <c r="G55" i="16"/>
  <c r="G17" i="16"/>
  <c r="K84" i="16"/>
  <c r="J84" i="16"/>
  <c r="K60" i="16"/>
  <c r="L59" i="16"/>
  <c r="T32" i="16"/>
  <c r="H4" i="6"/>
  <c r="G25" i="6"/>
  <c r="N46" i="6"/>
  <c r="G27" i="6"/>
  <c r="G86" i="6"/>
  <c r="G84" i="6"/>
  <c r="G11" i="6"/>
  <c r="N42" i="6"/>
  <c r="N69" i="6"/>
  <c r="N5" i="6"/>
  <c r="G32" i="6"/>
  <c r="H74" i="6"/>
  <c r="H81" i="6"/>
  <c r="N17" i="6"/>
  <c r="H44" i="6"/>
  <c r="N35" i="6"/>
  <c r="G45" i="6"/>
  <c r="G72" i="6"/>
  <c r="H8" i="6"/>
  <c r="G54" i="10"/>
  <c r="G89" i="10"/>
  <c r="H49" i="10"/>
  <c r="H12" i="10"/>
  <c r="G40" i="10"/>
  <c r="G52" i="10"/>
  <c r="N43" i="10"/>
  <c r="H58" i="10"/>
  <c r="N62" i="10"/>
  <c r="H77" i="10"/>
  <c r="G13" i="10"/>
  <c r="N71" i="10"/>
  <c r="G7" i="10"/>
  <c r="G45" i="16"/>
  <c r="L47" i="16"/>
  <c r="L41" i="16"/>
  <c r="K40" i="16"/>
  <c r="T40" i="16"/>
  <c r="L39" i="16"/>
  <c r="G39" i="16"/>
  <c r="L74" i="16"/>
  <c r="K74" i="16"/>
  <c r="I37" i="16"/>
  <c r="H37" i="16"/>
  <c r="L24" i="16"/>
  <c r="L66" i="16"/>
  <c r="H31" i="16"/>
  <c r="L50" i="16"/>
  <c r="J33" i="16"/>
  <c r="H33" i="16"/>
  <c r="T8" i="16"/>
  <c r="H8" i="16"/>
  <c r="L26" i="16"/>
  <c r="K26" i="16"/>
  <c r="L23" i="16"/>
  <c r="G23" i="16"/>
  <c r="H48" i="16"/>
  <c r="J48" i="16"/>
  <c r="I28" i="16"/>
  <c r="K28" i="16"/>
  <c r="J43" i="16"/>
  <c r="T43" i="16"/>
  <c r="H70" i="16"/>
  <c r="G70" i="16"/>
  <c r="I38" i="16"/>
  <c r="K38" i="16"/>
  <c r="T86" i="16"/>
  <c r="G6" i="16"/>
  <c r="T6" i="16"/>
  <c r="L83" i="16"/>
  <c r="K83" i="16"/>
  <c r="G19" i="16"/>
  <c r="I19" i="16"/>
  <c r="F5" i="5"/>
  <c r="G64" i="5"/>
  <c r="H3" i="5"/>
  <c r="F8" i="5"/>
  <c r="F89" i="5"/>
  <c r="H34" i="5"/>
  <c r="G68" i="5"/>
  <c r="F85" i="5"/>
  <c r="G75" i="5"/>
  <c r="F52" i="5"/>
  <c r="G50" i="5"/>
  <c r="G41" i="5"/>
  <c r="G4" i="5"/>
  <c r="H63" i="5"/>
  <c r="H20" i="5"/>
  <c r="H38" i="5"/>
  <c r="H87" i="5"/>
  <c r="G23" i="5"/>
  <c r="G84" i="5"/>
  <c r="G24" i="5"/>
  <c r="H62" i="5"/>
  <c r="H68" i="6"/>
  <c r="G43" i="6"/>
  <c r="H36" i="6"/>
  <c r="N20" i="6"/>
  <c r="H78" i="6"/>
  <c r="N80" i="6"/>
  <c r="G71" i="6"/>
  <c r="N7" i="6"/>
  <c r="G65" i="6"/>
  <c r="N19" i="6"/>
  <c r="H29" i="6"/>
  <c r="G56" i="6"/>
  <c r="N47" i="6"/>
  <c r="N41" i="10"/>
  <c r="G78" i="10"/>
  <c r="G51" i="10"/>
  <c r="N82" i="10"/>
  <c r="N35" i="10"/>
  <c r="G57" i="10"/>
  <c r="G28" i="10"/>
  <c r="N6" i="10"/>
  <c r="N74" i="10"/>
  <c r="N9" i="10"/>
  <c r="N79" i="10"/>
  <c r="H15" i="10"/>
  <c r="G36" i="10"/>
  <c r="H91" i="10"/>
  <c r="N27" i="10"/>
  <c r="H22" i="10"/>
  <c r="G64" i="10"/>
  <c r="H61" i="16"/>
  <c r="J61" i="16"/>
  <c r="I79" i="16"/>
  <c r="G79" i="16"/>
  <c r="G22" i="16"/>
  <c r="I22" i="16"/>
  <c r="J77" i="16"/>
  <c r="L77" i="16"/>
  <c r="G36" i="16"/>
  <c r="T36" i="16"/>
  <c r="I2" i="16"/>
  <c r="K2" i="16"/>
  <c r="L89" i="16"/>
  <c r="T25" i="16"/>
  <c r="T80" i="16"/>
  <c r="L80" i="16"/>
  <c r="T7" i="16"/>
  <c r="H7" i="16"/>
  <c r="J85" i="16"/>
  <c r="I85" i="16"/>
  <c r="H21" i="16"/>
  <c r="G21" i="16"/>
  <c r="J68" i="16"/>
  <c r="G68" i="16"/>
  <c r="H81" i="16"/>
  <c r="J81" i="16"/>
  <c r="H13" i="16"/>
  <c r="J13" i="16"/>
  <c r="H52" i="16"/>
  <c r="J52" i="16"/>
  <c r="L78" i="16"/>
  <c r="K78" i="16"/>
  <c r="L16" i="16"/>
  <c r="K42" i="16"/>
  <c r="I42" i="16"/>
  <c r="I91" i="16"/>
  <c r="G91" i="16"/>
  <c r="K27" i="16"/>
  <c r="T27" i="16"/>
  <c r="H14" i="16"/>
  <c r="G76" i="16"/>
  <c r="L76" i="16"/>
  <c r="L67" i="16"/>
  <c r="J67" i="16"/>
  <c r="K3" i="16"/>
  <c r="J3" i="16"/>
  <c r="F74" i="5"/>
  <c r="H32" i="5"/>
  <c r="H61" i="5"/>
  <c r="H33" i="5"/>
  <c r="H2" i="5"/>
  <c r="G90" i="5"/>
  <c r="H13" i="5"/>
  <c r="H43" i="5"/>
  <c r="F88" i="5"/>
  <c r="G17" i="5"/>
  <c r="H47" i="5"/>
  <c r="H37" i="5"/>
  <c r="F86" i="5"/>
  <c r="H22" i="5"/>
  <c r="H28" i="5"/>
  <c r="G7" i="5"/>
  <c r="G40" i="5"/>
  <c r="H59" i="6"/>
  <c r="H6" i="6"/>
  <c r="H52" i="6"/>
  <c r="N34" i="6"/>
  <c r="H38" i="6"/>
  <c r="N64" i="6"/>
  <c r="G55" i="6"/>
  <c r="H66" i="6"/>
  <c r="H14" i="6"/>
  <c r="N70" i="6"/>
  <c r="N49" i="6"/>
  <c r="G76" i="6"/>
  <c r="H12" i="6"/>
  <c r="G67" i="6"/>
  <c r="H3" i="6"/>
  <c r="G77" i="6"/>
  <c r="H13" i="6"/>
  <c r="G31" i="6"/>
  <c r="G25" i="10"/>
  <c r="G10" i="10"/>
  <c r="N46" i="10"/>
  <c r="H69" i="10"/>
  <c r="N5" i="10"/>
  <c r="H72" i="10"/>
  <c r="N8" i="10"/>
  <c r="G63" i="10"/>
  <c r="G17" i="10"/>
  <c r="H84" i="10"/>
  <c r="G20" i="10"/>
  <c r="H75" i="10"/>
  <c r="G11" i="10"/>
  <c r="N2" i="10"/>
  <c r="G45" i="10"/>
  <c r="G48" i="10"/>
  <c r="N39" i="10"/>
  <c r="G50" i="10"/>
  <c r="T18" i="16"/>
  <c r="J56" i="16"/>
  <c r="G56" i="16"/>
  <c r="J5" i="16"/>
  <c r="T5" i="16"/>
  <c r="J82" i="16"/>
  <c r="T82" i="16"/>
  <c r="T73" i="16"/>
  <c r="I20" i="16"/>
  <c r="H20" i="16"/>
  <c r="I54" i="16"/>
  <c r="K54" i="16"/>
  <c r="L69" i="16"/>
  <c r="H4" i="16"/>
  <c r="J4" i="16"/>
  <c r="I10" i="16"/>
  <c r="H10" i="16"/>
  <c r="H65" i="16"/>
  <c r="L58" i="16"/>
  <c r="G87" i="16"/>
  <c r="I87" i="16"/>
  <c r="J46" i="16"/>
  <c r="L46" i="16"/>
  <c r="J88" i="16"/>
  <c r="L88" i="16"/>
  <c r="J75" i="16"/>
  <c r="T75" i="16"/>
  <c r="H11" i="16"/>
  <c r="J11" i="16"/>
  <c r="J9" i="16"/>
  <c r="L9" i="16"/>
  <c r="H64" i="16"/>
  <c r="J64" i="16"/>
  <c r="I44" i="16"/>
  <c r="K44" i="16"/>
  <c r="G51" i="16"/>
  <c r="I51" i="16"/>
  <c r="F53" i="5"/>
  <c r="H35" i="5"/>
  <c r="F83" i="5"/>
  <c r="F11" i="5"/>
  <c r="G49" i="5"/>
  <c r="H31" i="5"/>
  <c r="H65" i="5"/>
  <c r="F48" i="5"/>
  <c r="F70" i="5"/>
  <c r="H6" i="5"/>
  <c r="H55" i="5"/>
  <c r="G90" i="6"/>
  <c r="G89" i="6"/>
  <c r="G62" i="6"/>
  <c r="N9" i="6"/>
  <c r="H91" i="6"/>
  <c r="N75" i="6"/>
  <c r="G18" i="6"/>
  <c r="H85" i="6"/>
  <c r="H21" i="6"/>
  <c r="H48" i="6"/>
  <c r="G39" i="6"/>
  <c r="N33" i="6"/>
  <c r="N22" i="6"/>
  <c r="G61" i="6"/>
  <c r="N79" i="6"/>
  <c r="N15" i="6"/>
  <c r="N4" i="6"/>
  <c r="H10" i="6"/>
  <c r="N27" i="6"/>
  <c r="N86" i="6"/>
  <c r="N84" i="6"/>
  <c r="N11" i="6"/>
  <c r="G2" i="6"/>
  <c r="H69" i="6"/>
  <c r="N32" i="6"/>
  <c r="H87" i="6"/>
  <c r="H23" i="6"/>
  <c r="G74" i="6"/>
  <c r="N81" i="6"/>
  <c r="G17" i="6"/>
  <c r="G44" i="6"/>
  <c r="H72" i="6"/>
  <c r="G8" i="6"/>
  <c r="H63" i="6"/>
  <c r="H54" i="10"/>
  <c r="G60" i="10"/>
  <c r="H38" i="10"/>
  <c r="H89" i="10"/>
  <c r="G19" i="10"/>
  <c r="H37" i="10"/>
  <c r="H40" i="10"/>
  <c r="G31" i="10"/>
  <c r="G30" i="10"/>
  <c r="H52" i="10"/>
  <c r="G62" i="10"/>
  <c r="N77" i="10"/>
  <c r="H13" i="10"/>
  <c r="N80" i="10"/>
  <c r="G16" i="10"/>
  <c r="I45" i="16"/>
  <c r="K45" i="16"/>
  <c r="G47" i="16"/>
  <c r="I47" i="16"/>
  <c r="G41" i="16"/>
  <c r="I41" i="16"/>
  <c r="H40" i="16"/>
  <c r="I39" i="16"/>
  <c r="K39" i="16"/>
  <c r="I74" i="16"/>
  <c r="J74" i="16"/>
  <c r="T37" i="16"/>
  <c r="L37" i="16"/>
  <c r="G24" i="16"/>
  <c r="T24" i="16"/>
  <c r="J66" i="16"/>
  <c r="T66" i="16"/>
  <c r="J31" i="16"/>
  <c r="I31" i="16"/>
  <c r="G50" i="16"/>
  <c r="T50" i="16"/>
  <c r="K33" i="16"/>
  <c r="J8" i="16"/>
  <c r="L8" i="16"/>
  <c r="I26" i="16"/>
  <c r="G26" i="16"/>
  <c r="I23" i="16"/>
  <c r="K23" i="16"/>
  <c r="L48" i="16"/>
  <c r="T28" i="16"/>
  <c r="H28" i="16"/>
  <c r="G43" i="16"/>
  <c r="I43" i="16"/>
  <c r="L70" i="16"/>
  <c r="K70" i="16"/>
  <c r="T38" i="16"/>
  <c r="H38" i="16"/>
  <c r="H86" i="16"/>
  <c r="J86" i="16"/>
  <c r="K6" i="16"/>
  <c r="I6" i="16"/>
  <c r="I83" i="16"/>
  <c r="G83" i="16"/>
  <c r="K19" i="16"/>
  <c r="T19" i="16"/>
  <c r="G67" i="5"/>
  <c r="G5" i="5"/>
  <c r="H64" i="5"/>
  <c r="H29" i="5"/>
  <c r="G59" i="5"/>
  <c r="G8" i="5"/>
  <c r="G89" i="5"/>
  <c r="F19" i="5"/>
  <c r="F12" i="5"/>
  <c r="G85" i="5"/>
  <c r="H75" i="5"/>
  <c r="G52" i="5"/>
  <c r="H50" i="5"/>
  <c r="H4" i="5"/>
  <c r="F38" i="5"/>
  <c r="F80" i="5"/>
  <c r="F87" i="5"/>
  <c r="H23" i="5"/>
  <c r="H24" i="5"/>
  <c r="N68" i="6"/>
  <c r="G36" i="6"/>
  <c r="H20" i="6"/>
  <c r="N78" i="6"/>
  <c r="H58" i="6"/>
  <c r="G53" i="6"/>
  <c r="N16" i="6"/>
  <c r="N71" i="6"/>
  <c r="N65" i="6"/>
  <c r="H28" i="6"/>
  <c r="H83" i="6"/>
  <c r="H19" i="6"/>
  <c r="G10" i="6"/>
  <c r="H25" i="6"/>
  <c r="H46" i="6"/>
  <c r="H27" i="6"/>
  <c r="F2" i="6"/>
  <c r="G42" i="6"/>
  <c r="H5" i="6"/>
  <c r="N87" i="6"/>
  <c r="N23" i="6"/>
  <c r="N74" i="6"/>
  <c r="N44" i="6"/>
  <c r="G35" i="6"/>
  <c r="H45" i="6"/>
  <c r="N72" i="6"/>
  <c r="N8" i="6"/>
  <c r="G63" i="6"/>
  <c r="N54" i="10"/>
  <c r="H60" i="10"/>
  <c r="N38" i="10"/>
  <c r="N89" i="10"/>
  <c r="H19" i="10"/>
  <c r="N49" i="10"/>
  <c r="N12" i="10"/>
  <c r="N37" i="10"/>
  <c r="H31" i="10"/>
  <c r="N30" i="10"/>
  <c r="N52" i="10"/>
  <c r="G43" i="10"/>
  <c r="N58" i="10"/>
  <c r="H62" i="10"/>
  <c r="G77" i="10"/>
  <c r="N13" i="10"/>
  <c r="G80" i="10"/>
  <c r="H16" i="10"/>
  <c r="G71" i="10"/>
  <c r="H7" i="10"/>
  <c r="T45" i="16"/>
  <c r="H45" i="16"/>
  <c r="K47" i="16"/>
  <c r="T47" i="16"/>
  <c r="K41" i="16"/>
  <c r="T41" i="16"/>
  <c r="J40" i="16"/>
  <c r="L40" i="16"/>
  <c r="T39" i="16"/>
  <c r="T74" i="16"/>
  <c r="J37" i="16"/>
  <c r="K37" i="16"/>
  <c r="K24" i="16"/>
  <c r="I24" i="16"/>
  <c r="G66" i="16"/>
  <c r="I66" i="16"/>
  <c r="G31" i="16"/>
  <c r="L31" i="16"/>
  <c r="K50" i="16"/>
  <c r="J50" i="16"/>
  <c r="I33" i="16"/>
  <c r="L33" i="16"/>
  <c r="G8" i="16"/>
  <c r="T26" i="16"/>
  <c r="T23" i="16"/>
  <c r="G48" i="16"/>
  <c r="I48" i="16"/>
  <c r="J28" i="16"/>
  <c r="L28" i="16"/>
  <c r="K43" i="16"/>
  <c r="H43" i="16"/>
  <c r="I70" i="16"/>
  <c r="J70" i="16"/>
  <c r="J38" i="16"/>
  <c r="L38" i="16"/>
  <c r="L86" i="16"/>
  <c r="G86" i="16"/>
  <c r="H6" i="16"/>
  <c r="T83" i="16"/>
  <c r="H19" i="16"/>
  <c r="H67" i="5"/>
  <c r="H5" i="5"/>
  <c r="F3" i="5"/>
  <c r="F29" i="5"/>
  <c r="H59" i="5"/>
  <c r="H8" i="5"/>
  <c r="F34" i="5"/>
  <c r="H68" i="5"/>
  <c r="G19" i="5"/>
  <c r="G12" i="5"/>
  <c r="H85" i="5"/>
  <c r="F75" i="5"/>
  <c r="H41" i="5"/>
  <c r="F63" i="5"/>
  <c r="F20" i="5"/>
  <c r="G80" i="5"/>
  <c r="G87" i="5"/>
  <c r="H84" i="5"/>
  <c r="F62" i="5"/>
  <c r="N43" i="6"/>
  <c r="N36" i="6"/>
  <c r="G78" i="6"/>
  <c r="G58" i="6"/>
  <c r="H53" i="6"/>
  <c r="H80" i="6"/>
  <c r="H16" i="6"/>
  <c r="H7" i="6"/>
  <c r="G28" i="6"/>
  <c r="N83" i="6"/>
  <c r="G19" i="6"/>
  <c r="N29" i="6"/>
  <c r="G47" i="6"/>
  <c r="H41" i="10"/>
  <c r="N78" i="10"/>
  <c r="N51" i="10"/>
  <c r="H82" i="10"/>
  <c r="G35" i="10"/>
  <c r="H86" i="10"/>
  <c r="G85" i="10"/>
  <c r="H21" i="10"/>
  <c r="H70" i="10"/>
  <c r="G88" i="10"/>
  <c r="N24" i="10"/>
  <c r="G79" i="10"/>
  <c r="N15" i="10"/>
  <c r="H36" i="10"/>
  <c r="N34" i="10"/>
  <c r="H61" i="10"/>
  <c r="H55" i="10"/>
  <c r="N90" i="10"/>
  <c r="G61" i="16"/>
  <c r="I61" i="16"/>
  <c r="H79" i="16"/>
  <c r="J79" i="16"/>
  <c r="H22" i="16"/>
  <c r="K77" i="16"/>
  <c r="T77" i="16"/>
  <c r="H36" i="16"/>
  <c r="J36" i="16"/>
  <c r="J2" i="16"/>
  <c r="G2" i="16"/>
  <c r="K89" i="16"/>
  <c r="T89" i="16"/>
  <c r="L25" i="16"/>
  <c r="K25" i="16"/>
  <c r="G80" i="16"/>
  <c r="K7" i="16"/>
  <c r="K85" i="16"/>
  <c r="L85" i="16"/>
  <c r="I21" i="16"/>
  <c r="J21" i="16"/>
  <c r="I68" i="16"/>
  <c r="L68" i="16"/>
  <c r="I81" i="16"/>
  <c r="K81" i="16"/>
  <c r="I13" i="16"/>
  <c r="G13" i="16"/>
  <c r="G52" i="16"/>
  <c r="I52" i="16"/>
  <c r="T78" i="16"/>
  <c r="K16" i="16"/>
  <c r="T16" i="16"/>
  <c r="J42" i="16"/>
  <c r="T42" i="16"/>
  <c r="H91" i="16"/>
  <c r="J91" i="16"/>
  <c r="J27" i="16"/>
  <c r="I27" i="16"/>
  <c r="G14" i="16"/>
  <c r="I14" i="16"/>
  <c r="H76" i="16"/>
  <c r="T67" i="16"/>
  <c r="L3" i="16"/>
  <c r="H74" i="5"/>
  <c r="F61" i="5"/>
  <c r="H10" i="5"/>
  <c r="G33" i="5"/>
  <c r="F27" i="5"/>
  <c r="H36" i="5"/>
  <c r="G2" i="5"/>
  <c r="F13" i="5"/>
  <c r="F43" i="5"/>
  <c r="G88" i="5"/>
  <c r="F18" i="5"/>
  <c r="F17" i="5"/>
  <c r="F47" i="5"/>
  <c r="G37" i="5"/>
  <c r="F22" i="5"/>
  <c r="G69" i="5"/>
  <c r="F28" i="5"/>
  <c r="G71" i="5"/>
  <c r="F7" i="5"/>
  <c r="G46" i="5"/>
  <c r="H41" i="6"/>
  <c r="N6" i="6"/>
  <c r="G52" i="6"/>
  <c r="G54" i="6"/>
  <c r="H73" i="6"/>
  <c r="G57" i="6"/>
  <c r="G37" i="6"/>
  <c r="H64" i="6"/>
  <c r="N66" i="6"/>
  <c r="N14" i="6"/>
  <c r="G70" i="6"/>
  <c r="H49" i="6"/>
  <c r="N67" i="6"/>
  <c r="N3" i="6"/>
  <c r="N13" i="6"/>
  <c r="G40" i="6"/>
  <c r="H65" i="10"/>
  <c r="H44" i="10"/>
  <c r="G42" i="10"/>
  <c r="H25" i="10"/>
  <c r="N10" i="10"/>
  <c r="N67" i="10"/>
  <c r="G46" i="10"/>
  <c r="N69" i="10"/>
  <c r="G5" i="10"/>
  <c r="N63" i="10"/>
  <c r="H17" i="10"/>
  <c r="G75" i="10"/>
  <c r="N11" i="10"/>
  <c r="H2" i="10"/>
  <c r="N45" i="10"/>
  <c r="H48" i="10"/>
  <c r="H39" i="10"/>
  <c r="N50" i="10"/>
  <c r="L18" i="16"/>
  <c r="K18" i="16"/>
  <c r="I56" i="16"/>
  <c r="L56" i="16"/>
  <c r="K5" i="16"/>
  <c r="H5" i="16"/>
  <c r="K82" i="16"/>
  <c r="H82" i="16"/>
  <c r="L73" i="16"/>
  <c r="G73" i="16"/>
  <c r="J20" i="16"/>
  <c r="G20" i="16"/>
  <c r="J54" i="16"/>
  <c r="H54" i="16"/>
  <c r="K69" i="16"/>
  <c r="I69" i="16"/>
  <c r="I4" i="16"/>
  <c r="G4" i="16"/>
  <c r="J10" i="16"/>
  <c r="K10" i="16"/>
  <c r="G65" i="16"/>
  <c r="T65" i="16"/>
  <c r="K58" i="16"/>
  <c r="T58" i="16"/>
  <c r="H87" i="16"/>
  <c r="I46" i="16"/>
  <c r="H46" i="16"/>
  <c r="K88" i="16"/>
  <c r="I88" i="16"/>
  <c r="K75" i="16"/>
  <c r="H75" i="16"/>
  <c r="I11" i="16"/>
  <c r="G11" i="16"/>
  <c r="K9" i="16"/>
  <c r="T9" i="16"/>
  <c r="G64" i="16"/>
  <c r="I64" i="16"/>
  <c r="J44" i="16"/>
  <c r="L44" i="16"/>
  <c r="H51" i="16"/>
  <c r="J51" i="16"/>
  <c r="G53" i="5"/>
  <c r="F35" i="5"/>
  <c r="G83" i="5"/>
  <c r="F72" i="5"/>
  <c r="F58" i="5"/>
  <c r="F44" i="5"/>
  <c r="H11" i="5"/>
  <c r="F49" i="5"/>
  <c r="G31" i="5"/>
  <c r="H48" i="5"/>
  <c r="F6" i="5"/>
  <c r="G25" i="5"/>
  <c r="H73" i="5"/>
  <c r="F30" i="5"/>
  <c r="H26" i="6"/>
  <c r="N62" i="6"/>
  <c r="N91" i="6"/>
  <c r="H75" i="6"/>
  <c r="N82" i="6"/>
  <c r="H18" i="6"/>
  <c r="N85" i="6"/>
  <c r="N21" i="6"/>
  <c r="G48" i="6"/>
  <c r="H50" i="6"/>
  <c r="G33" i="6"/>
  <c r="H60" i="6"/>
  <c r="G51" i="6"/>
  <c r="H30" i="6"/>
  <c r="N61" i="6"/>
  <c r="H88" i="6"/>
  <c r="H24" i="6"/>
  <c r="H79" i="6"/>
  <c r="H15" i="6"/>
  <c r="G73" i="10"/>
  <c r="H26" i="10"/>
  <c r="N83" i="10"/>
  <c r="G81" i="10"/>
  <c r="G76" i="10"/>
  <c r="G3" i="10"/>
  <c r="H56" i="10"/>
  <c r="N68" i="10"/>
  <c r="G4" i="10"/>
  <c r="N29" i="10"/>
  <c r="H32" i="10"/>
  <c r="H62" i="16"/>
  <c r="J62" i="16"/>
  <c r="G29" i="16"/>
  <c r="T29" i="16"/>
  <c r="G15" i="16"/>
  <c r="I15" i="16"/>
  <c r="L57" i="16"/>
  <c r="K57" i="16"/>
  <c r="J30" i="16"/>
  <c r="T30" i="16"/>
  <c r="K71" i="16"/>
  <c r="T53" i="16"/>
  <c r="K53" i="16"/>
  <c r="H63" i="16"/>
  <c r="T63" i="16"/>
  <c r="J49" i="16"/>
  <c r="I49" i="16"/>
  <c r="H72" i="16"/>
  <c r="J55" i="16"/>
  <c r="H55" i="16"/>
  <c r="J17" i="16"/>
  <c r="L17" i="16"/>
  <c r="G84" i="16"/>
  <c r="T84" i="16"/>
  <c r="J60" i="16"/>
  <c r="G60" i="16"/>
  <c r="H59" i="16"/>
  <c r="T59" i="16"/>
  <c r="I32" i="16"/>
  <c r="H78" i="10"/>
  <c r="G74" i="10"/>
  <c r="G21" i="10"/>
  <c r="H34" i="10"/>
  <c r="G55" i="10"/>
  <c r="T22" i="16"/>
  <c r="I36" i="16"/>
  <c r="I89" i="16"/>
  <c r="J80" i="16"/>
  <c r="G85" i="16"/>
  <c r="G81" i="16"/>
  <c r="L52" i="16"/>
  <c r="G16" i="16"/>
  <c r="K76" i="16"/>
  <c r="H3" i="16"/>
  <c r="G10" i="5"/>
  <c r="F2" i="5"/>
  <c r="F46" i="5"/>
  <c r="N52" i="6"/>
  <c r="H57" i="6"/>
  <c r="H37" i="6"/>
  <c r="G66" i="6"/>
  <c r="N76" i="6"/>
  <c r="G3" i="6"/>
  <c r="H40" i="6"/>
  <c r="G44" i="10"/>
  <c r="H10" i="10"/>
  <c r="H63" i="10"/>
  <c r="H20" i="10"/>
  <c r="G2" i="10"/>
  <c r="G39" i="10"/>
  <c r="I5" i="16"/>
  <c r="J73" i="16"/>
  <c r="T54" i="16"/>
  <c r="L10" i="16"/>
  <c r="I58" i="16"/>
  <c r="T88" i="16"/>
  <c r="K11" i="16"/>
  <c r="L64" i="16"/>
  <c r="K51" i="16"/>
  <c r="H58" i="5"/>
  <c r="H49" i="5"/>
  <c r="G70" i="5"/>
  <c r="G73" i="5"/>
  <c r="N89" i="6"/>
  <c r="G91" i="6"/>
  <c r="N39" i="6"/>
  <c r="N60" i="6"/>
  <c r="N30" i="6"/>
  <c r="G24" i="6"/>
  <c r="N33" i="10"/>
  <c r="H83" i="10"/>
  <c r="G53" i="10"/>
  <c r="G66" i="10"/>
  <c r="K72" i="16"/>
  <c r="L60" i="16"/>
  <c r="G12" i="16"/>
  <c r="L34" i="16"/>
  <c r="H56" i="6"/>
  <c r="H51" i="10"/>
  <c r="H57" i="10"/>
  <c r="G9" i="10"/>
  <c r="G70" i="10"/>
  <c r="N91" i="10"/>
  <c r="G61" i="10"/>
  <c r="H90" i="10"/>
  <c r="T79" i="16"/>
  <c r="G77" i="16"/>
  <c r="F2" i="16"/>
  <c r="H25" i="16"/>
  <c r="H80" i="16"/>
  <c r="T85" i="16"/>
  <c r="K68" i="16"/>
  <c r="L13" i="16"/>
  <c r="I16" i="16"/>
  <c r="T91" i="16"/>
  <c r="J14" i="16"/>
  <c r="T76" i="16"/>
  <c r="T3" i="16"/>
  <c r="H18" i="5"/>
  <c r="F37" i="5"/>
  <c r="F71" i="5"/>
  <c r="N41" i="6"/>
  <c r="N54" i="6"/>
  <c r="H34" i="6"/>
  <c r="G14" i="6"/>
  <c r="N12" i="6"/>
  <c r="N31" i="6"/>
  <c r="N42" i="10"/>
  <c r="H67" i="10"/>
  <c r="N75" i="10"/>
  <c r="H45" i="10"/>
  <c r="H50" i="10"/>
  <c r="K56" i="16"/>
  <c r="G82" i="16"/>
  <c r="L54" i="16"/>
  <c r="L4" i="16"/>
  <c r="J65" i="16"/>
  <c r="G46" i="16"/>
  <c r="G75" i="16"/>
  <c r="G9" i="16"/>
  <c r="T51" i="16"/>
  <c r="H44" i="5"/>
  <c r="F31" i="5"/>
  <c r="F25" i="5"/>
  <c r="H30" i="5"/>
  <c r="N73" i="10"/>
  <c r="N76" i="10"/>
  <c r="H18" i="10"/>
  <c r="H47" i="10"/>
  <c r="N4" i="10"/>
  <c r="H87" i="10"/>
  <c r="H14" i="10"/>
  <c r="T62" i="16"/>
  <c r="H29" i="16"/>
  <c r="H15" i="16"/>
  <c r="H30" i="16"/>
  <c r="G71" i="16"/>
  <c r="G53" i="16"/>
  <c r="G63" i="16"/>
  <c r="L49" i="16"/>
  <c r="T72" i="16"/>
  <c r="K55" i="16"/>
  <c r="H17" i="16"/>
  <c r="H84" i="16"/>
  <c r="I60" i="16"/>
  <c r="G59" i="16"/>
  <c r="J32" i="16"/>
  <c r="G90" i="16"/>
  <c r="I90" i="16"/>
  <c r="I12" i="16"/>
  <c r="H12" i="16"/>
  <c r="I35" i="16"/>
  <c r="K35" i="16"/>
  <c r="G34" i="16"/>
  <c r="I34" i="16"/>
  <c r="H81" i="5"/>
  <c r="H42" i="5"/>
  <c r="H16" i="5"/>
  <c r="F45" i="5"/>
  <c r="F66" i="5"/>
  <c r="G21" i="5"/>
  <c r="G51" i="5"/>
  <c r="H57" i="5"/>
  <c r="F26" i="5"/>
  <c r="G56" i="5"/>
  <c r="H79" i="5"/>
  <c r="G60" i="5"/>
  <c r="F54" i="5"/>
  <c r="G9" i="5"/>
  <c r="F77" i="5"/>
  <c r="G39" i="5"/>
  <c r="F76" i="5"/>
  <c r="F78" i="5"/>
  <c r="H14" i="5"/>
  <c r="H47" i="6"/>
  <c r="G82" i="10"/>
  <c r="H28" i="10"/>
  <c r="G86" i="10"/>
  <c r="N88" i="10"/>
  <c r="G27" i="10"/>
  <c r="I77" i="16"/>
  <c r="L2" i="16"/>
  <c r="J25" i="16"/>
  <c r="J7" i="16"/>
  <c r="L21" i="16"/>
  <c r="K13" i="16"/>
  <c r="I78" i="16"/>
  <c r="L14" i="16"/>
  <c r="I67" i="16"/>
  <c r="G74" i="5"/>
  <c r="H27" i="5"/>
  <c r="H90" i="5"/>
  <c r="H17" i="5"/>
  <c r="G86" i="5"/>
  <c r="H7" i="5"/>
  <c r="N59" i="6"/>
  <c r="N73" i="6"/>
  <c r="H70" i="6"/>
  <c r="N77" i="6"/>
  <c r="N72" i="10"/>
  <c r="H11" i="10"/>
  <c r="H18" i="16"/>
  <c r="I82" i="16"/>
  <c r="T20" i="16"/>
  <c r="G69" i="16"/>
  <c r="K4" i="16"/>
  <c r="I65" i="16"/>
  <c r="K87" i="16"/>
  <c r="I75" i="16"/>
  <c r="I9" i="16"/>
  <c r="T44" i="16"/>
  <c r="G11" i="5"/>
  <c r="F65" i="5"/>
  <c r="N26" i="6"/>
  <c r="H62" i="6"/>
  <c r="G82" i="6"/>
  <c r="G21" i="6"/>
  <c r="G50" i="6"/>
  <c r="H51" i="6"/>
  <c r="H61" i="6"/>
  <c r="G26" i="10"/>
  <c r="N18" i="10"/>
  <c r="G56" i="10"/>
  <c r="N47" i="10"/>
  <c r="N87" i="10"/>
  <c r="N14" i="10"/>
  <c r="I62" i="16"/>
  <c r="L29" i="16"/>
  <c r="L15" i="16"/>
  <c r="H57" i="16"/>
  <c r="H71" i="16"/>
  <c r="H53" i="16"/>
  <c r="K63" i="16"/>
  <c r="I72" i="16"/>
  <c r="L55" i="16"/>
  <c r="K17" i="16"/>
  <c r="L84" i="16"/>
  <c r="T60" i="16"/>
  <c r="K59" i="16"/>
  <c r="K32" i="16"/>
  <c r="K90" i="16"/>
  <c r="J90" i="16"/>
  <c r="T12" i="16"/>
  <c r="L12" i="16"/>
  <c r="T35" i="16"/>
  <c r="L35" i="16"/>
  <c r="K34" i="16"/>
  <c r="J34" i="16"/>
  <c r="F81" i="5"/>
  <c r="F42" i="5"/>
  <c r="F16" i="5"/>
  <c r="F91" i="5"/>
  <c r="G45" i="5"/>
  <c r="G66" i="5"/>
  <c r="H21" i="5"/>
  <c r="H51" i="5"/>
  <c r="F57" i="5"/>
  <c r="F82" i="5"/>
  <c r="H56" i="5"/>
  <c r="F15" i="5"/>
  <c r="H60" i="5"/>
  <c r="G76" i="5"/>
  <c r="G78" i="5"/>
  <c r="H4" i="7"/>
  <c r="G4" i="9"/>
  <c r="H59" i="10"/>
  <c r="H23" i="10"/>
  <c r="J57" i="16"/>
  <c r="J71" i="16"/>
  <c r="H49" i="16"/>
  <c r="T17" i="16"/>
  <c r="J59" i="16"/>
  <c r="L90" i="16"/>
  <c r="G35" i="16"/>
  <c r="F21" i="5"/>
  <c r="G57" i="5"/>
  <c r="H82" i="5"/>
  <c r="G79" i="5"/>
  <c r="H54" i="5"/>
  <c r="H77" i="5"/>
  <c r="H78" i="5"/>
  <c r="G41" i="10"/>
  <c r="G6" i="10"/>
  <c r="N85" i="10"/>
  <c r="H24" i="10"/>
  <c r="N22" i="10"/>
  <c r="H64" i="10"/>
  <c r="L61" i="16"/>
  <c r="K22" i="16"/>
  <c r="K36" i="16"/>
  <c r="G89" i="16"/>
  <c r="G7" i="16"/>
  <c r="K21" i="16"/>
  <c r="L81" i="16"/>
  <c r="J78" i="16"/>
  <c r="L42" i="16"/>
  <c r="H27" i="16"/>
  <c r="K67" i="16"/>
  <c r="F32" i="5"/>
  <c r="G36" i="5"/>
  <c r="F69" i="5"/>
  <c r="H40" i="5"/>
  <c r="G38" i="6"/>
  <c r="N55" i="6"/>
  <c r="H67" i="6"/>
  <c r="G13" i="6"/>
  <c r="G65" i="10"/>
  <c r="G8" i="10"/>
  <c r="N84" i="10"/>
  <c r="G18" i="16"/>
  <c r="G5" i="16"/>
  <c r="H73" i="16"/>
  <c r="L20" i="16"/>
  <c r="T69" i="16"/>
  <c r="T10" i="16"/>
  <c r="G58" i="16"/>
  <c r="T87" i="16"/>
  <c r="G88" i="16"/>
  <c r="L11" i="16"/>
  <c r="H44" i="16"/>
  <c r="H72" i="5"/>
  <c r="G48" i="5"/>
  <c r="F55" i="5"/>
  <c r="N90" i="6"/>
  <c r="G9" i="6"/>
  <c r="G22" i="6"/>
  <c r="G88" i="6"/>
  <c r="H33" i="10"/>
  <c r="N81" i="10"/>
  <c r="N3" i="10"/>
  <c r="N53" i="10"/>
  <c r="N66" i="10"/>
  <c r="H68" i="10"/>
  <c r="G59" i="10"/>
  <c r="G29" i="10"/>
  <c r="G32" i="10"/>
  <c r="G23" i="10"/>
  <c r="G62" i="16"/>
  <c r="J29" i="16"/>
  <c r="T15" i="16"/>
  <c r="T57" i="16"/>
  <c r="K30" i="16"/>
  <c r="T71" i="16"/>
  <c r="I63" i="16"/>
  <c r="K49" i="16"/>
  <c r="G72" i="16"/>
  <c r="I55" i="16"/>
  <c r="I17" i="16"/>
  <c r="I84" i="16"/>
  <c r="H60" i="16"/>
  <c r="I59" i="16"/>
  <c r="H32" i="16"/>
  <c r="G32" i="16"/>
  <c r="H90" i="16"/>
  <c r="T90" i="16"/>
  <c r="J12" i="16"/>
  <c r="K12" i="16"/>
  <c r="J35" i="16"/>
  <c r="H35" i="16"/>
  <c r="H34" i="16"/>
  <c r="T34" i="16"/>
  <c r="G81" i="5"/>
  <c r="G42" i="5"/>
  <c r="G16" i="5"/>
  <c r="G91" i="5"/>
  <c r="H45" i="5"/>
  <c r="H66" i="5"/>
  <c r="G26" i="5"/>
  <c r="G82" i="5"/>
  <c r="F79" i="5"/>
  <c r="G15" i="5"/>
  <c r="F60" i="5"/>
  <c r="G54" i="5"/>
  <c r="H9" i="5"/>
  <c r="G77" i="5"/>
  <c r="H39" i="5"/>
  <c r="H76" i="5"/>
  <c r="F14" i="5"/>
  <c r="K4" i="7"/>
  <c r="S4" i="9"/>
  <c r="H29" i="10"/>
  <c r="K62" i="16"/>
  <c r="L30" i="16"/>
  <c r="I53" i="16"/>
  <c r="J63" i="16"/>
  <c r="T55" i="16"/>
  <c r="L32" i="16"/>
  <c r="H91" i="5"/>
  <c r="F51" i="5"/>
  <c r="H26" i="5"/>
  <c r="F56" i="5"/>
  <c r="H15" i="5"/>
  <c r="F9" i="5"/>
  <c r="F39" i="5"/>
  <c r="G14" i="5"/>
  <c r="P4" i="9"/>
  <c r="J4" i="9"/>
  <c r="I14" i="5" l="1"/>
  <c r="J14" i="5"/>
  <c r="M63" i="16"/>
  <c r="I77" i="5"/>
  <c r="J77" i="5"/>
  <c r="I54" i="5"/>
  <c r="J54" i="5"/>
  <c r="I15" i="5"/>
  <c r="J15" i="5"/>
  <c r="I82" i="5"/>
  <c r="J82" i="5"/>
  <c r="I26" i="5"/>
  <c r="J26" i="5"/>
  <c r="I91" i="5"/>
  <c r="J91" i="5"/>
  <c r="I16" i="5"/>
  <c r="J16" i="5"/>
  <c r="I42" i="5"/>
  <c r="J42" i="5"/>
  <c r="I81" i="5"/>
  <c r="J81" i="5"/>
  <c r="M35" i="16"/>
  <c r="M12" i="16"/>
  <c r="M29" i="16"/>
  <c r="I23" i="10"/>
  <c r="I32" i="10"/>
  <c r="I29" i="10"/>
  <c r="I59" i="10"/>
  <c r="I88" i="6"/>
  <c r="I22" i="6"/>
  <c r="I9" i="6"/>
  <c r="I48" i="5"/>
  <c r="J48" i="5"/>
  <c r="I8" i="10"/>
  <c r="I65" i="10"/>
  <c r="I13" i="6"/>
  <c r="I38" i="6"/>
  <c r="I36" i="5"/>
  <c r="J36" i="5"/>
  <c r="M78" i="16"/>
  <c r="I6" i="10"/>
  <c r="I41" i="10"/>
  <c r="I79" i="5"/>
  <c r="J79" i="5"/>
  <c r="I57" i="5"/>
  <c r="J57" i="5"/>
  <c r="M59" i="16"/>
  <c r="M71" i="16"/>
  <c r="M57" i="16"/>
  <c r="I78" i="5"/>
  <c r="J78" i="5"/>
  <c r="I76" i="5"/>
  <c r="J76" i="5"/>
  <c r="I66" i="5"/>
  <c r="J66" i="5"/>
  <c r="I45" i="5"/>
  <c r="J45" i="5"/>
  <c r="M34" i="16"/>
  <c r="M90" i="16"/>
  <c r="I56" i="10"/>
  <c r="I26" i="10"/>
  <c r="I50" i="6"/>
  <c r="I21" i="6"/>
  <c r="I82" i="6"/>
  <c r="I11" i="5"/>
  <c r="J11" i="5"/>
  <c r="I86" i="5"/>
  <c r="J86" i="5"/>
  <c r="I74" i="5"/>
  <c r="J74" i="5"/>
  <c r="M7" i="16"/>
  <c r="M25" i="16"/>
  <c r="I27" i="10"/>
  <c r="I86" i="10"/>
  <c r="I82" i="10"/>
  <c r="I39" i="5"/>
  <c r="J39" i="5"/>
  <c r="I9" i="5"/>
  <c r="J9" i="5"/>
  <c r="I60" i="5"/>
  <c r="J60" i="5"/>
  <c r="I56" i="5"/>
  <c r="J56" i="5"/>
  <c r="I51" i="5"/>
  <c r="J51" i="5"/>
  <c r="I21" i="5"/>
  <c r="J21" i="5"/>
  <c r="M32" i="16"/>
  <c r="N63" i="16"/>
  <c r="M65" i="16"/>
  <c r="I14" i="6"/>
  <c r="M14" i="16"/>
  <c r="U2" i="16"/>
  <c r="I61" i="10"/>
  <c r="I70" i="10"/>
  <c r="I9" i="10"/>
  <c r="I66" i="10"/>
  <c r="I53" i="10"/>
  <c r="I24" i="6"/>
  <c r="I91" i="6"/>
  <c r="I73" i="5"/>
  <c r="J73" i="5"/>
  <c r="I70" i="5"/>
  <c r="J70" i="5"/>
  <c r="M73" i="16"/>
  <c r="I39" i="10"/>
  <c r="I2" i="10"/>
  <c r="I44" i="10"/>
  <c r="I3" i="6"/>
  <c r="I66" i="6"/>
  <c r="I10" i="5"/>
  <c r="J10" i="5"/>
  <c r="M80" i="16"/>
  <c r="I55" i="10"/>
  <c r="I21" i="10"/>
  <c r="I74" i="10"/>
  <c r="M60" i="16"/>
  <c r="M17" i="16"/>
  <c r="M55" i="16"/>
  <c r="M49" i="16"/>
  <c r="M30" i="16"/>
  <c r="M62" i="16"/>
  <c r="I4" i="10"/>
  <c r="I3" i="10"/>
  <c r="I76" i="10"/>
  <c r="I81" i="10"/>
  <c r="I73" i="10"/>
  <c r="I51" i="6"/>
  <c r="I33" i="6"/>
  <c r="I48" i="6"/>
  <c r="I25" i="5"/>
  <c r="J25" i="5"/>
  <c r="I31" i="5"/>
  <c r="J31" i="5"/>
  <c r="I83" i="5"/>
  <c r="J83" i="5"/>
  <c r="I53" i="5"/>
  <c r="J53" i="5"/>
  <c r="M51" i="16"/>
  <c r="M44" i="16"/>
  <c r="M10" i="16"/>
  <c r="M54" i="16"/>
  <c r="M20" i="16"/>
  <c r="I75" i="10"/>
  <c r="I5" i="10"/>
  <c r="I46" i="10"/>
  <c r="I42" i="10"/>
  <c r="I40" i="6"/>
  <c r="I70" i="6"/>
  <c r="I37" i="6"/>
  <c r="I57" i="6"/>
  <c r="I54" i="6"/>
  <c r="I52" i="6"/>
  <c r="I46" i="5"/>
  <c r="J46" i="5"/>
  <c r="I71" i="5"/>
  <c r="J71" i="5"/>
  <c r="I69" i="5"/>
  <c r="J69" i="5"/>
  <c r="I37" i="5"/>
  <c r="J37" i="5"/>
  <c r="I88" i="5"/>
  <c r="J88" i="5"/>
  <c r="I2" i="5"/>
  <c r="I33" i="5"/>
  <c r="J33" i="5"/>
  <c r="N14" i="16"/>
  <c r="M27" i="16"/>
  <c r="M91" i="16"/>
  <c r="M42" i="16"/>
  <c r="M21" i="16"/>
  <c r="M2" i="16"/>
  <c r="M36" i="16"/>
  <c r="M79" i="16"/>
  <c r="I79" i="10"/>
  <c r="I88" i="10"/>
  <c r="I85" i="10"/>
  <c r="I35" i="10"/>
  <c r="I47" i="6"/>
  <c r="I19" i="6"/>
  <c r="I28" i="6"/>
  <c r="I58" i="6"/>
  <c r="I78" i="6"/>
  <c r="I87" i="5"/>
  <c r="J87" i="5"/>
  <c r="I80" i="5"/>
  <c r="J80" i="5"/>
  <c r="I12" i="5"/>
  <c r="J12" i="5"/>
  <c r="I19" i="5"/>
  <c r="J19" i="5"/>
  <c r="M38" i="16"/>
  <c r="M70" i="16"/>
  <c r="M28" i="16"/>
  <c r="M50" i="16"/>
  <c r="M37" i="16"/>
  <c r="M40" i="16"/>
  <c r="I71" i="10"/>
  <c r="I80" i="10"/>
  <c r="I77" i="10"/>
  <c r="I43" i="10"/>
  <c r="I63" i="6"/>
  <c r="I35" i="6"/>
  <c r="I42" i="6"/>
  <c r="O2" i="6"/>
  <c r="I10" i="6"/>
  <c r="I53" i="6"/>
  <c r="I36" i="6"/>
  <c r="I52" i="5"/>
  <c r="J52" i="5"/>
  <c r="I85" i="5"/>
  <c r="J85" i="5"/>
  <c r="I89" i="5"/>
  <c r="J89" i="5"/>
  <c r="I8" i="5"/>
  <c r="J8" i="5"/>
  <c r="I59" i="5"/>
  <c r="J59" i="5"/>
  <c r="I5" i="5"/>
  <c r="J5" i="5"/>
  <c r="I67" i="5"/>
  <c r="J67" i="5"/>
  <c r="N83" i="16"/>
  <c r="M86" i="16"/>
  <c r="M8" i="16"/>
  <c r="M31" i="16"/>
  <c r="M66" i="16"/>
  <c r="M74" i="16"/>
  <c r="I16" i="10"/>
  <c r="I62" i="10"/>
  <c r="I30" i="10"/>
  <c r="I31" i="10"/>
  <c r="I19" i="10"/>
  <c r="I60" i="10"/>
  <c r="I8" i="6"/>
  <c r="I44" i="6"/>
  <c r="I17" i="6"/>
  <c r="I74" i="6"/>
  <c r="I2" i="6"/>
  <c r="I61" i="6"/>
  <c r="I39" i="6"/>
  <c r="I18" i="6"/>
  <c r="I62" i="6"/>
  <c r="I89" i="6"/>
  <c r="I90" i="6"/>
  <c r="I49" i="5"/>
  <c r="J49" i="5"/>
  <c r="M64" i="16"/>
  <c r="M9" i="16"/>
  <c r="M11" i="16"/>
  <c r="M75" i="16"/>
  <c r="M88" i="16"/>
  <c r="M46" i="16"/>
  <c r="M4" i="16"/>
  <c r="M82" i="16"/>
  <c r="M5" i="16"/>
  <c r="M56" i="16"/>
  <c r="I50" i="10"/>
  <c r="I48" i="10"/>
  <c r="I45" i="10"/>
  <c r="I11" i="10"/>
  <c r="I20" i="10"/>
  <c r="I17" i="10"/>
  <c r="I63" i="10"/>
  <c r="I10" i="10"/>
  <c r="I25" i="10"/>
  <c r="I31" i="6"/>
  <c r="I77" i="6"/>
  <c r="I67" i="6"/>
  <c r="I76" i="6"/>
  <c r="I55" i="6"/>
  <c r="I40" i="5"/>
  <c r="J40" i="5"/>
  <c r="I7" i="5"/>
  <c r="J7" i="5"/>
  <c r="I17" i="5"/>
  <c r="J17" i="5"/>
  <c r="I90" i="5"/>
  <c r="J90" i="5"/>
  <c r="M3" i="16"/>
  <c r="M67" i="16"/>
  <c r="M52" i="16"/>
  <c r="M13" i="16"/>
  <c r="M81" i="16"/>
  <c r="M68" i="16"/>
  <c r="M85" i="16"/>
  <c r="M77" i="16"/>
  <c r="M61" i="16"/>
  <c r="I64" i="10"/>
  <c r="I36" i="10"/>
  <c r="I28" i="10"/>
  <c r="I57" i="10"/>
  <c r="I51" i="10"/>
  <c r="I78" i="10"/>
  <c r="I56" i="6"/>
  <c r="I65" i="6"/>
  <c r="I71" i="6"/>
  <c r="I43" i="6"/>
  <c r="I24" i="5"/>
  <c r="J24" i="5"/>
  <c r="I84" i="5"/>
  <c r="J84" i="5"/>
  <c r="I23" i="5"/>
  <c r="J23" i="5"/>
  <c r="I4" i="5"/>
  <c r="J4" i="5"/>
  <c r="I41" i="5"/>
  <c r="J41" i="5"/>
  <c r="I50" i="5"/>
  <c r="J50" i="5"/>
  <c r="I75" i="5"/>
  <c r="J75" i="5"/>
  <c r="I68" i="5"/>
  <c r="J68" i="5"/>
  <c r="I64" i="5"/>
  <c r="J64" i="5"/>
  <c r="M43" i="16"/>
  <c r="M48" i="16"/>
  <c r="M33" i="16"/>
  <c r="I7" i="10"/>
  <c r="I13" i="10"/>
  <c r="I52" i="10"/>
  <c r="I40" i="10"/>
  <c r="I89" i="10"/>
  <c r="I54" i="10"/>
  <c r="I72" i="6"/>
  <c r="I45" i="6"/>
  <c r="I32" i="6"/>
  <c r="I11" i="6"/>
  <c r="I84" i="6"/>
  <c r="I86" i="6"/>
  <c r="I27" i="6"/>
  <c r="I25" i="6"/>
  <c r="M84" i="16"/>
  <c r="M72" i="16"/>
  <c r="M53" i="16"/>
  <c r="M15" i="16"/>
  <c r="I14" i="10"/>
  <c r="I87" i="10"/>
  <c r="I68" i="10"/>
  <c r="I47" i="10"/>
  <c r="I18" i="10"/>
  <c r="I83" i="10"/>
  <c r="I33" i="10"/>
  <c r="I15" i="6"/>
  <c r="I79" i="6"/>
  <c r="I30" i="6"/>
  <c r="I60" i="6"/>
  <c r="I85" i="6"/>
  <c r="I75" i="6"/>
  <c r="I26" i="6"/>
  <c r="I30" i="5"/>
  <c r="J30" i="5"/>
  <c r="I55" i="5"/>
  <c r="J55" i="5"/>
  <c r="I6" i="5"/>
  <c r="J6" i="5"/>
  <c r="I65" i="5"/>
  <c r="J65" i="5"/>
  <c r="I44" i="5"/>
  <c r="J44" i="5"/>
  <c r="I58" i="5"/>
  <c r="J58" i="5"/>
  <c r="I72" i="5"/>
  <c r="J72" i="5"/>
  <c r="I35" i="5"/>
  <c r="J35" i="5"/>
  <c r="M87" i="16"/>
  <c r="M58" i="16"/>
  <c r="M69" i="16"/>
  <c r="M18" i="16"/>
  <c r="O2" i="10"/>
  <c r="P2" i="10"/>
  <c r="I84" i="10"/>
  <c r="I72" i="10"/>
  <c r="I69" i="10"/>
  <c r="I67" i="10"/>
  <c r="I12" i="6"/>
  <c r="I49" i="6"/>
  <c r="I64" i="6"/>
  <c r="I34" i="6"/>
  <c r="I73" i="6"/>
  <c r="I6" i="6"/>
  <c r="I59" i="6"/>
  <c r="I41" i="6"/>
  <c r="I28" i="5"/>
  <c r="J28" i="5"/>
  <c r="I22" i="5"/>
  <c r="J22" i="5"/>
  <c r="I47" i="5"/>
  <c r="J47" i="5"/>
  <c r="I18" i="5"/>
  <c r="J18" i="5"/>
  <c r="I43" i="5"/>
  <c r="J43" i="5"/>
  <c r="I13" i="5"/>
  <c r="J13" i="5"/>
  <c r="I27" i="5"/>
  <c r="J27" i="5"/>
  <c r="I61" i="5"/>
  <c r="J61" i="5"/>
  <c r="I32" i="5"/>
  <c r="J32" i="5"/>
  <c r="M76" i="16"/>
  <c r="M16" i="16"/>
  <c r="M89" i="16"/>
  <c r="M22" i="16"/>
  <c r="I90" i="10"/>
  <c r="I34" i="10"/>
  <c r="I22" i="10"/>
  <c r="I91" i="10"/>
  <c r="I15" i="10"/>
  <c r="I24" i="10"/>
  <c r="I29" i="6"/>
  <c r="I83" i="6"/>
  <c r="I7" i="6"/>
  <c r="I16" i="6"/>
  <c r="I80" i="6"/>
  <c r="I20" i="6"/>
  <c r="I68" i="6"/>
  <c r="I62" i="5"/>
  <c r="J62" i="5"/>
  <c r="I38" i="5"/>
  <c r="J38" i="5"/>
  <c r="I20" i="5"/>
  <c r="J20" i="5"/>
  <c r="I63" i="5"/>
  <c r="J63" i="5"/>
  <c r="I34" i="5"/>
  <c r="J34" i="5"/>
  <c r="I29" i="5"/>
  <c r="J29" i="5"/>
  <c r="I3" i="5"/>
  <c r="J3" i="5"/>
  <c r="M19" i="16"/>
  <c r="M83" i="16"/>
  <c r="M6" i="16"/>
  <c r="M23" i="16"/>
  <c r="M26" i="16"/>
  <c r="M24" i="16"/>
  <c r="M39" i="16"/>
  <c r="N40" i="16"/>
  <c r="M41" i="16"/>
  <c r="M47" i="16"/>
  <c r="M45" i="16"/>
  <c r="I58" i="10"/>
  <c r="I37" i="10"/>
  <c r="I12" i="10"/>
  <c r="I49" i="10"/>
  <c r="I38" i="10"/>
  <c r="I81" i="6"/>
  <c r="I23" i="6"/>
  <c r="I87" i="6"/>
  <c r="I5" i="6"/>
  <c r="I69" i="6"/>
  <c r="I46" i="6"/>
  <c r="I4" i="6"/>
  <c r="H15" i="12"/>
  <c r="H19" i="12"/>
  <c r="H23" i="12"/>
  <c r="H27" i="12"/>
  <c r="H31" i="12"/>
  <c r="H35" i="12"/>
  <c r="H39" i="12"/>
  <c r="H43" i="12"/>
  <c r="H47" i="12"/>
  <c r="H51" i="12"/>
  <c r="H14" i="12"/>
  <c r="H16" i="12"/>
  <c r="H20" i="12"/>
  <c r="H24" i="12"/>
  <c r="H28" i="12"/>
  <c r="H32" i="12"/>
  <c r="H36" i="12"/>
  <c r="H40" i="12"/>
  <c r="H44" i="12"/>
  <c r="H48" i="12"/>
  <c r="H52" i="12"/>
  <c r="H17" i="12"/>
  <c r="H21" i="12"/>
  <c r="H25" i="12"/>
  <c r="H29" i="12"/>
  <c r="H33" i="12"/>
  <c r="H37" i="12"/>
  <c r="H41" i="12"/>
  <c r="H45" i="12"/>
  <c r="H49" i="12"/>
  <c r="H53" i="12"/>
  <c r="H18" i="12"/>
  <c r="H34" i="12"/>
  <c r="H50" i="12"/>
  <c r="H22" i="12"/>
  <c r="H38" i="12"/>
  <c r="H54" i="12"/>
  <c r="H26" i="12"/>
  <c r="H42" i="12"/>
  <c r="H30" i="12"/>
  <c r="H46" i="12"/>
  <c r="J3" i="7"/>
  <c r="G4" i="7" s="1"/>
  <c r="L4" i="7" s="1"/>
  <c r="N5" i="9"/>
  <c r="Q4" i="9"/>
  <c r="F5" i="7"/>
  <c r="I4" i="7"/>
  <c r="I4" i="8"/>
  <c r="F5" i="8" s="1"/>
  <c r="K4" i="8"/>
  <c r="E5" i="9"/>
  <c r="H4" i="9"/>
  <c r="I4" i="3"/>
  <c r="F5" i="3" s="1"/>
  <c r="K4" i="3"/>
  <c r="K3" i="9"/>
  <c r="I3" i="9"/>
  <c r="F4" i="9" s="1"/>
  <c r="R4" i="8"/>
  <c r="O5" i="8" s="1"/>
  <c r="T5" i="8" s="1"/>
  <c r="P40" i="16"/>
  <c r="J21" i="11"/>
  <c r="K34" i="11"/>
  <c r="K87" i="11"/>
  <c r="K60" i="11"/>
  <c r="J54" i="4"/>
  <c r="K82" i="4"/>
  <c r="J81" i="4"/>
  <c r="J72" i="11"/>
  <c r="K17" i="11"/>
  <c r="J39" i="4"/>
  <c r="K26" i="4"/>
  <c r="K30" i="4"/>
  <c r="J5" i="11"/>
  <c r="K9" i="11"/>
  <c r="K78" i="4"/>
  <c r="K46" i="4"/>
  <c r="K50" i="4"/>
  <c r="K84" i="11"/>
  <c r="K47" i="11"/>
  <c r="K7" i="11"/>
  <c r="J13" i="11"/>
  <c r="K6" i="4"/>
  <c r="K25" i="4"/>
  <c r="K68" i="11"/>
  <c r="J22" i="11"/>
  <c r="J49" i="11"/>
  <c r="J65" i="11"/>
  <c r="K47" i="4"/>
  <c r="K91" i="4"/>
  <c r="K37" i="11"/>
  <c r="K90" i="11"/>
  <c r="K80" i="4"/>
  <c r="K28" i="4"/>
  <c r="K63" i="4"/>
  <c r="K89" i="11"/>
  <c r="K29" i="11"/>
  <c r="K42" i="11"/>
  <c r="J20" i="4"/>
  <c r="J32" i="4"/>
  <c r="J67" i="4"/>
  <c r="K26" i="11"/>
  <c r="J14" i="4"/>
  <c r="K33" i="4"/>
  <c r="K48" i="11"/>
  <c r="K82" i="11"/>
  <c r="K52" i="11"/>
  <c r="K73" i="11"/>
  <c r="K43" i="4"/>
  <c r="K55" i="4"/>
  <c r="K3" i="4"/>
  <c r="J41" i="11"/>
  <c r="J12" i="11"/>
  <c r="J28" i="11"/>
  <c r="K15" i="4"/>
  <c r="K59" i="4"/>
  <c r="K2" i="11"/>
  <c r="K64" i="11"/>
  <c r="J83" i="11"/>
  <c r="J57" i="4"/>
  <c r="K69" i="4"/>
  <c r="J17" i="4"/>
  <c r="K54" i="11"/>
  <c r="J35" i="11"/>
  <c r="J79" i="4"/>
  <c r="K38" i="4"/>
  <c r="K37" i="4"/>
  <c r="J91" i="11"/>
  <c r="K36" i="11"/>
  <c r="K25" i="11"/>
  <c r="K62" i="11"/>
  <c r="K71" i="4"/>
  <c r="J19" i="4"/>
  <c r="J90" i="4"/>
  <c r="J66" i="11"/>
  <c r="K55" i="11"/>
  <c r="K71" i="11"/>
  <c r="K11" i="4"/>
  <c r="J23" i="4"/>
  <c r="K22" i="4"/>
  <c r="J86" i="11"/>
  <c r="J58" i="11"/>
  <c r="K85" i="4"/>
  <c r="K65" i="4"/>
  <c r="K72" i="4"/>
  <c r="J43" i="11"/>
  <c r="K6" i="11"/>
  <c r="J76" i="11"/>
  <c r="J66" i="4"/>
  <c r="K40" i="4"/>
  <c r="K58" i="4"/>
  <c r="J5" i="9"/>
  <c r="K5" i="7"/>
  <c r="J60" i="11"/>
  <c r="J82" i="4"/>
  <c r="J17" i="11"/>
  <c r="J30" i="4"/>
  <c r="J78" i="4"/>
  <c r="J46" i="4"/>
  <c r="K13" i="11"/>
  <c r="J47" i="4"/>
  <c r="J37" i="11"/>
  <c r="J28" i="4"/>
  <c r="J29" i="11"/>
  <c r="K67" i="4"/>
  <c r="K14" i="4"/>
  <c r="J52" i="11"/>
  <c r="J3" i="4"/>
  <c r="J15" i="4"/>
  <c r="K83" i="11"/>
  <c r="K35" i="11"/>
  <c r="J37" i="4"/>
  <c r="J25" i="11"/>
  <c r="K19" i="4"/>
  <c r="J71" i="11"/>
  <c r="J22" i="4"/>
  <c r="K58" i="11"/>
  <c r="K76" i="11"/>
  <c r="J58" i="4"/>
  <c r="K53" i="11"/>
  <c r="K59" i="11"/>
  <c r="K15" i="11"/>
  <c r="J16" i="11"/>
  <c r="J21" i="4"/>
  <c r="K60" i="4"/>
  <c r="J8" i="4"/>
  <c r="K20" i="11"/>
  <c r="J70" i="11"/>
  <c r="K33" i="11"/>
  <c r="K52" i="4"/>
  <c r="J64" i="4"/>
  <c r="J12" i="4"/>
  <c r="J40" i="11"/>
  <c r="J67" i="11"/>
  <c r="J24" i="4"/>
  <c r="J36" i="4"/>
  <c r="K70" i="4"/>
  <c r="K57" i="11"/>
  <c r="J81" i="11"/>
  <c r="K41" i="4"/>
  <c r="K4" i="4"/>
  <c r="J42" i="4"/>
  <c r="J76" i="4"/>
  <c r="K11" i="11"/>
  <c r="J56" i="11"/>
  <c r="K3" i="11"/>
  <c r="J34" i="4"/>
  <c r="J74" i="4"/>
  <c r="J45" i="4"/>
  <c r="K24" i="11"/>
  <c r="K74" i="11"/>
  <c r="J89" i="4"/>
  <c r="J10" i="4"/>
  <c r="J49" i="4"/>
  <c r="K23" i="11"/>
  <c r="K39" i="11"/>
  <c r="K7" i="4"/>
  <c r="K61" i="4"/>
  <c r="K73" i="4"/>
  <c r="K88" i="11"/>
  <c r="K75" i="4"/>
  <c r="K77" i="4"/>
  <c r="K35" i="4"/>
  <c r="J51" i="4"/>
  <c r="J50" i="11"/>
  <c r="K63" i="11"/>
  <c r="K44" i="11"/>
  <c r="J88" i="4"/>
  <c r="J9" i="4"/>
  <c r="J27" i="11"/>
  <c r="K14" i="11"/>
  <c r="J30" i="11"/>
  <c r="J62" i="4"/>
  <c r="J18" i="4"/>
  <c r="J13" i="4"/>
  <c r="K38" i="11"/>
  <c r="K80" i="11"/>
  <c r="K48" i="4"/>
  <c r="J83" i="4"/>
  <c r="K31" i="4"/>
  <c r="K85" i="11"/>
  <c r="K78" i="11"/>
  <c r="J29" i="4"/>
  <c r="K51" i="11"/>
  <c r="J10" i="11"/>
  <c r="J4" i="11"/>
  <c r="K18" i="11"/>
  <c r="J69" i="11"/>
  <c r="J46" i="11"/>
  <c r="J19" i="11"/>
  <c r="J84" i="4"/>
  <c r="K5" i="4"/>
  <c r="K44" i="4"/>
  <c r="J31" i="11"/>
  <c r="K61" i="11"/>
  <c r="J77" i="11"/>
  <c r="J56" i="4"/>
  <c r="K68" i="4"/>
  <c r="J75" i="11"/>
  <c r="K79" i="11"/>
  <c r="K45" i="11"/>
  <c r="J86" i="4"/>
  <c r="J27" i="4"/>
  <c r="J2" i="4"/>
  <c r="K8" i="11"/>
  <c r="K32" i="11"/>
  <c r="J87" i="4"/>
  <c r="J53" i="4"/>
  <c r="J16" i="4"/>
  <c r="G5" i="9"/>
  <c r="H5" i="7"/>
  <c r="J87" i="11"/>
  <c r="K81" i="4"/>
  <c r="K39" i="4"/>
  <c r="K5" i="11"/>
  <c r="J47" i="11"/>
  <c r="J6" i="4"/>
  <c r="K65" i="11"/>
  <c r="J90" i="11"/>
  <c r="J63" i="4"/>
  <c r="J42" i="11"/>
  <c r="K32" i="4"/>
  <c r="J26" i="11"/>
  <c r="J48" i="11"/>
  <c r="J73" i="11"/>
  <c r="K41" i="11"/>
  <c r="J59" i="4"/>
  <c r="K57" i="4"/>
  <c r="K79" i="4"/>
  <c r="K91" i="11"/>
  <c r="J62" i="11"/>
  <c r="K90" i="4"/>
  <c r="J55" i="11"/>
  <c r="K23" i="4"/>
  <c r="J72" i="4"/>
  <c r="K66" i="4"/>
  <c r="P5" i="9"/>
  <c r="P14" i="16"/>
  <c r="J53" i="11"/>
  <c r="J59" i="11"/>
  <c r="J15" i="11"/>
  <c r="K16" i="11"/>
  <c r="K21" i="4"/>
  <c r="J60" i="4"/>
  <c r="K8" i="4"/>
  <c r="J20" i="11"/>
  <c r="K70" i="11"/>
  <c r="J33" i="11"/>
  <c r="J52" i="4"/>
  <c r="K64" i="4"/>
  <c r="K12" i="4"/>
  <c r="K40" i="11"/>
  <c r="K67" i="11"/>
  <c r="K24" i="4"/>
  <c r="K36" i="4"/>
  <c r="J70" i="4"/>
  <c r="J57" i="11"/>
  <c r="K81" i="11"/>
  <c r="J41" i="4"/>
  <c r="J4" i="4"/>
  <c r="K42" i="4"/>
  <c r="K76" i="4"/>
  <c r="J11" i="11"/>
  <c r="K56" i="11"/>
  <c r="J3" i="11"/>
  <c r="K34" i="4"/>
  <c r="K74" i="4"/>
  <c r="K45" i="4"/>
  <c r="J24" i="11"/>
  <c r="J74" i="11"/>
  <c r="K89" i="4"/>
  <c r="K10" i="4"/>
  <c r="K49" i="4"/>
  <c r="J23" i="11"/>
  <c r="J39" i="11"/>
  <c r="J7" i="4"/>
  <c r="J61" i="4"/>
  <c r="J73" i="4"/>
  <c r="J88" i="11"/>
  <c r="J75" i="4"/>
  <c r="J77" i="4"/>
  <c r="J35" i="4"/>
  <c r="K51" i="4"/>
  <c r="K50" i="11"/>
  <c r="J63" i="11"/>
  <c r="J44" i="11"/>
  <c r="K88" i="4"/>
  <c r="K9" i="4"/>
  <c r="K27" i="11"/>
  <c r="J14" i="11"/>
  <c r="K30" i="11"/>
  <c r="K62" i="4"/>
  <c r="K18" i="4"/>
  <c r="K13" i="4"/>
  <c r="J38" i="11"/>
  <c r="J80" i="11"/>
  <c r="J48" i="4"/>
  <c r="K83" i="4"/>
  <c r="J31" i="4"/>
  <c r="J85" i="11"/>
  <c r="J78" i="11"/>
  <c r="K29" i="4"/>
  <c r="J51" i="11"/>
  <c r="K10" i="11"/>
  <c r="K4" i="11"/>
  <c r="J18" i="11"/>
  <c r="K69" i="11"/>
  <c r="K46" i="11"/>
  <c r="K19" i="11"/>
  <c r="K84" i="4"/>
  <c r="J5" i="4"/>
  <c r="J44" i="4"/>
  <c r="K31" i="11"/>
  <c r="J61" i="11"/>
  <c r="K77" i="11"/>
  <c r="K56" i="4"/>
  <c r="J68" i="4"/>
  <c r="K75" i="11"/>
  <c r="J79" i="11"/>
  <c r="J45" i="11"/>
  <c r="K86" i="4"/>
  <c r="K27" i="4"/>
  <c r="K2" i="4"/>
  <c r="J8" i="11"/>
  <c r="J32" i="11"/>
  <c r="K87" i="4"/>
  <c r="K53" i="4"/>
  <c r="K16" i="4"/>
  <c r="S5" i="9"/>
  <c r="J34" i="11"/>
  <c r="K54" i="4"/>
  <c r="K72" i="11"/>
  <c r="J26" i="4"/>
  <c r="J9" i="11"/>
  <c r="J84" i="11"/>
  <c r="J7" i="11"/>
  <c r="J68" i="11"/>
  <c r="K49" i="11"/>
  <c r="J91" i="4"/>
  <c r="J80" i="4"/>
  <c r="J89" i="11"/>
  <c r="K20" i="4"/>
  <c r="J33" i="4"/>
  <c r="J82" i="11"/>
  <c r="J55" i="4"/>
  <c r="K12" i="11"/>
  <c r="J2" i="11"/>
  <c r="J69" i="4"/>
  <c r="J54" i="11"/>
  <c r="J38" i="4"/>
  <c r="J36" i="11"/>
  <c r="J71" i="4"/>
  <c r="K66" i="11"/>
  <c r="J11" i="4"/>
  <c r="K86" i="11"/>
  <c r="J65" i="4"/>
  <c r="K43" i="11"/>
  <c r="J40" i="4"/>
  <c r="P63" i="16"/>
  <c r="P83" i="16"/>
  <c r="K21" i="11"/>
  <c r="J50" i="4"/>
  <c r="J25" i="4"/>
  <c r="K22" i="11"/>
  <c r="J43" i="4"/>
  <c r="K28" i="11"/>
  <c r="J64" i="11"/>
  <c r="K17" i="4"/>
  <c r="J85" i="4"/>
  <c r="J6" i="11"/>
  <c r="L17" i="4" l="1"/>
  <c r="L28" i="11"/>
  <c r="L22" i="11"/>
  <c r="L21" i="11"/>
  <c r="L43" i="11"/>
  <c r="L86" i="11"/>
  <c r="L66" i="11"/>
  <c r="L12" i="11"/>
  <c r="L20" i="4"/>
  <c r="L49" i="11"/>
  <c r="L72" i="11"/>
  <c r="L54" i="4"/>
  <c r="L16" i="4"/>
  <c r="L53" i="4"/>
  <c r="L87" i="4"/>
  <c r="L2" i="4"/>
  <c r="M2" i="4" s="1"/>
  <c r="L27" i="4"/>
  <c r="L86" i="4"/>
  <c r="L75" i="11"/>
  <c r="L56" i="4"/>
  <c r="L77" i="11"/>
  <c r="L31" i="11"/>
  <c r="L84" i="4"/>
  <c r="L19" i="11"/>
  <c r="L46" i="11"/>
  <c r="L69" i="11"/>
  <c r="L4" i="11"/>
  <c r="L10" i="11"/>
  <c r="L29" i="4"/>
  <c r="L83" i="4"/>
  <c r="L13" i="4"/>
  <c r="L18" i="4"/>
  <c r="L62" i="4"/>
  <c r="L30" i="11"/>
  <c r="L27" i="11"/>
  <c r="L9" i="4"/>
  <c r="L88" i="4"/>
  <c r="L50" i="11"/>
  <c r="L51" i="4"/>
  <c r="L49" i="4"/>
  <c r="L10" i="4"/>
  <c r="L89" i="4"/>
  <c r="L45" i="4"/>
  <c r="L74" i="4"/>
  <c r="L34" i="4"/>
  <c r="L56" i="11"/>
  <c r="L76" i="4"/>
  <c r="L42" i="4"/>
  <c r="L81" i="11"/>
  <c r="L36" i="4"/>
  <c r="L24" i="4"/>
  <c r="L67" i="11"/>
  <c r="L40" i="11"/>
  <c r="L12" i="4"/>
  <c r="L64" i="4"/>
  <c r="L70" i="11"/>
  <c r="L8" i="4"/>
  <c r="L21" i="4"/>
  <c r="L16" i="11"/>
  <c r="L66" i="4"/>
  <c r="L23" i="4"/>
  <c r="L90" i="4"/>
  <c r="L91" i="11"/>
  <c r="L79" i="4"/>
  <c r="L57" i="4"/>
  <c r="L41" i="11"/>
  <c r="L32" i="4"/>
  <c r="L65" i="11"/>
  <c r="L5" i="11"/>
  <c r="L39" i="4"/>
  <c r="L81" i="4"/>
  <c r="L32" i="11"/>
  <c r="L8" i="11"/>
  <c r="L45" i="11"/>
  <c r="L79" i="11"/>
  <c r="L68" i="4"/>
  <c r="L61" i="11"/>
  <c r="L44" i="4"/>
  <c r="L5" i="4"/>
  <c r="L18" i="11"/>
  <c r="L51" i="11"/>
  <c r="L78" i="11"/>
  <c r="L85" i="11"/>
  <c r="L31" i="4"/>
  <c r="L48" i="4"/>
  <c r="L80" i="11"/>
  <c r="L38" i="11"/>
  <c r="L14" i="11"/>
  <c r="L44" i="11"/>
  <c r="L63" i="11"/>
  <c r="L35" i="4"/>
  <c r="L77" i="4"/>
  <c r="L75" i="4"/>
  <c r="L88" i="11"/>
  <c r="L73" i="4"/>
  <c r="L61" i="4"/>
  <c r="L7" i="4"/>
  <c r="L39" i="11"/>
  <c r="L23" i="11"/>
  <c r="L74" i="11"/>
  <c r="L24" i="11"/>
  <c r="L3" i="11"/>
  <c r="L11" i="11"/>
  <c r="L4" i="4"/>
  <c r="L41" i="4"/>
  <c r="L57" i="11"/>
  <c r="L70" i="4"/>
  <c r="L52" i="4"/>
  <c r="L33" i="11"/>
  <c r="L20" i="11"/>
  <c r="L60" i="4"/>
  <c r="L15" i="11"/>
  <c r="L59" i="11"/>
  <c r="L53" i="11"/>
  <c r="L76" i="11"/>
  <c r="L58" i="11"/>
  <c r="L19" i="4"/>
  <c r="L35" i="11"/>
  <c r="L83" i="11"/>
  <c r="L14" i="4"/>
  <c r="L67" i="4"/>
  <c r="L13" i="11"/>
  <c r="L58" i="4"/>
  <c r="L40" i="4"/>
  <c r="L6" i="11"/>
  <c r="L72" i="4"/>
  <c r="L65" i="4"/>
  <c r="L85" i="4"/>
  <c r="L22" i="4"/>
  <c r="L11" i="4"/>
  <c r="L71" i="11"/>
  <c r="L55" i="11"/>
  <c r="L71" i="4"/>
  <c r="L62" i="11"/>
  <c r="L25" i="11"/>
  <c r="L36" i="11"/>
  <c r="L37" i="4"/>
  <c r="L38" i="4"/>
  <c r="L54" i="11"/>
  <c r="L69" i="4"/>
  <c r="L64" i="11"/>
  <c r="L2" i="11"/>
  <c r="M2" i="11" s="1"/>
  <c r="L59" i="4"/>
  <c r="L15" i="4"/>
  <c r="L3" i="4"/>
  <c r="L55" i="4"/>
  <c r="L43" i="4"/>
  <c r="L73" i="11"/>
  <c r="L52" i="11"/>
  <c r="L82" i="11"/>
  <c r="L48" i="11"/>
  <c r="L33" i="4"/>
  <c r="L26" i="11"/>
  <c r="L42" i="11"/>
  <c r="L29" i="11"/>
  <c r="L89" i="11"/>
  <c r="L63" i="4"/>
  <c r="L28" i="4"/>
  <c r="L80" i="4"/>
  <c r="L90" i="11"/>
  <c r="L37" i="11"/>
  <c r="L91" i="4"/>
  <c r="L47" i="4"/>
  <c r="L68" i="11"/>
  <c r="L25" i="4"/>
  <c r="L6" i="4"/>
  <c r="L7" i="11"/>
  <c r="L47" i="11"/>
  <c r="L84" i="11"/>
  <c r="L50" i="4"/>
  <c r="L46" i="4"/>
  <c r="L78" i="4"/>
  <c r="L9" i="11"/>
  <c r="L30" i="4"/>
  <c r="L26" i="4"/>
  <c r="L17" i="11"/>
  <c r="L82" i="4"/>
  <c r="L60" i="11"/>
  <c r="L87" i="11"/>
  <c r="L34" i="11"/>
  <c r="N45" i="16"/>
  <c r="N39" i="16"/>
  <c r="N6" i="16"/>
  <c r="N16" i="16"/>
  <c r="N58" i="16"/>
  <c r="N15" i="16"/>
  <c r="N43" i="16"/>
  <c r="N85" i="16"/>
  <c r="N52" i="16"/>
  <c r="N4" i="16"/>
  <c r="N75" i="16"/>
  <c r="N66" i="16"/>
  <c r="N37" i="16"/>
  <c r="N38" i="16"/>
  <c r="N2" i="16"/>
  <c r="N27" i="16"/>
  <c r="N44" i="16"/>
  <c r="N49" i="16"/>
  <c r="N60" i="16"/>
  <c r="N80" i="16"/>
  <c r="N73" i="16"/>
  <c r="N78" i="16"/>
  <c r="N29" i="16"/>
  <c r="N47" i="16"/>
  <c r="N24" i="16"/>
  <c r="N76" i="16"/>
  <c r="N53" i="16"/>
  <c r="N61" i="16"/>
  <c r="N68" i="16"/>
  <c r="N67" i="16"/>
  <c r="N56" i="16"/>
  <c r="N87" i="16"/>
  <c r="N11" i="16"/>
  <c r="N31" i="16"/>
  <c r="N50" i="16"/>
  <c r="N21" i="16"/>
  <c r="N20" i="16"/>
  <c r="N51" i="16"/>
  <c r="N55" i="16"/>
  <c r="N59" i="16"/>
  <c r="N34" i="16"/>
  <c r="N12" i="16"/>
  <c r="N41" i="16"/>
  <c r="N26" i="16"/>
  <c r="N19" i="16"/>
  <c r="N18" i="16"/>
  <c r="N72" i="16"/>
  <c r="N33" i="16"/>
  <c r="N22" i="16"/>
  <c r="N81" i="16"/>
  <c r="N3" i="16"/>
  <c r="N5" i="16"/>
  <c r="N46" i="16"/>
  <c r="N9" i="16"/>
  <c r="N8" i="16"/>
  <c r="N28" i="16"/>
  <c r="N79" i="16"/>
  <c r="N42" i="16"/>
  <c r="N54" i="16"/>
  <c r="N62" i="16"/>
  <c r="N17" i="16"/>
  <c r="N32" i="16"/>
  <c r="N57" i="16"/>
  <c r="N35" i="16"/>
  <c r="N23" i="16"/>
  <c r="N89" i="16"/>
  <c r="N69" i="16"/>
  <c r="N48" i="16"/>
  <c r="N77" i="16"/>
  <c r="N13" i="16"/>
  <c r="N82" i="16"/>
  <c r="N88" i="16"/>
  <c r="N64" i="16"/>
  <c r="N74" i="16"/>
  <c r="N86" i="16"/>
  <c r="N70" i="16"/>
  <c r="N36" i="16"/>
  <c r="N91" i="16"/>
  <c r="N10" i="16"/>
  <c r="N30" i="16"/>
  <c r="N84" i="16"/>
  <c r="N65" i="16"/>
  <c r="N90" i="16"/>
  <c r="N25" i="16"/>
  <c r="N71" i="16"/>
  <c r="N7" i="16"/>
  <c r="J4" i="7"/>
  <c r="G5" i="7" s="1"/>
  <c r="L5" i="7" s="1"/>
  <c r="I4" i="9"/>
  <c r="F5" i="9" s="1"/>
  <c r="K4" i="9"/>
  <c r="F6" i="7"/>
  <c r="I5" i="7"/>
  <c r="I5" i="3"/>
  <c r="F6" i="3" s="1"/>
  <c r="K5" i="3"/>
  <c r="N6" i="9"/>
  <c r="Q5" i="9"/>
  <c r="I5" i="8"/>
  <c r="F6" i="8" s="1"/>
  <c r="K5" i="8"/>
  <c r="E6" i="9"/>
  <c r="H5" i="9"/>
  <c r="R3" i="9"/>
  <c r="O4" i="9" s="1"/>
  <c r="T4" i="9" s="1"/>
  <c r="R5" i="8"/>
  <c r="O6" i="8" s="1"/>
  <c r="T6" i="8" s="1"/>
  <c r="J4" i="6"/>
  <c r="J49" i="10"/>
  <c r="P6" i="16"/>
  <c r="K16" i="6"/>
  <c r="K34" i="10"/>
  <c r="J41" i="6"/>
  <c r="J67" i="10"/>
  <c r="K15" i="6"/>
  <c r="O15" i="16"/>
  <c r="J11" i="6"/>
  <c r="J13" i="10"/>
  <c r="K51" i="10"/>
  <c r="O85" i="16"/>
  <c r="K25" i="10"/>
  <c r="K50" i="10"/>
  <c r="P75" i="16"/>
  <c r="K62" i="6"/>
  <c r="K8" i="6"/>
  <c r="O66" i="16"/>
  <c r="J42" i="6"/>
  <c r="P37" i="16"/>
  <c r="O38" i="16"/>
  <c r="J88" i="10"/>
  <c r="J54" i="6"/>
  <c r="J75" i="10"/>
  <c r="K3" i="10"/>
  <c r="P60" i="16"/>
  <c r="O80" i="16"/>
  <c r="P73" i="16"/>
  <c r="K66" i="10"/>
  <c r="O78" i="16"/>
  <c r="J59" i="10"/>
  <c r="K23" i="6"/>
  <c r="O47" i="16"/>
  <c r="K68" i="6"/>
  <c r="K15" i="10"/>
  <c r="O76" i="16"/>
  <c r="J64" i="6"/>
  <c r="O87" i="16"/>
  <c r="J33" i="10"/>
  <c r="P53" i="16"/>
  <c r="K27" i="6"/>
  <c r="K89" i="10"/>
  <c r="K65" i="6"/>
  <c r="O61" i="16"/>
  <c r="J67" i="6"/>
  <c r="J11" i="10"/>
  <c r="K74" i="6"/>
  <c r="K62" i="10"/>
  <c r="J10" i="6"/>
  <c r="J80" i="10"/>
  <c r="K47" i="6"/>
  <c r="O21" i="16"/>
  <c r="J42" i="10"/>
  <c r="J73" i="10"/>
  <c r="P55" i="16"/>
  <c r="K74" i="10"/>
  <c r="K91" i="6"/>
  <c r="Q14" i="16"/>
  <c r="J50" i="6"/>
  <c r="K65" i="10"/>
  <c r="K29" i="10"/>
  <c r="O63" i="16"/>
  <c r="J81" i="6"/>
  <c r="P41" i="16"/>
  <c r="O26" i="16"/>
  <c r="K83" i="6"/>
  <c r="K49" i="6"/>
  <c r="O18" i="16"/>
  <c r="J30" i="6"/>
  <c r="J87" i="10"/>
  <c r="K45" i="6"/>
  <c r="O33" i="16"/>
  <c r="J28" i="10"/>
  <c r="O81" i="16"/>
  <c r="K63" i="10"/>
  <c r="O5" i="16"/>
  <c r="J90" i="6"/>
  <c r="J17" i="6"/>
  <c r="J16" i="10"/>
  <c r="K71" i="10"/>
  <c r="J58" i="6"/>
  <c r="P79" i="16"/>
  <c r="O42" i="16"/>
  <c r="J46" i="10"/>
  <c r="K81" i="10"/>
  <c r="P17" i="16"/>
  <c r="K21" i="10"/>
  <c r="K24" i="6"/>
  <c r="K14" i="6"/>
  <c r="J27" i="10"/>
  <c r="P57" i="16"/>
  <c r="K6" i="10"/>
  <c r="K22" i="6"/>
  <c r="O35" i="16"/>
  <c r="J38" i="10"/>
  <c r="P23" i="16"/>
  <c r="K80" i="6"/>
  <c r="K22" i="10"/>
  <c r="J73" i="6"/>
  <c r="J84" i="10"/>
  <c r="K79" i="6"/>
  <c r="K14" i="10"/>
  <c r="K84" i="6"/>
  <c r="K52" i="10"/>
  <c r="J43" i="6"/>
  <c r="J36" i="10"/>
  <c r="J55" i="6"/>
  <c r="J17" i="10"/>
  <c r="P82" i="16"/>
  <c r="O88" i="16"/>
  <c r="K61" i="6"/>
  <c r="K31" i="10"/>
  <c r="P86" i="16"/>
  <c r="K36" i="6"/>
  <c r="Q40" i="16"/>
  <c r="J28" i="6"/>
  <c r="P36" i="16"/>
  <c r="O91" i="16"/>
  <c r="J70" i="6"/>
  <c r="P10" i="16"/>
  <c r="K33" i="6"/>
  <c r="O30" i="16"/>
  <c r="K55" i="10"/>
  <c r="K39" i="10"/>
  <c r="K61" i="10"/>
  <c r="P90" i="16"/>
  <c r="J82" i="6"/>
  <c r="P71" i="16"/>
  <c r="J38" i="6"/>
  <c r="J23" i="10"/>
  <c r="H6" i="7"/>
  <c r="K6" i="7"/>
  <c r="K29" i="6"/>
  <c r="J12" i="6"/>
  <c r="K18" i="10"/>
  <c r="K72" i="6"/>
  <c r="P77" i="16"/>
  <c r="Q82" i="16"/>
  <c r="K44" i="6"/>
  <c r="Q86" i="16"/>
  <c r="J85" i="10"/>
  <c r="J5" i="10"/>
  <c r="K76" i="10"/>
  <c r="K66" i="6"/>
  <c r="O65" i="16"/>
  <c r="J56" i="10"/>
  <c r="P76" i="16"/>
  <c r="O68" i="16"/>
  <c r="O56" i="16"/>
  <c r="J74" i="6"/>
  <c r="K35" i="6"/>
  <c r="O50" i="16"/>
  <c r="K57" i="6"/>
  <c r="Q51" i="16"/>
  <c r="J91" i="6"/>
  <c r="O34" i="16"/>
  <c r="J29" i="10"/>
  <c r="K69" i="6"/>
  <c r="O19" i="16"/>
  <c r="J49" i="6"/>
  <c r="O72" i="16"/>
  <c r="P81" i="16"/>
  <c r="O46" i="16"/>
  <c r="Q9" i="16"/>
  <c r="O8" i="16"/>
  <c r="Q28" i="16"/>
  <c r="O54" i="16"/>
  <c r="J81" i="10"/>
  <c r="J24" i="6"/>
  <c r="J14" i="6"/>
  <c r="J6" i="10"/>
  <c r="K5" i="6"/>
  <c r="J22" i="10"/>
  <c r="J79" i="6"/>
  <c r="Q48" i="16"/>
  <c r="K48" i="10"/>
  <c r="O64" i="16"/>
  <c r="J31" i="10"/>
  <c r="O40" i="16"/>
  <c r="K85" i="10"/>
  <c r="K52" i="6"/>
  <c r="J33" i="6"/>
  <c r="J39" i="10"/>
  <c r="Q65" i="16"/>
  <c r="P7" i="16"/>
  <c r="P6" i="9"/>
  <c r="K4" i="6"/>
  <c r="K49" i="10"/>
  <c r="P39" i="16"/>
  <c r="O6" i="16"/>
  <c r="J24" i="10"/>
  <c r="P16" i="16"/>
  <c r="K41" i="6"/>
  <c r="K67" i="10"/>
  <c r="J85" i="6"/>
  <c r="J47" i="10"/>
  <c r="K11" i="6"/>
  <c r="K13" i="10"/>
  <c r="J71" i="6"/>
  <c r="J64" i="10"/>
  <c r="J76" i="6"/>
  <c r="J20" i="10"/>
  <c r="P4" i="16"/>
  <c r="O75" i="16"/>
  <c r="J2" i="6"/>
  <c r="J30" i="10"/>
  <c r="K42" i="6"/>
  <c r="O37" i="16"/>
  <c r="K88" i="10"/>
  <c r="P27" i="16"/>
  <c r="K54" i="6"/>
  <c r="K75" i="10"/>
  <c r="J51" i="6"/>
  <c r="P49" i="16"/>
  <c r="O60" i="16"/>
  <c r="O73" i="16"/>
  <c r="J82" i="10"/>
  <c r="J21" i="6"/>
  <c r="O59" i="16"/>
  <c r="K59" i="10"/>
  <c r="J46" i="6"/>
  <c r="J12" i="10"/>
  <c r="O83" i="16"/>
  <c r="J7" i="6"/>
  <c r="J90" i="10"/>
  <c r="K64" i="6"/>
  <c r="K33" i="10"/>
  <c r="O53" i="16"/>
  <c r="J32" i="6"/>
  <c r="J7" i="10"/>
  <c r="J57" i="10"/>
  <c r="P67" i="16"/>
  <c r="K67" i="6"/>
  <c r="K11" i="10"/>
  <c r="P87" i="16"/>
  <c r="J18" i="6"/>
  <c r="J60" i="10"/>
  <c r="P31" i="16"/>
  <c r="K10" i="6"/>
  <c r="K80" i="10"/>
  <c r="J78" i="6"/>
  <c r="J79" i="10"/>
  <c r="K42" i="10"/>
  <c r="P51" i="16"/>
  <c r="K73" i="10"/>
  <c r="O55" i="16"/>
  <c r="J44" i="10"/>
  <c r="J9" i="10"/>
  <c r="P59" i="16"/>
  <c r="K50" i="6"/>
  <c r="J41" i="10"/>
  <c r="J9" i="6"/>
  <c r="P12" i="16"/>
  <c r="Q63" i="16"/>
  <c r="K81" i="6"/>
  <c r="O41" i="16"/>
  <c r="J20" i="6"/>
  <c r="J91" i="10"/>
  <c r="J6" i="6"/>
  <c r="J72" i="10"/>
  <c r="K30" i="6"/>
  <c r="K87" i="10"/>
  <c r="J86" i="6"/>
  <c r="J40" i="10"/>
  <c r="K28" i="10"/>
  <c r="J77" i="6"/>
  <c r="J45" i="10"/>
  <c r="P9" i="16"/>
  <c r="K90" i="6"/>
  <c r="K17" i="6"/>
  <c r="K16" i="10"/>
  <c r="J63" i="6"/>
  <c r="P28" i="16"/>
  <c r="K58" i="6"/>
  <c r="O79" i="16"/>
  <c r="K46" i="10"/>
  <c r="J48" i="6"/>
  <c r="P62" i="16"/>
  <c r="O17" i="16"/>
  <c r="J2" i="10"/>
  <c r="J70" i="10"/>
  <c r="P32" i="16"/>
  <c r="K27" i="10"/>
  <c r="O57" i="16"/>
  <c r="J8" i="10"/>
  <c r="J32" i="10"/>
  <c r="K38" i="10"/>
  <c r="O23" i="16"/>
  <c r="J29" i="6"/>
  <c r="P89" i="16"/>
  <c r="K73" i="6"/>
  <c r="K84" i="10"/>
  <c r="J75" i="6"/>
  <c r="J18" i="10"/>
  <c r="O84" i="16"/>
  <c r="J72" i="6"/>
  <c r="P48" i="16"/>
  <c r="K43" i="6"/>
  <c r="K36" i="10"/>
  <c r="P13" i="16"/>
  <c r="K55" i="6"/>
  <c r="K17" i="10"/>
  <c r="O82" i="16"/>
  <c r="J89" i="6"/>
  <c r="J44" i="6"/>
  <c r="P74" i="16"/>
  <c r="O86" i="16"/>
  <c r="J43" i="10"/>
  <c r="P70" i="16"/>
  <c r="K28" i="6"/>
  <c r="O36" i="16"/>
  <c r="K70" i="6"/>
  <c r="O10" i="16"/>
  <c r="J76" i="10"/>
  <c r="J66" i="6"/>
  <c r="J53" i="10"/>
  <c r="P65" i="16"/>
  <c r="P25" i="16"/>
  <c r="K82" i="6"/>
  <c r="O71" i="16"/>
  <c r="K38" i="6"/>
  <c r="K23" i="10"/>
  <c r="J58" i="10"/>
  <c r="O89" i="16"/>
  <c r="K75" i="6"/>
  <c r="J78" i="10"/>
  <c r="O13" i="16"/>
  <c r="J48" i="10"/>
  <c r="K89" i="6"/>
  <c r="K43" i="10"/>
  <c r="Q36" i="16"/>
  <c r="Q10" i="16"/>
  <c r="K53" i="10"/>
  <c r="O25" i="16"/>
  <c r="J88" i="6"/>
  <c r="S6" i="9"/>
  <c r="J6" i="9"/>
  <c r="J68" i="6"/>
  <c r="J65" i="6"/>
  <c r="K10" i="10"/>
  <c r="Q31" i="16"/>
  <c r="P21" i="16"/>
  <c r="K4" i="10"/>
  <c r="O14" i="16"/>
  <c r="J65" i="10"/>
  <c r="K37" i="10"/>
  <c r="J83" i="6"/>
  <c r="P18" i="16"/>
  <c r="K56" i="6"/>
  <c r="P5" i="16"/>
  <c r="K19" i="10"/>
  <c r="K35" i="10"/>
  <c r="P42" i="16"/>
  <c r="Q62" i="16"/>
  <c r="Q32" i="16"/>
  <c r="P35" i="16"/>
  <c r="Q89" i="16"/>
  <c r="J84" i="6"/>
  <c r="O77" i="16"/>
  <c r="P88" i="16"/>
  <c r="Q74" i="16"/>
  <c r="Q70" i="16"/>
  <c r="K5" i="10"/>
  <c r="J55" i="10"/>
  <c r="J61" i="10"/>
  <c r="K56" i="10"/>
  <c r="G6" i="9"/>
  <c r="J87" i="6"/>
  <c r="P45" i="16"/>
  <c r="O39" i="16"/>
  <c r="Q6" i="16"/>
  <c r="K24" i="10"/>
  <c r="O16" i="16"/>
  <c r="J34" i="6"/>
  <c r="P58" i="16"/>
  <c r="K85" i="6"/>
  <c r="K47" i="10"/>
  <c r="J25" i="6"/>
  <c r="J54" i="10"/>
  <c r="P43" i="16"/>
  <c r="K71" i="6"/>
  <c r="K64" i="10"/>
  <c r="P52" i="16"/>
  <c r="K76" i="6"/>
  <c r="K20" i="10"/>
  <c r="O4" i="16"/>
  <c r="Q75" i="16"/>
  <c r="K2" i="6"/>
  <c r="K30" i="10"/>
  <c r="J53" i="6"/>
  <c r="J77" i="10"/>
  <c r="Q37" i="16"/>
  <c r="J19" i="6"/>
  <c r="P2" i="16"/>
  <c r="O27" i="16"/>
  <c r="J40" i="6"/>
  <c r="P44" i="16"/>
  <c r="K51" i="6"/>
  <c r="O49" i="16"/>
  <c r="Q60" i="16"/>
  <c r="J3" i="6"/>
  <c r="Q73" i="16"/>
  <c r="K82" i="10"/>
  <c r="K21" i="6"/>
  <c r="J13" i="6"/>
  <c r="P29" i="16"/>
  <c r="K46" i="6"/>
  <c r="K12" i="10"/>
  <c r="P24" i="16"/>
  <c r="Q83" i="16"/>
  <c r="K7" i="6"/>
  <c r="K90" i="10"/>
  <c r="J59" i="6"/>
  <c r="J69" i="10"/>
  <c r="J60" i="6"/>
  <c r="J68" i="10"/>
  <c r="Q53" i="16"/>
  <c r="K32" i="6"/>
  <c r="K7" i="10"/>
  <c r="K57" i="10"/>
  <c r="P68" i="16"/>
  <c r="O67" i="16"/>
  <c r="J10" i="10"/>
  <c r="P56" i="16"/>
  <c r="P11" i="16"/>
  <c r="K18" i="6"/>
  <c r="K60" i="10"/>
  <c r="O31" i="16"/>
  <c r="J35" i="6"/>
  <c r="P50" i="16"/>
  <c r="K78" i="6"/>
  <c r="K79" i="10"/>
  <c r="J57" i="6"/>
  <c r="P20" i="16"/>
  <c r="O51" i="16"/>
  <c r="J4" i="10"/>
  <c r="Q55" i="16"/>
  <c r="K44" i="10"/>
  <c r="K9" i="10"/>
  <c r="J86" i="10"/>
  <c r="P34" i="16"/>
  <c r="K41" i="10"/>
  <c r="K9" i="6"/>
  <c r="O12" i="16"/>
  <c r="J69" i="6"/>
  <c r="J37" i="10"/>
  <c r="Q41" i="16"/>
  <c r="P19" i="16"/>
  <c r="K20" i="6"/>
  <c r="K91" i="10"/>
  <c r="K6" i="6"/>
  <c r="K72" i="10"/>
  <c r="J26" i="6"/>
  <c r="J83" i="10"/>
  <c r="P72" i="16"/>
  <c r="K86" i="6"/>
  <c r="K40" i="10"/>
  <c r="J56" i="6"/>
  <c r="P22" i="16"/>
  <c r="P3" i="16"/>
  <c r="K77" i="6"/>
  <c r="K45" i="10"/>
  <c r="P46" i="16"/>
  <c r="O9" i="16"/>
  <c r="J39" i="6"/>
  <c r="J19" i="10"/>
  <c r="P8" i="16"/>
  <c r="K63" i="6"/>
  <c r="O28" i="16"/>
  <c r="J35" i="10"/>
  <c r="Q79" i="16"/>
  <c r="J37" i="6"/>
  <c r="P54" i="16"/>
  <c r="K48" i="6"/>
  <c r="O62" i="16"/>
  <c r="Q17" i="16"/>
  <c r="K2" i="10"/>
  <c r="K70" i="10"/>
  <c r="O32" i="16"/>
  <c r="J26" i="10"/>
  <c r="Q57" i="16"/>
  <c r="K8" i="10"/>
  <c r="K32" i="10"/>
  <c r="J5" i="6"/>
  <c r="Q23" i="16"/>
  <c r="P69" i="16"/>
  <c r="O48" i="16"/>
  <c r="J31" i="6"/>
  <c r="P64" i="16"/>
  <c r="O74" i="16"/>
  <c r="O70" i="16"/>
  <c r="J52" i="6"/>
  <c r="P84" i="16"/>
  <c r="Q71" i="16"/>
  <c r="J15" i="10"/>
  <c r="K60" i="6"/>
  <c r="J27" i="6"/>
  <c r="P61" i="16"/>
  <c r="O11" i="16"/>
  <c r="J62" i="10"/>
  <c r="J47" i="6"/>
  <c r="O20" i="16"/>
  <c r="J74" i="10"/>
  <c r="K86" i="10"/>
  <c r="Q12" i="16"/>
  <c r="O22" i="16"/>
  <c r="K83" i="10"/>
  <c r="J45" i="6"/>
  <c r="O3" i="16"/>
  <c r="J63" i="10"/>
  <c r="K39" i="6"/>
  <c r="J71" i="10"/>
  <c r="K37" i="6"/>
  <c r="J21" i="10"/>
  <c r="K26" i="10"/>
  <c r="K58" i="10"/>
  <c r="K12" i="6"/>
  <c r="J52" i="10"/>
  <c r="Q13" i="16"/>
  <c r="J61" i="6"/>
  <c r="J36" i="6"/>
  <c r="P91" i="16"/>
  <c r="P30" i="16"/>
  <c r="Q25" i="16"/>
  <c r="K87" i="6"/>
  <c r="O45" i="16"/>
  <c r="Q39" i="16"/>
  <c r="J16" i="6"/>
  <c r="J34" i="10"/>
  <c r="Q16" i="16"/>
  <c r="K34" i="6"/>
  <c r="O58" i="16"/>
  <c r="J15" i="6"/>
  <c r="P15" i="16"/>
  <c r="K25" i="6"/>
  <c r="K54" i="10"/>
  <c r="O43" i="16"/>
  <c r="J51" i="10"/>
  <c r="P85" i="16"/>
  <c r="O52" i="16"/>
  <c r="J25" i="10"/>
  <c r="J50" i="10"/>
  <c r="Q4" i="16"/>
  <c r="J62" i="6"/>
  <c r="J8" i="6"/>
  <c r="P66" i="16"/>
  <c r="K53" i="6"/>
  <c r="K77" i="10"/>
  <c r="P38" i="16"/>
  <c r="K19" i="6"/>
  <c r="O2" i="16"/>
  <c r="Q27" i="16"/>
  <c r="K40" i="6"/>
  <c r="O44" i="16"/>
  <c r="J3" i="10"/>
  <c r="Q49" i="16"/>
  <c r="P80" i="16"/>
  <c r="K3" i="6"/>
  <c r="J66" i="10"/>
  <c r="O7" i="16"/>
  <c r="O90" i="16"/>
  <c r="P78" i="16"/>
  <c r="K13" i="6"/>
  <c r="O29" i="16"/>
  <c r="J23" i="6"/>
  <c r="P47" i="16"/>
  <c r="O24" i="16"/>
  <c r="K59" i="6"/>
  <c r="K69" i="10"/>
  <c r="K68" i="10"/>
  <c r="J89" i="10"/>
  <c r="Q67" i="16"/>
  <c r="P26" i="16"/>
  <c r="K26" i="6"/>
  <c r="P33" i="16"/>
  <c r="J22" i="6"/>
  <c r="J80" i="6"/>
  <c r="O69" i="16"/>
  <c r="J14" i="10"/>
  <c r="K78" i="10"/>
  <c r="K31" i="6"/>
  <c r="K88" i="6"/>
  <c r="F3" i="11"/>
  <c r="Q76" i="16"/>
  <c r="Q59" i="16"/>
  <c r="F3" i="4"/>
  <c r="Q81" i="16"/>
  <c r="R81" i="16" l="1"/>
  <c r="O3" i="4"/>
  <c r="M3" i="4"/>
  <c r="R59" i="16"/>
  <c r="R76" i="16"/>
  <c r="M3" i="11"/>
  <c r="O3" i="11"/>
  <c r="L88" i="6"/>
  <c r="L31" i="6"/>
  <c r="L78" i="10"/>
  <c r="L26" i="6"/>
  <c r="R67" i="16"/>
  <c r="L68" i="10"/>
  <c r="L69" i="10"/>
  <c r="L59" i="6"/>
  <c r="L13" i="6"/>
  <c r="L3" i="6"/>
  <c r="R49" i="16"/>
  <c r="L40" i="6"/>
  <c r="R27" i="16"/>
  <c r="L19" i="6"/>
  <c r="L77" i="10"/>
  <c r="L53" i="6"/>
  <c r="R4" i="16"/>
  <c r="L54" i="10"/>
  <c r="L25" i="6"/>
  <c r="L34" i="6"/>
  <c r="R16" i="16"/>
  <c r="R39" i="16"/>
  <c r="L87" i="6"/>
  <c r="R25" i="16"/>
  <c r="R13" i="16"/>
  <c r="L12" i="6"/>
  <c r="L58" i="10"/>
  <c r="L26" i="10"/>
  <c r="L37" i="6"/>
  <c r="L39" i="6"/>
  <c r="L83" i="10"/>
  <c r="R12" i="16"/>
  <c r="L86" i="10"/>
  <c r="L60" i="6"/>
  <c r="R71" i="16"/>
  <c r="R23" i="16"/>
  <c r="L32" i="10"/>
  <c r="L8" i="10"/>
  <c r="R57" i="16"/>
  <c r="L70" i="10"/>
  <c r="L2" i="10"/>
  <c r="M2" i="10" s="1"/>
  <c r="R17" i="16"/>
  <c r="L48" i="6"/>
  <c r="R79" i="16"/>
  <c r="L63" i="6"/>
  <c r="L45" i="10"/>
  <c r="L77" i="6"/>
  <c r="L40" i="10"/>
  <c r="L86" i="6"/>
  <c r="L72" i="10"/>
  <c r="L6" i="6"/>
  <c r="L91" i="10"/>
  <c r="L20" i="6"/>
  <c r="R41" i="16"/>
  <c r="L9" i="6"/>
  <c r="L41" i="10"/>
  <c r="L9" i="10"/>
  <c r="L44" i="10"/>
  <c r="R55" i="16"/>
  <c r="L79" i="10"/>
  <c r="L78" i="6"/>
  <c r="L60" i="10"/>
  <c r="L18" i="6"/>
  <c r="L57" i="10"/>
  <c r="L7" i="10"/>
  <c r="L32" i="6"/>
  <c r="R53" i="16"/>
  <c r="L90" i="10"/>
  <c r="L7" i="6"/>
  <c r="R83" i="16"/>
  <c r="L12" i="10"/>
  <c r="L46" i="6"/>
  <c r="L21" i="6"/>
  <c r="L82" i="10"/>
  <c r="R73" i="16"/>
  <c r="R60" i="16"/>
  <c r="L51" i="6"/>
  <c r="R37" i="16"/>
  <c r="L30" i="10"/>
  <c r="L2" i="6"/>
  <c r="M2" i="6" s="1"/>
  <c r="R75" i="16"/>
  <c r="L20" i="10"/>
  <c r="L76" i="6"/>
  <c r="L64" i="10"/>
  <c r="L71" i="6"/>
  <c r="L47" i="10"/>
  <c r="L85" i="6"/>
  <c r="L24" i="10"/>
  <c r="R6" i="16"/>
  <c r="L56" i="10"/>
  <c r="L5" i="10"/>
  <c r="R70" i="16"/>
  <c r="R74" i="16"/>
  <c r="R89" i="16"/>
  <c r="R32" i="16"/>
  <c r="R62" i="16"/>
  <c r="L35" i="10"/>
  <c r="L19" i="10"/>
  <c r="L56" i="6"/>
  <c r="L37" i="10"/>
  <c r="L4" i="10"/>
  <c r="R31" i="16"/>
  <c r="L10" i="10"/>
  <c r="L53" i="10"/>
  <c r="R10" i="16"/>
  <c r="R36" i="16"/>
  <c r="L43" i="10"/>
  <c r="L89" i="6"/>
  <c r="L75" i="6"/>
  <c r="L23" i="10"/>
  <c r="L38" i="6"/>
  <c r="L82" i="6"/>
  <c r="L70" i="6"/>
  <c r="L28" i="6"/>
  <c r="L17" i="10"/>
  <c r="L55" i="6"/>
  <c r="L36" i="10"/>
  <c r="L43" i="6"/>
  <c r="L84" i="10"/>
  <c r="L73" i="6"/>
  <c r="L38" i="10"/>
  <c r="L27" i="10"/>
  <c r="L46" i="10"/>
  <c r="L58" i="6"/>
  <c r="L16" i="10"/>
  <c r="L17" i="6"/>
  <c r="L90" i="6"/>
  <c r="L28" i="10"/>
  <c r="L87" i="10"/>
  <c r="L30" i="6"/>
  <c r="L81" i="6"/>
  <c r="R63" i="16"/>
  <c r="L50" i="6"/>
  <c r="L73" i="10"/>
  <c r="L42" i="10"/>
  <c r="L80" i="10"/>
  <c r="L10" i="6"/>
  <c r="L11" i="10"/>
  <c r="L67" i="6"/>
  <c r="L33" i="10"/>
  <c r="L64" i="6"/>
  <c r="L59" i="10"/>
  <c r="L75" i="10"/>
  <c r="L54" i="6"/>
  <c r="L88" i="10"/>
  <c r="L42" i="6"/>
  <c r="L13" i="10"/>
  <c r="L11" i="6"/>
  <c r="L67" i="10"/>
  <c r="L41" i="6"/>
  <c r="L49" i="10"/>
  <c r="L4" i="6"/>
  <c r="R65" i="16"/>
  <c r="L52" i="6"/>
  <c r="L85" i="10"/>
  <c r="L48" i="10"/>
  <c r="R48" i="16"/>
  <c r="L5" i="6"/>
  <c r="R28" i="16"/>
  <c r="R9" i="16"/>
  <c r="L69" i="6"/>
  <c r="R51" i="16"/>
  <c r="L57" i="6"/>
  <c r="L35" i="6"/>
  <c r="L66" i="6"/>
  <c r="L76" i="10"/>
  <c r="R86" i="16"/>
  <c r="L44" i="6"/>
  <c r="R82" i="16"/>
  <c r="L72" i="6"/>
  <c r="L18" i="10"/>
  <c r="L29" i="6"/>
  <c r="L61" i="10"/>
  <c r="L39" i="10"/>
  <c r="L55" i="10"/>
  <c r="L33" i="6"/>
  <c r="R40" i="16"/>
  <c r="L36" i="6"/>
  <c r="L31" i="10"/>
  <c r="L61" i="6"/>
  <c r="L52" i="10"/>
  <c r="L84" i="6"/>
  <c r="L14" i="10"/>
  <c r="L79" i="6"/>
  <c r="L22" i="10"/>
  <c r="L80" i="6"/>
  <c r="L22" i="6"/>
  <c r="L6" i="10"/>
  <c r="L14" i="6"/>
  <c r="L24" i="6"/>
  <c r="L21" i="10"/>
  <c r="L81" i="10"/>
  <c r="L71" i="10"/>
  <c r="L63" i="10"/>
  <c r="L45" i="6"/>
  <c r="L49" i="6"/>
  <c r="L83" i="6"/>
  <c r="L29" i="10"/>
  <c r="L65" i="10"/>
  <c r="R14" i="16"/>
  <c r="L91" i="6"/>
  <c r="L74" i="10"/>
  <c r="L47" i="6"/>
  <c r="L62" i="10"/>
  <c r="L74" i="6"/>
  <c r="L65" i="6"/>
  <c r="L89" i="10"/>
  <c r="L27" i="6"/>
  <c r="L15" i="10"/>
  <c r="L68" i="6"/>
  <c r="L23" i="6"/>
  <c r="L66" i="10"/>
  <c r="L3" i="10"/>
  <c r="L8" i="6"/>
  <c r="L62" i="6"/>
  <c r="L50" i="10"/>
  <c r="L25" i="10"/>
  <c r="L51" i="10"/>
  <c r="L15" i="6"/>
  <c r="L34" i="10"/>
  <c r="L16" i="6"/>
  <c r="J5" i="7"/>
  <c r="G6" i="7" s="1"/>
  <c r="E7" i="9"/>
  <c r="H6" i="9"/>
  <c r="I6" i="7"/>
  <c r="F7" i="7"/>
  <c r="N7" i="9"/>
  <c r="Q6" i="9"/>
  <c r="I5" i="9"/>
  <c r="F6" i="9" s="1"/>
  <c r="K5" i="9"/>
  <c r="I6" i="8"/>
  <c r="F7" i="8" s="1"/>
  <c r="K6" i="8"/>
  <c r="I6" i="3"/>
  <c r="F7" i="3" s="1"/>
  <c r="K6" i="3"/>
  <c r="R4" i="9"/>
  <c r="O5" i="9" s="1"/>
  <c r="T5" i="9" s="1"/>
  <c r="F4" i="11"/>
  <c r="Q19" i="16"/>
  <c r="Q30" i="16"/>
  <c r="Q42" i="16"/>
  <c r="Q26" i="16"/>
  <c r="Q47" i="16"/>
  <c r="Q77" i="16"/>
  <c r="Q11" i="16"/>
  <c r="Q45" i="16"/>
  <c r="Q91" i="16"/>
  <c r="Q5" i="16"/>
  <c r="Q21" i="16"/>
  <c r="Q78" i="16"/>
  <c r="Q85" i="16"/>
  <c r="Q69" i="16"/>
  <c r="Q3" i="16"/>
  <c r="Q34" i="16"/>
  <c r="Q56" i="16"/>
  <c r="Q90" i="16"/>
  <c r="Q52" i="16"/>
  <c r="P7" i="9"/>
  <c r="G7" i="9"/>
  <c r="Q7" i="16"/>
  <c r="H7" i="7"/>
  <c r="Q35" i="16"/>
  <c r="Q87" i="16"/>
  <c r="Q38" i="16"/>
  <c r="Q8" i="16"/>
  <c r="Q50" i="16"/>
  <c r="Q44" i="16"/>
  <c r="Q29" i="16"/>
  <c r="J7" i="9"/>
  <c r="F4" i="4"/>
  <c r="F3" i="10"/>
  <c r="Q88" i="16"/>
  <c r="Q33" i="16"/>
  <c r="Q61" i="16"/>
  <c r="Q80" i="16"/>
  <c r="Q15" i="16"/>
  <c r="Q54" i="16"/>
  <c r="Q72" i="16"/>
  <c r="Q20" i="16"/>
  <c r="Q68" i="16"/>
  <c r="Q43" i="16"/>
  <c r="Q84" i="16"/>
  <c r="Q18" i="16"/>
  <c r="Q64" i="16"/>
  <c r="Q22" i="16"/>
  <c r="Q24" i="16"/>
  <c r="Q58" i="16"/>
  <c r="K7" i="7"/>
  <c r="Q66" i="16"/>
  <c r="Q46" i="16"/>
  <c r="Q2" i="16"/>
  <c r="S7" i="9"/>
  <c r="F3" i="6"/>
  <c r="O3" i="6" l="1"/>
  <c r="M3" i="6"/>
  <c r="R2" i="16"/>
  <c r="S2" i="16" s="1"/>
  <c r="R46" i="16"/>
  <c r="R66" i="16"/>
  <c r="R58" i="16"/>
  <c r="R24" i="16"/>
  <c r="R22" i="16"/>
  <c r="R64" i="16"/>
  <c r="R18" i="16"/>
  <c r="R84" i="16"/>
  <c r="R43" i="16"/>
  <c r="R68" i="16"/>
  <c r="R20" i="16"/>
  <c r="R72" i="16"/>
  <c r="R54" i="16"/>
  <c r="R15" i="16"/>
  <c r="R80" i="16"/>
  <c r="R61" i="16"/>
  <c r="R33" i="16"/>
  <c r="R88" i="16"/>
  <c r="O3" i="10"/>
  <c r="M3" i="10"/>
  <c r="P3" i="10" s="1"/>
  <c r="M4" i="4"/>
  <c r="O4" i="4"/>
  <c r="R29" i="16"/>
  <c r="R44" i="16"/>
  <c r="R50" i="16"/>
  <c r="R8" i="16"/>
  <c r="R38" i="16"/>
  <c r="R87" i="16"/>
  <c r="R35" i="16"/>
  <c r="R7" i="16"/>
  <c r="R52" i="16"/>
  <c r="R90" i="16"/>
  <c r="R56" i="16"/>
  <c r="R34" i="16"/>
  <c r="R3" i="16"/>
  <c r="R69" i="16"/>
  <c r="R85" i="16"/>
  <c r="R78" i="16"/>
  <c r="R21" i="16"/>
  <c r="R5" i="16"/>
  <c r="R91" i="16"/>
  <c r="R45" i="16"/>
  <c r="R11" i="16"/>
  <c r="R77" i="16"/>
  <c r="R47" i="16"/>
  <c r="R26" i="16"/>
  <c r="R42" i="16"/>
  <c r="R30" i="16"/>
  <c r="R19" i="16"/>
  <c r="M4" i="11"/>
  <c r="O4" i="11"/>
  <c r="J6" i="7"/>
  <c r="G7" i="7" s="1"/>
  <c r="L6" i="7"/>
  <c r="I7" i="3"/>
  <c r="F8" i="3" s="1"/>
  <c r="K7" i="3"/>
  <c r="I7" i="8"/>
  <c r="F8" i="8" s="1"/>
  <c r="K7" i="8"/>
  <c r="I6" i="9"/>
  <c r="F7" i="9" s="1"/>
  <c r="K6" i="9"/>
  <c r="E8" i="9"/>
  <c r="H7" i="9"/>
  <c r="F8" i="7"/>
  <c r="I7" i="7"/>
  <c r="N8" i="9"/>
  <c r="Q7" i="9"/>
  <c r="R5" i="9"/>
  <c r="O6" i="9" s="1"/>
  <c r="T6" i="9" s="1"/>
  <c r="K8" i="7"/>
  <c r="S8" i="9"/>
  <c r="F5" i="11"/>
  <c r="F4" i="6"/>
  <c r="F4" i="10"/>
  <c r="J8" i="9"/>
  <c r="G8" i="9"/>
  <c r="P8" i="9"/>
  <c r="F3" i="16"/>
  <c r="F5" i="4"/>
  <c r="H8" i="7"/>
  <c r="O5" i="4" l="1"/>
  <c r="M5" i="4"/>
  <c r="S3" i="16"/>
  <c r="U3" i="16"/>
  <c r="O4" i="10"/>
  <c r="M4" i="10"/>
  <c r="O4" i="6"/>
  <c r="M4" i="6"/>
  <c r="O5" i="11"/>
  <c r="M5" i="11"/>
  <c r="N9" i="9"/>
  <c r="Q8" i="9"/>
  <c r="I7" i="9"/>
  <c r="F8" i="9" s="1"/>
  <c r="K7" i="9"/>
  <c r="L7" i="7"/>
  <c r="J7" i="7"/>
  <c r="G8" i="7" s="1"/>
  <c r="I8" i="7"/>
  <c r="F9" i="7"/>
  <c r="I8" i="8"/>
  <c r="F9" i="8" s="1"/>
  <c r="K8" i="8"/>
  <c r="I8" i="3"/>
  <c r="F9" i="3" s="1"/>
  <c r="K8" i="3"/>
  <c r="E9" i="9"/>
  <c r="H8" i="9"/>
  <c r="R6" i="9"/>
  <c r="O7" i="9" s="1"/>
  <c r="T7" i="9" s="1"/>
  <c r="R6" i="8"/>
  <c r="O7" i="8" s="1"/>
  <c r="T7" i="8" s="1"/>
  <c r="F5" i="6"/>
  <c r="G9" i="9"/>
  <c r="H9" i="7"/>
  <c r="K9" i="7"/>
  <c r="F6" i="4"/>
  <c r="S9" i="9"/>
  <c r="J9" i="9"/>
  <c r="P9" i="9"/>
  <c r="F4" i="16"/>
  <c r="F5" i="10"/>
  <c r="F6" i="11"/>
  <c r="M6" i="11" l="1"/>
  <c r="O6" i="11"/>
  <c r="P5" i="10"/>
  <c r="O5" i="10"/>
  <c r="M5" i="10"/>
  <c r="U4" i="16"/>
  <c r="S4" i="16"/>
  <c r="O6" i="4"/>
  <c r="M6" i="4"/>
  <c r="O5" i="6"/>
  <c r="M5" i="6"/>
  <c r="P4" i="10"/>
  <c r="L8" i="7"/>
  <c r="J8" i="7"/>
  <c r="G9" i="7" s="1"/>
  <c r="I9" i="3"/>
  <c r="F10" i="3" s="1"/>
  <c r="K9" i="3"/>
  <c r="I8" i="9"/>
  <c r="F9" i="9" s="1"/>
  <c r="K8" i="9"/>
  <c r="I9" i="8"/>
  <c r="F10" i="8" s="1"/>
  <c r="K9" i="8"/>
  <c r="F10" i="7"/>
  <c r="I9" i="7"/>
  <c r="N10" i="9"/>
  <c r="Q9" i="9"/>
  <c r="E10" i="9"/>
  <c r="H9" i="9"/>
  <c r="R7" i="9"/>
  <c r="O8" i="9" s="1"/>
  <c r="T8" i="9" s="1"/>
  <c r="R7" i="8"/>
  <c r="O8" i="8" s="1"/>
  <c r="T8" i="8" s="1"/>
  <c r="F7" i="11"/>
  <c r="F6" i="10"/>
  <c r="F7" i="4"/>
  <c r="J10" i="9"/>
  <c r="P10" i="9"/>
  <c r="S10" i="9"/>
  <c r="G10" i="9"/>
  <c r="H10" i="7"/>
  <c r="F5" i="16"/>
  <c r="F6" i="6"/>
  <c r="K10" i="7"/>
  <c r="O6" i="6" l="1"/>
  <c r="M6" i="6"/>
  <c r="U5" i="16"/>
  <c r="S5" i="16"/>
  <c r="O7" i="4"/>
  <c r="M7" i="4"/>
  <c r="M6" i="10"/>
  <c r="O6" i="10"/>
  <c r="P6" i="10"/>
  <c r="M7" i="11"/>
  <c r="O7" i="11"/>
  <c r="N11" i="9"/>
  <c r="Q10" i="9"/>
  <c r="I10" i="7"/>
  <c r="F11" i="7"/>
  <c r="I10" i="3"/>
  <c r="F11" i="3" s="1"/>
  <c r="K10" i="3"/>
  <c r="L9" i="7"/>
  <c r="J9" i="7"/>
  <c r="G10" i="7" s="1"/>
  <c r="I10" i="8"/>
  <c r="F11" i="8" s="1"/>
  <c r="K10" i="8"/>
  <c r="E11" i="9"/>
  <c r="H10" i="9"/>
  <c r="I9" i="9"/>
  <c r="F10" i="9" s="1"/>
  <c r="K9" i="9"/>
  <c r="R8" i="9"/>
  <c r="O9" i="9" s="1"/>
  <c r="T9" i="9" s="1"/>
  <c r="R8" i="8"/>
  <c r="O9" i="8" s="1"/>
  <c r="T9" i="8" s="1"/>
  <c r="H11" i="7"/>
  <c r="J11" i="9"/>
  <c r="F7" i="6"/>
  <c r="F8" i="4"/>
  <c r="F8" i="11"/>
  <c r="K11" i="7"/>
  <c r="G11" i="9"/>
  <c r="F7" i="10"/>
  <c r="S11" i="9"/>
  <c r="F6" i="16"/>
  <c r="P11" i="9"/>
  <c r="U6" i="16" l="1"/>
  <c r="S6" i="16"/>
  <c r="O7" i="10"/>
  <c r="M7" i="10"/>
  <c r="O8" i="11"/>
  <c r="M8" i="11"/>
  <c r="M8" i="4"/>
  <c r="O8" i="4"/>
  <c r="O7" i="6"/>
  <c r="M7" i="6"/>
  <c r="I11" i="7"/>
  <c r="F12" i="7"/>
  <c r="E12" i="9"/>
  <c r="H11" i="9"/>
  <c r="I11" i="8"/>
  <c r="F12" i="8" s="1"/>
  <c r="K11" i="8"/>
  <c r="L10" i="7"/>
  <c r="J10" i="7"/>
  <c r="G11" i="7" s="1"/>
  <c r="N12" i="9"/>
  <c r="Q11" i="9"/>
  <c r="I10" i="9"/>
  <c r="F11" i="9" s="1"/>
  <c r="K10" i="9"/>
  <c r="I11" i="3"/>
  <c r="F12" i="3" s="1"/>
  <c r="K11" i="3"/>
  <c r="R9" i="9"/>
  <c r="O10" i="9" s="1"/>
  <c r="T10" i="9" s="1"/>
  <c r="R9" i="8"/>
  <c r="O10" i="8" s="1"/>
  <c r="T10" i="8" s="1"/>
  <c r="S12" i="9"/>
  <c r="H12" i="7"/>
  <c r="P12" i="9"/>
  <c r="K12" i="7"/>
  <c r="F7" i="16"/>
  <c r="F9" i="4"/>
  <c r="F9" i="11"/>
  <c r="F8" i="6"/>
  <c r="J12" i="9"/>
  <c r="F8" i="10"/>
  <c r="G12" i="9"/>
  <c r="O8" i="10" l="1"/>
  <c r="M8" i="10"/>
  <c r="P8" i="10"/>
  <c r="O8" i="6"/>
  <c r="M8" i="6"/>
  <c r="M9" i="11"/>
  <c r="O9" i="11"/>
  <c r="O9" i="4"/>
  <c r="M9" i="4"/>
  <c r="S7" i="16"/>
  <c r="U7" i="16"/>
  <c r="P7" i="10"/>
  <c r="I12" i="8"/>
  <c r="F13" i="8" s="1"/>
  <c r="K12" i="8"/>
  <c r="I11" i="9"/>
  <c r="F12" i="9" s="1"/>
  <c r="K11" i="9"/>
  <c r="E13" i="9"/>
  <c r="H12" i="9"/>
  <c r="N13" i="9"/>
  <c r="Q12" i="9"/>
  <c r="I12" i="7"/>
  <c r="F13" i="7"/>
  <c r="L11" i="7"/>
  <c r="J11" i="7"/>
  <c r="G12" i="7" s="1"/>
  <c r="I12" i="3"/>
  <c r="F13" i="3" s="1"/>
  <c r="K12" i="3"/>
  <c r="R10" i="9"/>
  <c r="O11" i="9" s="1"/>
  <c r="T11" i="9" s="1"/>
  <c r="R10" i="8"/>
  <c r="O11" i="8" s="1"/>
  <c r="T11" i="8" s="1"/>
  <c r="F9" i="6"/>
  <c r="F10" i="4"/>
  <c r="K13" i="7"/>
  <c r="S13" i="9"/>
  <c r="G13" i="9"/>
  <c r="H13" i="7"/>
  <c r="F9" i="10"/>
  <c r="F10" i="11"/>
  <c r="F8" i="16"/>
  <c r="J13" i="9"/>
  <c r="P13" i="9"/>
  <c r="U8" i="16" l="1"/>
  <c r="S8" i="16"/>
  <c r="M10" i="11"/>
  <c r="O10" i="11"/>
  <c r="O9" i="10"/>
  <c r="M9" i="10"/>
  <c r="O10" i="4"/>
  <c r="M10" i="4"/>
  <c r="O9" i="6"/>
  <c r="M9" i="6"/>
  <c r="E14" i="9"/>
  <c r="H13" i="9"/>
  <c r="L12" i="7"/>
  <c r="J12" i="7"/>
  <c r="G13" i="7" s="1"/>
  <c r="I13" i="7"/>
  <c r="F14" i="7"/>
  <c r="K12" i="9"/>
  <c r="I12" i="9"/>
  <c r="F13" i="9" s="1"/>
  <c r="I13" i="3"/>
  <c r="F14" i="3" s="1"/>
  <c r="K13" i="3"/>
  <c r="I13" i="8"/>
  <c r="F14" i="8" s="1"/>
  <c r="K13" i="8"/>
  <c r="N14" i="9"/>
  <c r="Q13" i="9"/>
  <c r="R11" i="9"/>
  <c r="O12" i="9" s="1"/>
  <c r="T12" i="9" s="1"/>
  <c r="R11" i="8"/>
  <c r="O12" i="8" s="1"/>
  <c r="T12" i="8" s="1"/>
  <c r="F11" i="4"/>
  <c r="K14" i="7"/>
  <c r="S14" i="9"/>
  <c r="H14" i="7"/>
  <c r="F9" i="16"/>
  <c r="J14" i="9"/>
  <c r="P14" i="9"/>
  <c r="F11" i="11"/>
  <c r="F10" i="10"/>
  <c r="F10" i="6"/>
  <c r="G14" i="9"/>
  <c r="O10" i="6" l="1"/>
  <c r="M10" i="6"/>
  <c r="O10" i="10"/>
  <c r="P10" i="10"/>
  <c r="M10" i="10"/>
  <c r="O11" i="11"/>
  <c r="M11" i="11"/>
  <c r="U9" i="16"/>
  <c r="S9" i="16"/>
  <c r="M11" i="4"/>
  <c r="O11" i="4"/>
  <c r="P9" i="10"/>
  <c r="I14" i="3"/>
  <c r="F15" i="3" s="1"/>
  <c r="K14" i="3"/>
  <c r="I13" i="9"/>
  <c r="F14" i="9" s="1"/>
  <c r="K13" i="9"/>
  <c r="I14" i="7"/>
  <c r="F15" i="7"/>
  <c r="N15" i="9"/>
  <c r="Q14" i="9"/>
  <c r="L13" i="7"/>
  <c r="J13" i="7"/>
  <c r="G14" i="7" s="1"/>
  <c r="E15" i="9"/>
  <c r="H14" i="9"/>
  <c r="I14" i="8"/>
  <c r="F15" i="8" s="1"/>
  <c r="K14" i="8"/>
  <c r="R12" i="9"/>
  <c r="O13" i="9" s="1"/>
  <c r="T13" i="9" s="1"/>
  <c r="R12" i="8"/>
  <c r="O13" i="8" s="1"/>
  <c r="T13" i="8" s="1"/>
  <c r="F11" i="10"/>
  <c r="F10" i="16"/>
  <c r="S15" i="9"/>
  <c r="J15" i="9"/>
  <c r="F11" i="6"/>
  <c r="F12" i="4"/>
  <c r="P15" i="9"/>
  <c r="G15" i="9"/>
  <c r="K15" i="7"/>
  <c r="F12" i="11"/>
  <c r="H15" i="7"/>
  <c r="M12" i="11" l="1"/>
  <c r="O12" i="11"/>
  <c r="O12" i="4"/>
  <c r="M12" i="4"/>
  <c r="O11" i="6"/>
  <c r="M11" i="6"/>
  <c r="U10" i="16"/>
  <c r="S10" i="16"/>
  <c r="O11" i="10"/>
  <c r="P11" i="10"/>
  <c r="M11" i="10"/>
  <c r="I15" i="7"/>
  <c r="F16" i="7"/>
  <c r="I15" i="8"/>
  <c r="F16" i="8" s="1"/>
  <c r="K15" i="8"/>
  <c r="E16" i="9"/>
  <c r="H15" i="9"/>
  <c r="K14" i="9"/>
  <c r="I14" i="9"/>
  <c r="F15" i="9" s="1"/>
  <c r="L14" i="7"/>
  <c r="J14" i="7"/>
  <c r="G15" i="7" s="1"/>
  <c r="I15" i="3"/>
  <c r="F16" i="3" s="1"/>
  <c r="K15" i="3"/>
  <c r="N16" i="9"/>
  <c r="Q15" i="9"/>
  <c r="R13" i="9"/>
  <c r="O14" i="9" s="1"/>
  <c r="T14" i="9" s="1"/>
  <c r="R13" i="8"/>
  <c r="O14" i="8" s="1"/>
  <c r="T14" i="8" s="1"/>
  <c r="F13" i="11"/>
  <c r="J16" i="9"/>
  <c r="S16" i="9"/>
  <c r="P16" i="9"/>
  <c r="K16" i="7"/>
  <c r="F12" i="6"/>
  <c r="G16" i="9"/>
  <c r="F12" i="10"/>
  <c r="H16" i="7"/>
  <c r="F13" i="4"/>
  <c r="F11" i="16"/>
  <c r="U11" i="16" l="1"/>
  <c r="S11" i="16"/>
  <c r="O13" i="4"/>
  <c r="M13" i="4"/>
  <c r="O12" i="10"/>
  <c r="M12" i="10"/>
  <c r="P12" i="10"/>
  <c r="O12" i="6"/>
  <c r="M12" i="6"/>
  <c r="O13" i="11"/>
  <c r="M13" i="11"/>
  <c r="N17" i="9"/>
  <c r="Q16" i="9"/>
  <c r="E17" i="9"/>
  <c r="H16" i="9"/>
  <c r="I16" i="3"/>
  <c r="F17" i="3" s="1"/>
  <c r="K16" i="3"/>
  <c r="I16" i="8"/>
  <c r="F17" i="8" s="1"/>
  <c r="K16" i="8"/>
  <c r="L15" i="7"/>
  <c r="J15" i="7"/>
  <c r="G16" i="7" s="1"/>
  <c r="I16" i="7"/>
  <c r="F17" i="7"/>
  <c r="I15" i="9"/>
  <c r="F16" i="9" s="1"/>
  <c r="K15" i="9"/>
  <c r="R14" i="9"/>
  <c r="O15" i="9" s="1"/>
  <c r="T15" i="9" s="1"/>
  <c r="R14" i="8"/>
  <c r="O15" i="8" s="1"/>
  <c r="T15" i="8" s="1"/>
  <c r="F13" i="6"/>
  <c r="P17" i="9"/>
  <c r="G17" i="9"/>
  <c r="H17" i="7"/>
  <c r="S17" i="9"/>
  <c r="J17" i="9"/>
  <c r="F12" i="16"/>
  <c r="F13" i="10"/>
  <c r="F14" i="11"/>
  <c r="K17" i="7"/>
  <c r="F14" i="4"/>
  <c r="O14" i="4" l="1"/>
  <c r="M14" i="4"/>
  <c r="M14" i="11"/>
  <c r="O14" i="11"/>
  <c r="O13" i="10"/>
  <c r="M13" i="10"/>
  <c r="P13" i="10"/>
  <c r="S12" i="16"/>
  <c r="U12" i="16"/>
  <c r="O13" i="6"/>
  <c r="M13" i="6"/>
  <c r="I16" i="9"/>
  <c r="F17" i="9" s="1"/>
  <c r="K16" i="9"/>
  <c r="I17" i="7"/>
  <c r="F18" i="7"/>
  <c r="E18" i="9"/>
  <c r="H17" i="9"/>
  <c r="L16" i="7"/>
  <c r="J16" i="7"/>
  <c r="G17" i="7" s="1"/>
  <c r="I17" i="3"/>
  <c r="F18" i="3" s="1"/>
  <c r="K17" i="3"/>
  <c r="N18" i="9"/>
  <c r="Q17" i="9"/>
  <c r="I17" i="8"/>
  <c r="F18" i="8" s="1"/>
  <c r="K17" i="8"/>
  <c r="R15" i="9"/>
  <c r="O16" i="9" s="1"/>
  <c r="T16" i="9" s="1"/>
  <c r="R15" i="8"/>
  <c r="O16" i="8" s="1"/>
  <c r="T16" i="8" s="1"/>
  <c r="K18" i="7"/>
  <c r="J18" i="9"/>
  <c r="S18" i="9"/>
  <c r="P18" i="9"/>
  <c r="F13" i="16"/>
  <c r="F15" i="4"/>
  <c r="F14" i="10"/>
  <c r="G18" i="9"/>
  <c r="H18" i="7"/>
  <c r="F15" i="11"/>
  <c r="F14" i="6"/>
  <c r="O14" i="6" l="1"/>
  <c r="M14" i="6"/>
  <c r="M15" i="11"/>
  <c r="O15" i="11"/>
  <c r="O14" i="10"/>
  <c r="M14" i="10"/>
  <c r="O15" i="4"/>
  <c r="M15" i="4"/>
  <c r="U13" i="16"/>
  <c r="S13" i="16"/>
  <c r="E19" i="9"/>
  <c r="H18" i="9"/>
  <c r="N19" i="9"/>
  <c r="Q18" i="9"/>
  <c r="I18" i="7"/>
  <c r="F19" i="7"/>
  <c r="I18" i="8"/>
  <c r="F19" i="8" s="1"/>
  <c r="K18" i="8"/>
  <c r="I18" i="3"/>
  <c r="F19" i="3" s="1"/>
  <c r="K18" i="3"/>
  <c r="I17" i="9"/>
  <c r="F18" i="9" s="1"/>
  <c r="K17" i="9"/>
  <c r="L17" i="7"/>
  <c r="J17" i="7"/>
  <c r="G18" i="7" s="1"/>
  <c r="R16" i="9"/>
  <c r="O17" i="9" s="1"/>
  <c r="T17" i="9" s="1"/>
  <c r="R16" i="8"/>
  <c r="O17" i="8" s="1"/>
  <c r="T17" i="8" s="1"/>
  <c r="F16" i="4"/>
  <c r="G19" i="9"/>
  <c r="K19" i="7"/>
  <c r="S19" i="9"/>
  <c r="F15" i="6"/>
  <c r="P19" i="9"/>
  <c r="J19" i="9"/>
  <c r="H19" i="7"/>
  <c r="F16" i="11"/>
  <c r="F15" i="10"/>
  <c r="F14" i="16"/>
  <c r="U14" i="16" l="1"/>
  <c r="S14" i="16"/>
  <c r="O15" i="10"/>
  <c r="P15" i="10"/>
  <c r="M15" i="10"/>
  <c r="M16" i="11"/>
  <c r="O16" i="11"/>
  <c r="O15" i="6"/>
  <c r="M15" i="6"/>
  <c r="O16" i="4"/>
  <c r="M16" i="4"/>
  <c r="P14" i="10"/>
  <c r="I19" i="7"/>
  <c r="F20" i="7"/>
  <c r="I18" i="9"/>
  <c r="F19" i="9" s="1"/>
  <c r="K18" i="9"/>
  <c r="N20" i="9"/>
  <c r="Q19" i="9"/>
  <c r="I19" i="3"/>
  <c r="F20" i="3" s="1"/>
  <c r="K19" i="3"/>
  <c r="E20" i="9"/>
  <c r="H19" i="9"/>
  <c r="L18" i="7"/>
  <c r="J18" i="7"/>
  <c r="G19" i="7" s="1"/>
  <c r="I19" i="8"/>
  <c r="F20" i="8" s="1"/>
  <c r="K19" i="8"/>
  <c r="R17" i="9"/>
  <c r="O18" i="9" s="1"/>
  <c r="T18" i="9" s="1"/>
  <c r="R17" i="8"/>
  <c r="O18" i="8" s="1"/>
  <c r="T18" i="8" s="1"/>
  <c r="F16" i="10"/>
  <c r="F16" i="6"/>
  <c r="J20" i="9"/>
  <c r="K20" i="7"/>
  <c r="F15" i="16"/>
  <c r="F17" i="11"/>
  <c r="G20" i="9"/>
  <c r="S20" i="9"/>
  <c r="F17" i="4"/>
  <c r="P20" i="9"/>
  <c r="H20" i="7"/>
  <c r="O17" i="4" l="1"/>
  <c r="M17" i="4"/>
  <c r="M17" i="11"/>
  <c r="O17" i="11"/>
  <c r="U15" i="16"/>
  <c r="S15" i="16"/>
  <c r="O16" i="6"/>
  <c r="M16" i="6"/>
  <c r="O16" i="10"/>
  <c r="M16" i="10"/>
  <c r="I20" i="8"/>
  <c r="F21" i="8" s="1"/>
  <c r="K20" i="8"/>
  <c r="N21" i="9"/>
  <c r="Q20" i="9"/>
  <c r="L19" i="7"/>
  <c r="J19" i="7"/>
  <c r="G20" i="7" s="1"/>
  <c r="I19" i="9"/>
  <c r="F20" i="9" s="1"/>
  <c r="K19" i="9"/>
  <c r="E21" i="9"/>
  <c r="H20" i="9"/>
  <c r="I20" i="7"/>
  <c r="F21" i="7"/>
  <c r="I20" i="3"/>
  <c r="F21" i="3" s="1"/>
  <c r="K20" i="3"/>
  <c r="R18" i="9"/>
  <c r="O19" i="9" s="1"/>
  <c r="T19" i="9" s="1"/>
  <c r="R18" i="8"/>
  <c r="O19" i="8" s="1"/>
  <c r="T19" i="8" s="1"/>
  <c r="K21" i="7"/>
  <c r="P21" i="9"/>
  <c r="F17" i="6"/>
  <c r="H21" i="7"/>
  <c r="F18" i="4"/>
  <c r="F16" i="16"/>
  <c r="J21" i="9"/>
  <c r="G21" i="9"/>
  <c r="F18" i="11"/>
  <c r="F17" i="10"/>
  <c r="S21" i="9"/>
  <c r="O17" i="10" l="1"/>
  <c r="M17" i="10"/>
  <c r="O18" i="11"/>
  <c r="M18" i="11"/>
  <c r="U16" i="16"/>
  <c r="S16" i="16"/>
  <c r="O18" i="4"/>
  <c r="M18" i="4"/>
  <c r="O17" i="6"/>
  <c r="M17" i="6"/>
  <c r="P16" i="10"/>
  <c r="I21" i="3"/>
  <c r="F22" i="3" s="1"/>
  <c r="K21" i="3"/>
  <c r="L20" i="7"/>
  <c r="J20" i="7"/>
  <c r="G21" i="7" s="1"/>
  <c r="I21" i="7"/>
  <c r="F22" i="7"/>
  <c r="N22" i="9"/>
  <c r="Q21" i="9"/>
  <c r="E22" i="9"/>
  <c r="H21" i="9"/>
  <c r="I21" i="8"/>
  <c r="F22" i="8" s="1"/>
  <c r="K21" i="8"/>
  <c r="I20" i="9"/>
  <c r="F21" i="9" s="1"/>
  <c r="K20" i="9"/>
  <c r="R19" i="9"/>
  <c r="O20" i="9" s="1"/>
  <c r="T20" i="9" s="1"/>
  <c r="R19" i="8"/>
  <c r="O20" i="8" s="1"/>
  <c r="T20" i="8" s="1"/>
  <c r="F19" i="11"/>
  <c r="F19" i="4"/>
  <c r="S22" i="9"/>
  <c r="J22" i="9"/>
  <c r="H22" i="7"/>
  <c r="P22" i="9"/>
  <c r="G22" i="9"/>
  <c r="F18" i="6"/>
  <c r="F18" i="10"/>
  <c r="F17" i="16"/>
  <c r="K22" i="7"/>
  <c r="U17" i="16" l="1"/>
  <c r="S17" i="16"/>
  <c r="P18" i="10"/>
  <c r="O18" i="10"/>
  <c r="M18" i="10"/>
  <c r="O18" i="6"/>
  <c r="M18" i="6"/>
  <c r="O19" i="4"/>
  <c r="M19" i="4"/>
  <c r="M19" i="11"/>
  <c r="O19" i="11"/>
  <c r="P17" i="10"/>
  <c r="I22" i="7"/>
  <c r="F23" i="7"/>
  <c r="I21" i="9"/>
  <c r="F22" i="9" s="1"/>
  <c r="K21" i="9"/>
  <c r="L21" i="7"/>
  <c r="J21" i="7"/>
  <c r="G22" i="7" s="1"/>
  <c r="I22" i="8"/>
  <c r="F23" i="8" s="1"/>
  <c r="K22" i="8"/>
  <c r="E23" i="9"/>
  <c r="H22" i="9"/>
  <c r="I22" i="3"/>
  <c r="F23" i="3" s="1"/>
  <c r="K22" i="3"/>
  <c r="N23" i="9"/>
  <c r="Q22" i="9"/>
  <c r="R20" i="9"/>
  <c r="O21" i="9" s="1"/>
  <c r="T21" i="9" s="1"/>
  <c r="R20" i="8"/>
  <c r="O21" i="8" s="1"/>
  <c r="T21" i="8" s="1"/>
  <c r="F19" i="10"/>
  <c r="F20" i="4"/>
  <c r="J23" i="9"/>
  <c r="K23" i="7"/>
  <c r="G23" i="9"/>
  <c r="H23" i="7"/>
  <c r="F18" i="16"/>
  <c r="F20" i="11"/>
  <c r="S23" i="9"/>
  <c r="F19" i="6"/>
  <c r="P23" i="9"/>
  <c r="O19" i="6" l="1"/>
  <c r="M19" i="6"/>
  <c r="O20" i="11"/>
  <c r="M20" i="11"/>
  <c r="U18" i="16"/>
  <c r="S18" i="16"/>
  <c r="O20" i="4"/>
  <c r="M20" i="4"/>
  <c r="O19" i="10"/>
  <c r="M19" i="10"/>
  <c r="P19" i="10" s="1"/>
  <c r="N24" i="9"/>
  <c r="Q23" i="9"/>
  <c r="L22" i="7"/>
  <c r="J22" i="7"/>
  <c r="G23" i="7" s="1"/>
  <c r="I23" i="3"/>
  <c r="F24" i="3" s="1"/>
  <c r="K23" i="3"/>
  <c r="I22" i="9"/>
  <c r="F23" i="9" s="1"/>
  <c r="K22" i="9"/>
  <c r="I23" i="7"/>
  <c r="F24" i="7"/>
  <c r="E24" i="9"/>
  <c r="H23" i="9"/>
  <c r="I23" i="8"/>
  <c r="F24" i="8" s="1"/>
  <c r="K23" i="8"/>
  <c r="R21" i="9"/>
  <c r="O22" i="9" s="1"/>
  <c r="T22" i="9" s="1"/>
  <c r="R21" i="8"/>
  <c r="O22" i="8" s="1"/>
  <c r="T22" i="8" s="1"/>
  <c r="P24" i="9"/>
  <c r="H24" i="7"/>
  <c r="K24" i="7"/>
  <c r="F20" i="6"/>
  <c r="F19" i="16"/>
  <c r="F20" i="10"/>
  <c r="J24" i="9"/>
  <c r="S24" i="9"/>
  <c r="G24" i="9"/>
  <c r="F21" i="11"/>
  <c r="F21" i="4"/>
  <c r="M21" i="4" l="1"/>
  <c r="O21" i="4"/>
  <c r="O21" i="11"/>
  <c r="M21" i="11"/>
  <c r="P20" i="10"/>
  <c r="M20" i="10"/>
  <c r="O20" i="10"/>
  <c r="S19" i="16"/>
  <c r="U19" i="16"/>
  <c r="O20" i="6"/>
  <c r="M20" i="6"/>
  <c r="I24" i="3"/>
  <c r="F25" i="3" s="1"/>
  <c r="K24" i="3"/>
  <c r="E25" i="9"/>
  <c r="H24" i="9"/>
  <c r="L23" i="7"/>
  <c r="J23" i="7"/>
  <c r="G24" i="7" s="1"/>
  <c r="I24" i="7"/>
  <c r="F25" i="7"/>
  <c r="I24" i="8"/>
  <c r="F25" i="8" s="1"/>
  <c r="K24" i="8"/>
  <c r="N25" i="9"/>
  <c r="Q24" i="9"/>
  <c r="I23" i="9"/>
  <c r="F24" i="9" s="1"/>
  <c r="K23" i="9"/>
  <c r="R22" i="9"/>
  <c r="O23" i="9" s="1"/>
  <c r="T23" i="9" s="1"/>
  <c r="R22" i="8"/>
  <c r="O23" i="8" s="1"/>
  <c r="T23" i="8" s="1"/>
  <c r="F22" i="4"/>
  <c r="K25" i="7"/>
  <c r="P25" i="9"/>
  <c r="F21" i="6"/>
  <c r="F20" i="16"/>
  <c r="F21" i="10"/>
  <c r="J25" i="9"/>
  <c r="G25" i="9"/>
  <c r="F22" i="11"/>
  <c r="H25" i="7"/>
  <c r="S25" i="9"/>
  <c r="M22" i="11" l="1"/>
  <c r="O22" i="11"/>
  <c r="O21" i="10"/>
  <c r="M21" i="10"/>
  <c r="S20" i="16"/>
  <c r="U20" i="16"/>
  <c r="O21" i="6"/>
  <c r="M21" i="6"/>
  <c r="O22" i="4"/>
  <c r="M22" i="4"/>
  <c r="I24" i="9"/>
  <c r="F25" i="9" s="1"/>
  <c r="K24" i="9"/>
  <c r="N26" i="9"/>
  <c r="Q25" i="9"/>
  <c r="E26" i="9"/>
  <c r="H25" i="9"/>
  <c r="I25" i="8"/>
  <c r="F26" i="8" s="1"/>
  <c r="K25" i="8"/>
  <c r="I25" i="7"/>
  <c r="F26" i="7"/>
  <c r="I25" i="3"/>
  <c r="F26" i="3" s="1"/>
  <c r="K25" i="3"/>
  <c r="L24" i="7"/>
  <c r="J24" i="7"/>
  <c r="G25" i="7" s="1"/>
  <c r="R23" i="9"/>
  <c r="O24" i="9" s="1"/>
  <c r="T24" i="9" s="1"/>
  <c r="R23" i="8"/>
  <c r="O24" i="8" s="1"/>
  <c r="T24" i="8" s="1"/>
  <c r="F23" i="11"/>
  <c r="F22" i="6"/>
  <c r="K26" i="7"/>
  <c r="J26" i="9"/>
  <c r="S26" i="9"/>
  <c r="G26" i="9"/>
  <c r="F21" i="16"/>
  <c r="F23" i="4"/>
  <c r="P26" i="9"/>
  <c r="F22" i="10"/>
  <c r="H26" i="7"/>
  <c r="O22" i="10" l="1"/>
  <c r="P22" i="10"/>
  <c r="M22" i="10"/>
  <c r="O23" i="4"/>
  <c r="M23" i="4"/>
  <c r="S21" i="16"/>
  <c r="U21" i="16"/>
  <c r="O22" i="6"/>
  <c r="M22" i="6"/>
  <c r="M23" i="11"/>
  <c r="O23" i="11"/>
  <c r="P21" i="10"/>
  <c r="E27" i="9"/>
  <c r="H26" i="9"/>
  <c r="I26" i="3"/>
  <c r="F27" i="3" s="1"/>
  <c r="K26" i="3"/>
  <c r="I26" i="7"/>
  <c r="F27" i="7"/>
  <c r="N27" i="9"/>
  <c r="Q26" i="9"/>
  <c r="I25" i="9"/>
  <c r="F26" i="9" s="1"/>
  <c r="K25" i="9"/>
  <c r="I26" i="8"/>
  <c r="F27" i="8" s="1"/>
  <c r="K26" i="8"/>
  <c r="L25" i="7"/>
  <c r="J25" i="7"/>
  <c r="G26" i="7" s="1"/>
  <c r="R24" i="9"/>
  <c r="O25" i="9" s="1"/>
  <c r="T25" i="9" s="1"/>
  <c r="R24" i="8"/>
  <c r="O25" i="8" s="1"/>
  <c r="T25" i="8" s="1"/>
  <c r="F24" i="4"/>
  <c r="F23" i="6"/>
  <c r="S27" i="9"/>
  <c r="J27" i="9"/>
  <c r="P27" i="9"/>
  <c r="G27" i="9"/>
  <c r="K27" i="7"/>
  <c r="F22" i="16"/>
  <c r="F24" i="11"/>
  <c r="F23" i="10"/>
  <c r="H27" i="7"/>
  <c r="O23" i="10" l="1"/>
  <c r="M23" i="10"/>
  <c r="P23" i="10"/>
  <c r="M24" i="11"/>
  <c r="O24" i="11"/>
  <c r="U22" i="16"/>
  <c r="S22" i="16"/>
  <c r="O23" i="6"/>
  <c r="M23" i="6"/>
  <c r="O24" i="4"/>
  <c r="M24" i="4"/>
  <c r="K26" i="9"/>
  <c r="I26" i="9"/>
  <c r="F27" i="9" s="1"/>
  <c r="L26" i="7"/>
  <c r="J26" i="7"/>
  <c r="G27" i="7" s="1"/>
  <c r="I27" i="7"/>
  <c r="F28" i="7"/>
  <c r="I27" i="8"/>
  <c r="F28" i="8" s="1"/>
  <c r="K27" i="8"/>
  <c r="I27" i="3"/>
  <c r="F28" i="3" s="1"/>
  <c r="K27" i="3"/>
  <c r="E28" i="9"/>
  <c r="H27" i="9"/>
  <c r="N28" i="9"/>
  <c r="Q27" i="9"/>
  <c r="R25" i="9"/>
  <c r="O26" i="9" s="1"/>
  <c r="T26" i="9" s="1"/>
  <c r="R25" i="8"/>
  <c r="O26" i="8" s="1"/>
  <c r="T26" i="8" s="1"/>
  <c r="F24" i="6"/>
  <c r="P28" i="9"/>
  <c r="H28" i="7"/>
  <c r="K28" i="7"/>
  <c r="S28" i="9"/>
  <c r="F24" i="10"/>
  <c r="J28" i="9"/>
  <c r="G28" i="9"/>
  <c r="F23" i="16"/>
  <c r="F25" i="4"/>
  <c r="F25" i="11"/>
  <c r="O25" i="11" l="1"/>
  <c r="M25" i="11"/>
  <c r="M25" i="4"/>
  <c r="O25" i="4"/>
  <c r="S23" i="16"/>
  <c r="U23" i="16"/>
  <c r="O24" i="10"/>
  <c r="P24" i="10"/>
  <c r="M24" i="10"/>
  <c r="O24" i="6"/>
  <c r="M24" i="6"/>
  <c r="I28" i="7"/>
  <c r="F29" i="7"/>
  <c r="L27" i="7"/>
  <c r="J27" i="7"/>
  <c r="G28" i="7" s="1"/>
  <c r="E29" i="9"/>
  <c r="H28" i="9"/>
  <c r="N29" i="9"/>
  <c r="Q28" i="9"/>
  <c r="I27" i="9"/>
  <c r="F28" i="9" s="1"/>
  <c r="K27" i="9"/>
  <c r="I28" i="3"/>
  <c r="F29" i="3" s="1"/>
  <c r="K28" i="3"/>
  <c r="I28" i="8"/>
  <c r="F29" i="8" s="1"/>
  <c r="K28" i="8"/>
  <c r="R26" i="9"/>
  <c r="O27" i="9" s="1"/>
  <c r="T27" i="9" s="1"/>
  <c r="R26" i="8"/>
  <c r="O27" i="8" s="1"/>
  <c r="T27" i="8" s="1"/>
  <c r="F24" i="16"/>
  <c r="F25" i="10"/>
  <c r="P29" i="9"/>
  <c r="J29" i="9"/>
  <c r="F26" i="11"/>
  <c r="H29" i="7"/>
  <c r="G29" i="9"/>
  <c r="S29" i="9"/>
  <c r="F26" i="4"/>
  <c r="F25" i="6"/>
  <c r="K29" i="7"/>
  <c r="O25" i="6" l="1"/>
  <c r="M25" i="6"/>
  <c r="O26" i="4"/>
  <c r="M26" i="4"/>
  <c r="M26" i="11"/>
  <c r="O26" i="11"/>
  <c r="M25" i="10"/>
  <c r="O25" i="10"/>
  <c r="U24" i="16"/>
  <c r="S24" i="16"/>
  <c r="E30" i="9"/>
  <c r="H29" i="9"/>
  <c r="L28" i="7"/>
  <c r="J28" i="7"/>
  <c r="G29" i="7" s="1"/>
  <c r="I29" i="3"/>
  <c r="F30" i="3" s="1"/>
  <c r="K29" i="3"/>
  <c r="I29" i="8"/>
  <c r="F30" i="8" s="1"/>
  <c r="K29" i="8"/>
  <c r="K28" i="9"/>
  <c r="I28" i="9"/>
  <c r="F29" i="9" s="1"/>
  <c r="I29" i="7"/>
  <c r="F30" i="7"/>
  <c r="N30" i="9"/>
  <c r="Q29" i="9"/>
  <c r="R27" i="9"/>
  <c r="O28" i="9" s="1"/>
  <c r="T28" i="9" s="1"/>
  <c r="R27" i="8"/>
  <c r="O28" i="8" s="1"/>
  <c r="T28" i="8" s="1"/>
  <c r="F27" i="11"/>
  <c r="K30" i="7"/>
  <c r="S30" i="9"/>
  <c r="J30" i="9"/>
  <c r="P30" i="9"/>
  <c r="F26" i="6"/>
  <c r="F26" i="10"/>
  <c r="F25" i="16"/>
  <c r="G30" i="9"/>
  <c r="H30" i="7"/>
  <c r="F27" i="4"/>
  <c r="O27" i="4" l="1"/>
  <c r="M27" i="4"/>
  <c r="S25" i="16"/>
  <c r="U25" i="16"/>
  <c r="P26" i="10"/>
  <c r="O26" i="10"/>
  <c r="M26" i="10"/>
  <c r="O26" i="6"/>
  <c r="M26" i="6"/>
  <c r="M27" i="11"/>
  <c r="O27" i="11"/>
  <c r="P25" i="10"/>
  <c r="N31" i="9"/>
  <c r="Q30" i="9"/>
  <c r="I30" i="7"/>
  <c r="F31" i="7"/>
  <c r="I30" i="3"/>
  <c r="F31" i="3" s="1"/>
  <c r="K30" i="3"/>
  <c r="L29" i="7"/>
  <c r="J29" i="7"/>
  <c r="G30" i="7" s="1"/>
  <c r="I29" i="9"/>
  <c r="F30" i="9" s="1"/>
  <c r="K29" i="9"/>
  <c r="E31" i="9"/>
  <c r="H30" i="9"/>
  <c r="I30" i="8"/>
  <c r="F31" i="8" s="1"/>
  <c r="K30" i="8"/>
  <c r="R28" i="9"/>
  <c r="O29" i="9" s="1"/>
  <c r="T29" i="9" s="1"/>
  <c r="R28" i="8"/>
  <c r="O29" i="8" s="1"/>
  <c r="T29" i="8" s="1"/>
  <c r="F27" i="6"/>
  <c r="J31" i="9"/>
  <c r="F28" i="4"/>
  <c r="F28" i="11"/>
  <c r="K31" i="7"/>
  <c r="G31" i="9"/>
  <c r="H31" i="7"/>
  <c r="F26" i="16"/>
  <c r="F27" i="10"/>
  <c r="S31" i="9"/>
  <c r="P31" i="9"/>
  <c r="O27" i="10" l="1"/>
  <c r="M27" i="10"/>
  <c r="P27" i="10" s="1"/>
  <c r="U26" i="16"/>
  <c r="S26" i="16"/>
  <c r="M28" i="11"/>
  <c r="O28" i="11"/>
  <c r="O28" i="4"/>
  <c r="M28" i="4"/>
  <c r="O27" i="6"/>
  <c r="M27" i="6"/>
  <c r="I31" i="8"/>
  <c r="F32" i="8" s="1"/>
  <c r="K31" i="8"/>
  <c r="I31" i="3"/>
  <c r="F32" i="3" s="1"/>
  <c r="K31" i="3"/>
  <c r="I31" i="7"/>
  <c r="F32" i="7"/>
  <c r="E32" i="9"/>
  <c r="H31" i="9"/>
  <c r="I30" i="9"/>
  <c r="F31" i="9" s="1"/>
  <c r="K30" i="9"/>
  <c r="N32" i="9"/>
  <c r="Q31" i="9"/>
  <c r="L30" i="7"/>
  <c r="J30" i="7"/>
  <c r="G31" i="7" s="1"/>
  <c r="R29" i="9"/>
  <c r="O30" i="9" s="1"/>
  <c r="T30" i="9" s="1"/>
  <c r="R29" i="8"/>
  <c r="O30" i="8" s="1"/>
  <c r="T30" i="8" s="1"/>
  <c r="F27" i="16"/>
  <c r="F28" i="10"/>
  <c r="F29" i="11"/>
  <c r="H32" i="7"/>
  <c r="F28" i="6"/>
  <c r="K32" i="7"/>
  <c r="J32" i="9"/>
  <c r="F29" i="4"/>
  <c r="S32" i="9"/>
  <c r="G32" i="9"/>
  <c r="P32" i="9"/>
  <c r="O29" i="4" l="1"/>
  <c r="M29" i="4"/>
  <c r="O28" i="6"/>
  <c r="M28" i="6"/>
  <c r="M29" i="11"/>
  <c r="O29" i="11"/>
  <c r="M28" i="10"/>
  <c r="O28" i="10"/>
  <c r="P28" i="10"/>
  <c r="S27" i="16"/>
  <c r="U27" i="16"/>
  <c r="L31" i="7"/>
  <c r="J31" i="7"/>
  <c r="G32" i="7" s="1"/>
  <c r="I32" i="7"/>
  <c r="F33" i="7"/>
  <c r="N33" i="9"/>
  <c r="Q32" i="9"/>
  <c r="I32" i="3"/>
  <c r="F33" i="3" s="1"/>
  <c r="K32" i="3"/>
  <c r="I31" i="9"/>
  <c r="F32" i="9" s="1"/>
  <c r="K31" i="9"/>
  <c r="I32" i="8"/>
  <c r="F33" i="8" s="1"/>
  <c r="K32" i="8"/>
  <c r="E33" i="9"/>
  <c r="H32" i="9"/>
  <c r="R30" i="9"/>
  <c r="O31" i="9" s="1"/>
  <c r="T31" i="9" s="1"/>
  <c r="R30" i="8"/>
  <c r="O31" i="8" s="1"/>
  <c r="T31" i="8" s="1"/>
  <c r="F30" i="11"/>
  <c r="F30" i="4"/>
  <c r="F28" i="16"/>
  <c r="P33" i="9"/>
  <c r="F29" i="10"/>
  <c r="H33" i="7"/>
  <c r="F29" i="6"/>
  <c r="S33" i="9"/>
  <c r="J33" i="9"/>
  <c r="K33" i="7"/>
  <c r="G33" i="9"/>
  <c r="O29" i="6" l="1"/>
  <c r="M29" i="6"/>
  <c r="O29" i="10"/>
  <c r="M29" i="10"/>
  <c r="U28" i="16"/>
  <c r="S28" i="16"/>
  <c r="O30" i="4"/>
  <c r="M30" i="4"/>
  <c r="O30" i="11"/>
  <c r="M30" i="11"/>
  <c r="E34" i="9"/>
  <c r="H33" i="9"/>
  <c r="N34" i="9"/>
  <c r="Q33" i="9"/>
  <c r="I33" i="7"/>
  <c r="F34" i="7"/>
  <c r="I33" i="8"/>
  <c r="F34" i="8" s="1"/>
  <c r="K33" i="8"/>
  <c r="L32" i="7"/>
  <c r="J32" i="7"/>
  <c r="G33" i="7" s="1"/>
  <c r="I32" i="9"/>
  <c r="F33" i="9" s="1"/>
  <c r="K32" i="9"/>
  <c r="I33" i="3"/>
  <c r="F34" i="3" s="1"/>
  <c r="K33" i="3"/>
  <c r="R31" i="9"/>
  <c r="O32" i="9" s="1"/>
  <c r="T32" i="9" s="1"/>
  <c r="R31" i="8"/>
  <c r="O32" i="8" s="1"/>
  <c r="T32" i="8" s="1"/>
  <c r="F31" i="4"/>
  <c r="P34" i="9"/>
  <c r="F30" i="6"/>
  <c r="H34" i="7"/>
  <c r="F29" i="16"/>
  <c r="F31" i="11"/>
  <c r="K34" i="7"/>
  <c r="J34" i="9"/>
  <c r="S34" i="9"/>
  <c r="F30" i="10"/>
  <c r="G34" i="9"/>
  <c r="O30" i="10" l="1"/>
  <c r="M30" i="10"/>
  <c r="P30" i="10"/>
  <c r="M31" i="11"/>
  <c r="O31" i="11"/>
  <c r="S29" i="16"/>
  <c r="U29" i="16"/>
  <c r="O30" i="6"/>
  <c r="M30" i="6"/>
  <c r="M31" i="4"/>
  <c r="O31" i="4"/>
  <c r="P29" i="10"/>
  <c r="I33" i="9"/>
  <c r="F34" i="9" s="1"/>
  <c r="K33" i="9"/>
  <c r="N35" i="9"/>
  <c r="Q34" i="9"/>
  <c r="L33" i="7"/>
  <c r="J33" i="7"/>
  <c r="G34" i="7" s="1"/>
  <c r="I34" i="3"/>
  <c r="F35" i="3" s="1"/>
  <c r="K34" i="3"/>
  <c r="E35" i="9"/>
  <c r="H34" i="9"/>
  <c r="I34" i="8"/>
  <c r="F35" i="8" s="1"/>
  <c r="K34" i="8"/>
  <c r="I34" i="7"/>
  <c r="F35" i="7"/>
  <c r="R32" i="9"/>
  <c r="O33" i="9" s="1"/>
  <c r="T33" i="9" s="1"/>
  <c r="R32" i="8"/>
  <c r="O33" i="8" s="1"/>
  <c r="T33" i="8" s="1"/>
  <c r="F31" i="6"/>
  <c r="F31" i="10"/>
  <c r="F30" i="16"/>
  <c r="F32" i="4"/>
  <c r="K35" i="7"/>
  <c r="P35" i="9"/>
  <c r="J35" i="9"/>
  <c r="H35" i="7"/>
  <c r="S35" i="9"/>
  <c r="F32" i="11"/>
  <c r="G35" i="9"/>
  <c r="M32" i="11" l="1"/>
  <c r="O32" i="11"/>
  <c r="O32" i="4"/>
  <c r="M32" i="4"/>
  <c r="S30" i="16"/>
  <c r="U30" i="16"/>
  <c r="O31" i="10"/>
  <c r="M31" i="10"/>
  <c r="P31" i="10"/>
  <c r="O31" i="6"/>
  <c r="M31" i="6"/>
  <c r="L34" i="7"/>
  <c r="J34" i="7"/>
  <c r="G35" i="7" s="1"/>
  <c r="I35" i="8"/>
  <c r="F36" i="8" s="1"/>
  <c r="K35" i="8"/>
  <c r="N36" i="9"/>
  <c r="Q35" i="9"/>
  <c r="E36" i="9"/>
  <c r="H35" i="9"/>
  <c r="I34" i="9"/>
  <c r="F35" i="9" s="1"/>
  <c r="K34" i="9"/>
  <c r="I35" i="3"/>
  <c r="F36" i="3" s="1"/>
  <c r="K35" i="3"/>
  <c r="I35" i="7"/>
  <c r="F36" i="7"/>
  <c r="R33" i="9"/>
  <c r="O34" i="9" s="1"/>
  <c r="T34" i="9" s="1"/>
  <c r="R33" i="8"/>
  <c r="O34" i="8" s="1"/>
  <c r="T34" i="8" s="1"/>
  <c r="F33" i="11"/>
  <c r="P36" i="9"/>
  <c r="K36" i="7"/>
  <c r="H36" i="7"/>
  <c r="F32" i="6"/>
  <c r="J36" i="9"/>
  <c r="F32" i="10"/>
  <c r="F31" i="16"/>
  <c r="F33" i="4"/>
  <c r="G36" i="9"/>
  <c r="S36" i="9"/>
  <c r="O33" i="4" l="1"/>
  <c r="M33" i="4"/>
  <c r="U31" i="16"/>
  <c r="S31" i="16"/>
  <c r="O32" i="10"/>
  <c r="M32" i="10"/>
  <c r="P32" i="10"/>
  <c r="O32" i="6"/>
  <c r="M32" i="6"/>
  <c r="M33" i="11"/>
  <c r="O33" i="11"/>
  <c r="I36" i="3"/>
  <c r="F37" i="3" s="1"/>
  <c r="K36" i="3"/>
  <c r="I36" i="8"/>
  <c r="F37" i="8" s="1"/>
  <c r="K36" i="8"/>
  <c r="L35" i="7"/>
  <c r="J35" i="7"/>
  <c r="G36" i="7" s="1"/>
  <c r="E37" i="9"/>
  <c r="H36" i="9"/>
  <c r="I36" i="7"/>
  <c r="F37" i="7"/>
  <c r="I35" i="9"/>
  <c r="F36" i="9" s="1"/>
  <c r="K35" i="9"/>
  <c r="N37" i="9"/>
  <c r="Q36" i="9"/>
  <c r="R34" i="9"/>
  <c r="O35" i="9" s="1"/>
  <c r="T35" i="9" s="1"/>
  <c r="R34" i="8"/>
  <c r="O35" i="8" s="1"/>
  <c r="T35" i="8" s="1"/>
  <c r="F33" i="6"/>
  <c r="K37" i="7"/>
  <c r="J37" i="9"/>
  <c r="F34" i="4"/>
  <c r="F33" i="10"/>
  <c r="F34" i="11"/>
  <c r="S37" i="9"/>
  <c r="G37" i="9"/>
  <c r="H37" i="7"/>
  <c r="P37" i="9"/>
  <c r="F32" i="16"/>
  <c r="U32" i="16" l="1"/>
  <c r="S32" i="16"/>
  <c r="O34" i="11"/>
  <c r="M34" i="11"/>
  <c r="O33" i="10"/>
  <c r="M33" i="10"/>
  <c r="P33" i="10" s="1"/>
  <c r="O34" i="4"/>
  <c r="M34" i="4"/>
  <c r="O33" i="6"/>
  <c r="M33" i="6"/>
  <c r="L36" i="7"/>
  <c r="J36" i="7"/>
  <c r="G37" i="7" s="1"/>
  <c r="K36" i="9"/>
  <c r="I36" i="9"/>
  <c r="F37" i="9" s="1"/>
  <c r="I37" i="7"/>
  <c r="F38" i="7"/>
  <c r="I37" i="8"/>
  <c r="F38" i="8" s="1"/>
  <c r="K37" i="8"/>
  <c r="I37" i="3"/>
  <c r="F38" i="3" s="1"/>
  <c r="K37" i="3"/>
  <c r="E38" i="9"/>
  <c r="H37" i="9"/>
  <c r="N38" i="9"/>
  <c r="Q37" i="9"/>
  <c r="R35" i="9"/>
  <c r="O36" i="9" s="1"/>
  <c r="T36" i="9" s="1"/>
  <c r="R35" i="8"/>
  <c r="O36" i="8" s="1"/>
  <c r="T36" i="8" s="1"/>
  <c r="F35" i="4"/>
  <c r="H38" i="7"/>
  <c r="S38" i="9"/>
  <c r="K38" i="7"/>
  <c r="P38" i="9"/>
  <c r="G38" i="9"/>
  <c r="F33" i="16"/>
  <c r="F34" i="10"/>
  <c r="F34" i="6"/>
  <c r="J38" i="9"/>
  <c r="F35" i="11"/>
  <c r="M35" i="11" l="1"/>
  <c r="O35" i="11"/>
  <c r="O34" i="6"/>
  <c r="M34" i="6"/>
  <c r="O34" i="10"/>
  <c r="M34" i="10"/>
  <c r="U33" i="16"/>
  <c r="S33" i="16"/>
  <c r="O35" i="4"/>
  <c r="M35" i="4"/>
  <c r="N39" i="9"/>
  <c r="Q38" i="9"/>
  <c r="E39" i="9"/>
  <c r="H38" i="9"/>
  <c r="I37" i="9"/>
  <c r="F38" i="9" s="1"/>
  <c r="K37" i="9"/>
  <c r="I38" i="3"/>
  <c r="F39" i="3" s="1"/>
  <c r="K38" i="3"/>
  <c r="L37" i="7"/>
  <c r="J37" i="7"/>
  <c r="G38" i="7" s="1"/>
  <c r="I38" i="8"/>
  <c r="F39" i="8" s="1"/>
  <c r="K38" i="8"/>
  <c r="I38" i="7"/>
  <c r="F39" i="7"/>
  <c r="R36" i="8"/>
  <c r="O37" i="8" s="1"/>
  <c r="T37" i="8" s="1"/>
  <c r="F36" i="11"/>
  <c r="F34" i="16"/>
  <c r="P39" i="9"/>
  <c r="K39" i="7"/>
  <c r="S39" i="9"/>
  <c r="J39" i="9"/>
  <c r="F35" i="6"/>
  <c r="F35" i="10"/>
  <c r="F36" i="4"/>
  <c r="G39" i="9"/>
  <c r="H39" i="7"/>
  <c r="O36" i="4" l="1"/>
  <c r="M36" i="4"/>
  <c r="O35" i="10"/>
  <c r="M35" i="10"/>
  <c r="P35" i="10"/>
  <c r="O35" i="6"/>
  <c r="M35" i="6"/>
  <c r="U34" i="16"/>
  <c r="S34" i="16"/>
  <c r="M36" i="11"/>
  <c r="O36" i="11"/>
  <c r="P34" i="10"/>
  <c r="I39" i="8"/>
  <c r="F40" i="8" s="1"/>
  <c r="K39" i="8"/>
  <c r="I38" i="9"/>
  <c r="F39" i="9" s="1"/>
  <c r="K38" i="9"/>
  <c r="L38" i="7"/>
  <c r="J38" i="7"/>
  <c r="G39" i="7" s="1"/>
  <c r="E40" i="9"/>
  <c r="H39" i="9"/>
  <c r="N40" i="9"/>
  <c r="Q39" i="9"/>
  <c r="I39" i="7"/>
  <c r="F40" i="7"/>
  <c r="I39" i="3"/>
  <c r="F40" i="3" s="1"/>
  <c r="K39" i="3"/>
  <c r="R37" i="8"/>
  <c r="O38" i="8" s="1"/>
  <c r="T38" i="8" s="1"/>
  <c r="F35" i="16"/>
  <c r="F37" i="4"/>
  <c r="F37" i="11"/>
  <c r="G40" i="9"/>
  <c r="K40" i="7"/>
  <c r="F36" i="6"/>
  <c r="S40" i="9"/>
  <c r="J40" i="9"/>
  <c r="H40" i="7"/>
  <c r="F36" i="10"/>
  <c r="P40" i="9"/>
  <c r="O36" i="10" l="1"/>
  <c r="M36" i="10"/>
  <c r="P36" i="10" s="1"/>
  <c r="O36" i="6"/>
  <c r="M36" i="6"/>
  <c r="M37" i="11"/>
  <c r="O37" i="11"/>
  <c r="O37" i="4"/>
  <c r="M37" i="4"/>
  <c r="S35" i="16"/>
  <c r="U35" i="16"/>
  <c r="I40" i="3"/>
  <c r="F41" i="3" s="1"/>
  <c r="K40" i="3"/>
  <c r="I40" i="7"/>
  <c r="F41" i="7"/>
  <c r="I39" i="9"/>
  <c r="F40" i="9" s="1"/>
  <c r="K39" i="9"/>
  <c r="N41" i="9"/>
  <c r="Q40" i="9"/>
  <c r="I40" i="8"/>
  <c r="F41" i="8" s="1"/>
  <c r="K40" i="8"/>
  <c r="E41" i="9"/>
  <c r="H40" i="9"/>
  <c r="L39" i="7"/>
  <c r="J39" i="7"/>
  <c r="G40" i="7" s="1"/>
  <c r="R38" i="8"/>
  <c r="O39" i="8" s="1"/>
  <c r="T39" i="8" s="1"/>
  <c r="F37" i="6"/>
  <c r="F38" i="4"/>
  <c r="F37" i="10"/>
  <c r="F38" i="11"/>
  <c r="F36" i="16"/>
  <c r="K41" i="7"/>
  <c r="S41" i="9"/>
  <c r="G41" i="9"/>
  <c r="J41" i="9"/>
  <c r="P41" i="9"/>
  <c r="H41" i="7"/>
  <c r="U36" i="16" l="1"/>
  <c r="S36" i="16"/>
  <c r="M38" i="11"/>
  <c r="O38" i="11"/>
  <c r="O37" i="10"/>
  <c r="M37" i="10"/>
  <c r="P37" i="10"/>
  <c r="O38" i="4"/>
  <c r="M38" i="4"/>
  <c r="O37" i="6"/>
  <c r="M37" i="6"/>
  <c r="E42" i="9"/>
  <c r="H41" i="9"/>
  <c r="I41" i="7"/>
  <c r="F42" i="7"/>
  <c r="I41" i="8"/>
  <c r="F42" i="8" s="1"/>
  <c r="K41" i="8"/>
  <c r="N42" i="9"/>
  <c r="Q41" i="9"/>
  <c r="I41" i="3"/>
  <c r="F42" i="3" s="1"/>
  <c r="K41" i="3"/>
  <c r="L40" i="7"/>
  <c r="J40" i="7"/>
  <c r="G41" i="7" s="1"/>
  <c r="K40" i="9"/>
  <c r="I40" i="9"/>
  <c r="F41" i="9" s="1"/>
  <c r="R39" i="8"/>
  <c r="O40" i="8" s="1"/>
  <c r="T40" i="8" s="1"/>
  <c r="F39" i="4"/>
  <c r="K42" i="7"/>
  <c r="F37" i="16"/>
  <c r="F38" i="10"/>
  <c r="S42" i="9"/>
  <c r="F39" i="11"/>
  <c r="F38" i="6"/>
  <c r="P42" i="9"/>
  <c r="H42" i="7"/>
  <c r="J42" i="9"/>
  <c r="G42" i="9"/>
  <c r="O38" i="6" l="1"/>
  <c r="M38" i="6"/>
  <c r="O39" i="11"/>
  <c r="M39" i="11"/>
  <c r="O38" i="10"/>
  <c r="M38" i="10"/>
  <c r="P38" i="10"/>
  <c r="U37" i="16"/>
  <c r="S37" i="16"/>
  <c r="M39" i="4"/>
  <c r="O39" i="4"/>
  <c r="L41" i="7"/>
  <c r="J41" i="7"/>
  <c r="G42" i="7" s="1"/>
  <c r="F43" i="7"/>
  <c r="I42" i="7"/>
  <c r="I42" i="3"/>
  <c r="F43" i="3" s="1"/>
  <c r="K42" i="3"/>
  <c r="N43" i="9"/>
  <c r="Q42" i="9"/>
  <c r="E43" i="9"/>
  <c r="H42" i="9"/>
  <c r="I41" i="9"/>
  <c r="F42" i="9" s="1"/>
  <c r="K41" i="9"/>
  <c r="I42" i="8"/>
  <c r="F43" i="8" s="1"/>
  <c r="K42" i="8"/>
  <c r="R40" i="8"/>
  <c r="O41" i="8" s="1"/>
  <c r="T41" i="8" s="1"/>
  <c r="F38" i="16"/>
  <c r="K43" i="7"/>
  <c r="G43" i="9"/>
  <c r="F40" i="11"/>
  <c r="H43" i="7"/>
  <c r="J43" i="9"/>
  <c r="F39" i="6"/>
  <c r="F39" i="10"/>
  <c r="F40" i="4"/>
  <c r="S43" i="9"/>
  <c r="P43" i="9"/>
  <c r="O40" i="4" l="1"/>
  <c r="M40" i="4"/>
  <c r="O39" i="10"/>
  <c r="M39" i="10"/>
  <c r="O39" i="6"/>
  <c r="M39" i="6"/>
  <c r="O40" i="11"/>
  <c r="M40" i="11"/>
  <c r="S38" i="16"/>
  <c r="U38" i="16"/>
  <c r="I42" i="9"/>
  <c r="F43" i="9" s="1"/>
  <c r="K42" i="9"/>
  <c r="E44" i="9"/>
  <c r="H43" i="9"/>
  <c r="I43" i="7"/>
  <c r="F44" i="7"/>
  <c r="I43" i="3"/>
  <c r="F44" i="3" s="1"/>
  <c r="K43" i="3"/>
  <c r="L42" i="7"/>
  <c r="J42" i="7"/>
  <c r="G43" i="7" s="1"/>
  <c r="N44" i="9"/>
  <c r="Q43" i="9"/>
  <c r="I43" i="8"/>
  <c r="F44" i="8" s="1"/>
  <c r="K43" i="8"/>
  <c r="R41" i="8"/>
  <c r="O42" i="8" s="1"/>
  <c r="T42" i="8" s="1"/>
  <c r="F41" i="11"/>
  <c r="K44" i="7"/>
  <c r="F41" i="4"/>
  <c r="F39" i="16"/>
  <c r="S44" i="9"/>
  <c r="F40" i="6"/>
  <c r="P44" i="9"/>
  <c r="J44" i="9"/>
  <c r="H44" i="7"/>
  <c r="G44" i="9"/>
  <c r="F40" i="10"/>
  <c r="O40" i="10" l="1"/>
  <c r="M40" i="10"/>
  <c r="O40" i="6"/>
  <c r="M40" i="6"/>
  <c r="S39" i="16"/>
  <c r="U39" i="16"/>
  <c r="O41" i="4"/>
  <c r="M41" i="4"/>
  <c r="M41" i="11"/>
  <c r="O41" i="11"/>
  <c r="P39" i="10"/>
  <c r="N45" i="9"/>
  <c r="Q44" i="9"/>
  <c r="E45" i="9"/>
  <c r="H44" i="9"/>
  <c r="L43" i="7"/>
  <c r="J43" i="7"/>
  <c r="G44" i="7" s="1"/>
  <c r="I43" i="9"/>
  <c r="F44" i="9" s="1"/>
  <c r="K43" i="9"/>
  <c r="I44" i="3"/>
  <c r="F45" i="3" s="1"/>
  <c r="K44" i="3"/>
  <c r="I44" i="8"/>
  <c r="F45" i="8" s="1"/>
  <c r="K44" i="8"/>
  <c r="I44" i="7"/>
  <c r="F45" i="7"/>
  <c r="R42" i="8"/>
  <c r="O43" i="8" s="1"/>
  <c r="T43" i="8" s="1"/>
  <c r="F41" i="6"/>
  <c r="F42" i="4"/>
  <c r="H45" i="7"/>
  <c r="J45" i="9"/>
  <c r="F40" i="16"/>
  <c r="F42" i="11"/>
  <c r="K45" i="7"/>
  <c r="G45" i="9"/>
  <c r="S45" i="9"/>
  <c r="F41" i="10"/>
  <c r="P45" i="9"/>
  <c r="O41" i="10" l="1"/>
  <c r="M41" i="10"/>
  <c r="P41" i="10" s="1"/>
  <c r="M42" i="11"/>
  <c r="O42" i="11"/>
  <c r="S40" i="16"/>
  <c r="U40" i="16"/>
  <c r="M42" i="4"/>
  <c r="O42" i="4"/>
  <c r="O41" i="6"/>
  <c r="M41" i="6"/>
  <c r="P40" i="10"/>
  <c r="I45" i="8"/>
  <c r="F46" i="8" s="1"/>
  <c r="K45" i="8"/>
  <c r="E46" i="9"/>
  <c r="H45" i="9"/>
  <c r="I45" i="3"/>
  <c r="F46" i="3" s="1"/>
  <c r="K45" i="3"/>
  <c r="N46" i="9"/>
  <c r="Q45" i="9"/>
  <c r="I44" i="9"/>
  <c r="F45" i="9" s="1"/>
  <c r="K44" i="9"/>
  <c r="I45" i="7"/>
  <c r="F46" i="7"/>
  <c r="L44" i="7"/>
  <c r="J44" i="7"/>
  <c r="G45" i="7" s="1"/>
  <c r="R43" i="8"/>
  <c r="O44" i="8" s="1"/>
  <c r="T44" i="8" s="1"/>
  <c r="F42" i="10"/>
  <c r="F41" i="16"/>
  <c r="P46" i="9"/>
  <c r="G46" i="9"/>
  <c r="S46" i="9"/>
  <c r="J46" i="9"/>
  <c r="F42" i="6"/>
  <c r="H46" i="7"/>
  <c r="F43" i="4"/>
  <c r="K46" i="7"/>
  <c r="F43" i="11"/>
  <c r="O43" i="11" l="1"/>
  <c r="M43" i="11"/>
  <c r="O43" i="4"/>
  <c r="M43" i="4"/>
  <c r="O42" i="6"/>
  <c r="M42" i="6"/>
  <c r="S41" i="16"/>
  <c r="U41" i="16"/>
  <c r="O42" i="10"/>
  <c r="M42" i="10"/>
  <c r="P42" i="10"/>
  <c r="I46" i="3"/>
  <c r="F47" i="3" s="1"/>
  <c r="K46" i="3"/>
  <c r="K45" i="9"/>
  <c r="I45" i="9"/>
  <c r="F46" i="9" s="1"/>
  <c r="E47" i="9"/>
  <c r="H46" i="9"/>
  <c r="I46" i="7"/>
  <c r="F47" i="7"/>
  <c r="I46" i="8"/>
  <c r="F47" i="8" s="1"/>
  <c r="K46" i="8"/>
  <c r="L45" i="7"/>
  <c r="J45" i="7"/>
  <c r="G46" i="7" s="1"/>
  <c r="N47" i="9"/>
  <c r="Q46" i="9"/>
  <c r="R44" i="8"/>
  <c r="O45" i="8" s="1"/>
  <c r="T45" i="8" s="1"/>
  <c r="G47" i="9"/>
  <c r="F43" i="10"/>
  <c r="P47" i="9"/>
  <c r="J47" i="9"/>
  <c r="F44" i="11"/>
  <c r="F43" i="6"/>
  <c r="H47" i="7"/>
  <c r="F42" i="16"/>
  <c r="S47" i="9"/>
  <c r="K47" i="7"/>
  <c r="F44" i="4"/>
  <c r="O44" i="4" l="1"/>
  <c r="M44" i="4"/>
  <c r="U42" i="16"/>
  <c r="S42" i="16"/>
  <c r="O43" i="6"/>
  <c r="M43" i="6"/>
  <c r="O44" i="11"/>
  <c r="M44" i="11"/>
  <c r="O43" i="10"/>
  <c r="M43" i="10"/>
  <c r="P43" i="10" s="1"/>
  <c r="E48" i="9"/>
  <c r="H47" i="9"/>
  <c r="I46" i="9"/>
  <c r="F47" i="9" s="1"/>
  <c r="K46" i="9"/>
  <c r="L46" i="7"/>
  <c r="J46" i="7"/>
  <c r="G47" i="7" s="1"/>
  <c r="F48" i="7"/>
  <c r="I47" i="7"/>
  <c r="I47" i="3"/>
  <c r="F48" i="3" s="1"/>
  <c r="K47" i="3"/>
  <c r="N48" i="9"/>
  <c r="Q47" i="9"/>
  <c r="R45" i="8"/>
  <c r="O46" i="8" s="1"/>
  <c r="T46" i="8" s="1"/>
  <c r="G48" i="9"/>
  <c r="F44" i="10"/>
  <c r="F45" i="4"/>
  <c r="F44" i="6"/>
  <c r="H48" i="7"/>
  <c r="S48" i="9"/>
  <c r="J48" i="9"/>
  <c r="K48" i="7"/>
  <c r="P48" i="9"/>
  <c r="F43" i="16"/>
  <c r="F45" i="11"/>
  <c r="M45" i="11" l="1"/>
  <c r="O45" i="11"/>
  <c r="S43" i="16"/>
  <c r="U43" i="16"/>
  <c r="O44" i="6"/>
  <c r="M44" i="6"/>
  <c r="O45" i="4"/>
  <c r="M45" i="4"/>
  <c r="O44" i="10"/>
  <c r="P44" i="10"/>
  <c r="M44" i="10"/>
  <c r="N49" i="9"/>
  <c r="Q48" i="9"/>
  <c r="I48" i="3"/>
  <c r="F49" i="3" s="1"/>
  <c r="K48" i="3"/>
  <c r="I47" i="9"/>
  <c r="F48" i="9" s="1"/>
  <c r="K47" i="9"/>
  <c r="I48" i="7"/>
  <c r="F49" i="7"/>
  <c r="E49" i="9"/>
  <c r="H48" i="9"/>
  <c r="L47" i="7"/>
  <c r="J47" i="7"/>
  <c r="G48" i="7" s="1"/>
  <c r="R46" i="8"/>
  <c r="O47" i="8" s="1"/>
  <c r="T47" i="8" s="1"/>
  <c r="F46" i="11"/>
  <c r="G49" i="9"/>
  <c r="S49" i="9"/>
  <c r="F45" i="6"/>
  <c r="F44" i="16"/>
  <c r="F45" i="10"/>
  <c r="P49" i="9"/>
  <c r="K49" i="7"/>
  <c r="F46" i="4"/>
  <c r="J49" i="9"/>
  <c r="H49" i="7"/>
  <c r="M46" i="4" l="1"/>
  <c r="O46" i="4"/>
  <c r="O45" i="10"/>
  <c r="M45" i="10"/>
  <c r="P45" i="10"/>
  <c r="S44" i="16"/>
  <c r="U44" i="16"/>
  <c r="O45" i="6"/>
  <c r="M45" i="6"/>
  <c r="M46" i="11"/>
  <c r="O46" i="11"/>
  <c r="L48" i="7"/>
  <c r="J48" i="7"/>
  <c r="G49" i="7" s="1"/>
  <c r="K48" i="9"/>
  <c r="I48" i="9"/>
  <c r="F49" i="9" s="1"/>
  <c r="I49" i="3"/>
  <c r="F50" i="3" s="1"/>
  <c r="K49" i="3"/>
  <c r="E50" i="9"/>
  <c r="H49" i="9"/>
  <c r="I49" i="7"/>
  <c r="F50" i="7"/>
  <c r="N50" i="9"/>
  <c r="Q49" i="9"/>
  <c r="R47" i="8"/>
  <c r="O48" i="8" s="1"/>
  <c r="T48" i="8" s="1"/>
  <c r="F47" i="4"/>
  <c r="F46" i="6"/>
  <c r="F45" i="16"/>
  <c r="F47" i="11"/>
  <c r="J50" i="9"/>
  <c r="H50" i="7"/>
  <c r="G50" i="9"/>
  <c r="K50" i="7"/>
  <c r="S50" i="9"/>
  <c r="P50" i="9"/>
  <c r="F46" i="10"/>
  <c r="O46" i="10" l="1"/>
  <c r="M46" i="10"/>
  <c r="P46" i="10"/>
  <c r="M47" i="11"/>
  <c r="O47" i="11"/>
  <c r="U45" i="16"/>
  <c r="S45" i="16"/>
  <c r="O46" i="6"/>
  <c r="M46" i="6"/>
  <c r="O47" i="4"/>
  <c r="M47" i="4"/>
  <c r="N51" i="9"/>
  <c r="Q50" i="9"/>
  <c r="I50" i="7"/>
  <c r="F51" i="7"/>
  <c r="I49" i="9"/>
  <c r="F50" i="9" s="1"/>
  <c r="K49" i="9"/>
  <c r="L49" i="7"/>
  <c r="J49" i="7"/>
  <c r="G50" i="7" s="1"/>
  <c r="E51" i="9"/>
  <c r="H50" i="9"/>
  <c r="I50" i="3"/>
  <c r="F51" i="3" s="1"/>
  <c r="K50" i="3"/>
  <c r="R48" i="8"/>
  <c r="O49" i="8" s="1"/>
  <c r="T49" i="8" s="1"/>
  <c r="F47" i="6"/>
  <c r="P51" i="9"/>
  <c r="H51" i="7"/>
  <c r="J51" i="9"/>
  <c r="S51" i="9"/>
  <c r="F47" i="10"/>
  <c r="F46" i="16"/>
  <c r="F48" i="4"/>
  <c r="K51" i="7"/>
  <c r="G51" i="9"/>
  <c r="F48" i="11"/>
  <c r="O48" i="11" l="1"/>
  <c r="M48" i="11"/>
  <c r="O48" i="4"/>
  <c r="M48" i="4"/>
  <c r="S46" i="16"/>
  <c r="U46" i="16"/>
  <c r="O47" i="10"/>
  <c r="M47" i="10"/>
  <c r="O47" i="6"/>
  <c r="M47" i="6"/>
  <c r="I51" i="7"/>
  <c r="F52" i="7"/>
  <c r="I51" i="3"/>
  <c r="F52" i="3" s="1"/>
  <c r="K51" i="3"/>
  <c r="E52" i="9"/>
  <c r="H51" i="9"/>
  <c r="L50" i="7"/>
  <c r="J50" i="7"/>
  <c r="G51" i="7" s="1"/>
  <c r="N52" i="9"/>
  <c r="Q51" i="9"/>
  <c r="I50" i="9"/>
  <c r="F51" i="9" s="1"/>
  <c r="K50" i="9"/>
  <c r="R49" i="8"/>
  <c r="O50" i="8" s="1"/>
  <c r="T50" i="8" s="1"/>
  <c r="F47" i="16"/>
  <c r="K52" i="7"/>
  <c r="S52" i="9"/>
  <c r="J52" i="9"/>
  <c r="F49" i="11"/>
  <c r="F48" i="6"/>
  <c r="P52" i="9"/>
  <c r="G52" i="9"/>
  <c r="F49" i="4"/>
  <c r="F48" i="10"/>
  <c r="H52" i="7"/>
  <c r="O48" i="10" l="1"/>
  <c r="M48" i="10"/>
  <c r="P48" i="10"/>
  <c r="M49" i="4"/>
  <c r="O49" i="4"/>
  <c r="O48" i="6"/>
  <c r="M48" i="6"/>
  <c r="M49" i="11"/>
  <c r="O49" i="11"/>
  <c r="U47" i="16"/>
  <c r="S47" i="16"/>
  <c r="P47" i="10"/>
  <c r="E53" i="9"/>
  <c r="H52" i="9"/>
  <c r="I51" i="9"/>
  <c r="F52" i="9" s="1"/>
  <c r="K51" i="9"/>
  <c r="I52" i="3"/>
  <c r="F53" i="3" s="1"/>
  <c r="K52" i="3"/>
  <c r="N53" i="9"/>
  <c r="Q52" i="9"/>
  <c r="F53" i="7"/>
  <c r="I52" i="7"/>
  <c r="L51" i="7"/>
  <c r="J51" i="7"/>
  <c r="G52" i="7" s="1"/>
  <c r="R50" i="8"/>
  <c r="O51" i="8" s="1"/>
  <c r="T51" i="8" s="1"/>
  <c r="S53" i="9"/>
  <c r="F49" i="6"/>
  <c r="J53" i="9"/>
  <c r="H53" i="7"/>
  <c r="F50" i="11"/>
  <c r="K53" i="7"/>
  <c r="F49" i="10"/>
  <c r="P53" i="9"/>
  <c r="F48" i="16"/>
  <c r="F50" i="4"/>
  <c r="G53" i="9"/>
  <c r="M50" i="4" l="1"/>
  <c r="O50" i="4"/>
  <c r="S48" i="16"/>
  <c r="U48" i="16"/>
  <c r="O49" i="10"/>
  <c r="M49" i="10"/>
  <c r="M50" i="11"/>
  <c r="O50" i="11"/>
  <c r="O49" i="6"/>
  <c r="M49" i="6"/>
  <c r="L52" i="7"/>
  <c r="J52" i="7"/>
  <c r="G53" i="7" s="1"/>
  <c r="I53" i="7"/>
  <c r="F54" i="7"/>
  <c r="I52" i="9"/>
  <c r="F53" i="9" s="1"/>
  <c r="K52" i="9"/>
  <c r="N54" i="9"/>
  <c r="Q53" i="9"/>
  <c r="E54" i="9"/>
  <c r="H53" i="9"/>
  <c r="I53" i="3"/>
  <c r="F54" i="3" s="1"/>
  <c r="K53" i="3"/>
  <c r="R51" i="8"/>
  <c r="O52" i="8" s="1"/>
  <c r="T52" i="8" s="1"/>
  <c r="F51" i="4"/>
  <c r="K54" i="7"/>
  <c r="S54" i="9"/>
  <c r="F50" i="10"/>
  <c r="P54" i="9"/>
  <c r="F51" i="11"/>
  <c r="H54" i="7"/>
  <c r="J54" i="9"/>
  <c r="F50" i="6"/>
  <c r="G54" i="9"/>
  <c r="F49" i="16"/>
  <c r="U49" i="16" l="1"/>
  <c r="S49" i="16"/>
  <c r="O50" i="6"/>
  <c r="M50" i="6"/>
  <c r="O51" i="11"/>
  <c r="M51" i="11"/>
  <c r="O50" i="10"/>
  <c r="M50" i="10"/>
  <c r="M51" i="4"/>
  <c r="O51" i="4"/>
  <c r="P49" i="10"/>
  <c r="F55" i="7"/>
  <c r="I54" i="7"/>
  <c r="I54" i="3"/>
  <c r="F55" i="3" s="1"/>
  <c r="K54" i="3"/>
  <c r="E55" i="9"/>
  <c r="H54" i="9"/>
  <c r="L53" i="7"/>
  <c r="J53" i="7"/>
  <c r="G54" i="7" s="1"/>
  <c r="N55" i="9"/>
  <c r="Q54" i="9"/>
  <c r="I53" i="9"/>
  <c r="F54" i="9" s="1"/>
  <c r="K53" i="9"/>
  <c r="R52" i="8"/>
  <c r="O53" i="8" s="1"/>
  <c r="T53" i="8" s="1"/>
  <c r="F50" i="16"/>
  <c r="F52" i="11"/>
  <c r="F52" i="4"/>
  <c r="H55" i="7"/>
  <c r="P55" i="9"/>
  <c r="J55" i="9"/>
  <c r="F51" i="10"/>
  <c r="K55" i="7"/>
  <c r="F51" i="6"/>
  <c r="G55" i="9"/>
  <c r="S55" i="9"/>
  <c r="O51" i="6" l="1"/>
  <c r="M51" i="6"/>
  <c r="O51" i="10"/>
  <c r="M51" i="10"/>
  <c r="M52" i="4"/>
  <c r="O52" i="4"/>
  <c r="M52" i="11"/>
  <c r="O52" i="11"/>
  <c r="U50" i="16"/>
  <c r="S50" i="16"/>
  <c r="P50" i="10"/>
  <c r="E56" i="9"/>
  <c r="H55" i="9"/>
  <c r="I54" i="9"/>
  <c r="F55" i="9" s="1"/>
  <c r="K54" i="9"/>
  <c r="I55" i="3"/>
  <c r="F56" i="3" s="1"/>
  <c r="K55" i="3"/>
  <c r="N56" i="9"/>
  <c r="Q55" i="9"/>
  <c r="L54" i="7"/>
  <c r="J54" i="7"/>
  <c r="G55" i="7" s="1"/>
  <c r="I55" i="7"/>
  <c r="F56" i="7"/>
  <c r="R53" i="8"/>
  <c r="O54" i="8" s="1"/>
  <c r="T54" i="8" s="1"/>
  <c r="J56" i="9"/>
  <c r="F52" i="6"/>
  <c r="F53" i="4"/>
  <c r="G56" i="9"/>
  <c r="H56" i="7"/>
  <c r="F53" i="11"/>
  <c r="P56" i="9"/>
  <c r="F51" i="16"/>
  <c r="S56" i="9"/>
  <c r="F52" i="10"/>
  <c r="K56" i="7"/>
  <c r="O52" i="10" l="1"/>
  <c r="M52" i="10"/>
  <c r="S51" i="16"/>
  <c r="U51" i="16"/>
  <c r="O53" i="11"/>
  <c r="M53" i="11"/>
  <c r="O53" i="4"/>
  <c r="M53" i="4"/>
  <c r="O52" i="6"/>
  <c r="M52" i="6"/>
  <c r="P51" i="10"/>
  <c r="I56" i="3"/>
  <c r="F57" i="3" s="1"/>
  <c r="K56" i="3"/>
  <c r="I56" i="7"/>
  <c r="F57" i="7"/>
  <c r="L55" i="7"/>
  <c r="J55" i="7"/>
  <c r="G56" i="7" s="1"/>
  <c r="I55" i="9"/>
  <c r="F56" i="9" s="1"/>
  <c r="K55" i="9"/>
  <c r="E57" i="9"/>
  <c r="H56" i="9"/>
  <c r="N57" i="9"/>
  <c r="Q56" i="9"/>
  <c r="R54" i="8"/>
  <c r="O55" i="8" s="1"/>
  <c r="T55" i="8" s="1"/>
  <c r="F54" i="4"/>
  <c r="J57" i="9"/>
  <c r="F52" i="16"/>
  <c r="K57" i="7"/>
  <c r="G57" i="9"/>
  <c r="H57" i="7"/>
  <c r="S57" i="9"/>
  <c r="F53" i="10"/>
  <c r="F54" i="11"/>
  <c r="F53" i="6"/>
  <c r="P57" i="9"/>
  <c r="O53" i="6" l="1"/>
  <c r="M53" i="6"/>
  <c r="O54" i="11"/>
  <c r="M54" i="11"/>
  <c r="O53" i="10"/>
  <c r="M53" i="10"/>
  <c r="P53" i="10" s="1"/>
  <c r="U52" i="16"/>
  <c r="S52" i="16"/>
  <c r="M54" i="4"/>
  <c r="O54" i="4"/>
  <c r="P52" i="10"/>
  <c r="N58" i="9"/>
  <c r="Q57" i="9"/>
  <c r="I57" i="7"/>
  <c r="F58" i="7"/>
  <c r="E58" i="9"/>
  <c r="H57" i="9"/>
  <c r="I57" i="3"/>
  <c r="F58" i="3" s="1"/>
  <c r="K57" i="3"/>
  <c r="I56" i="9"/>
  <c r="F57" i="9" s="1"/>
  <c r="K56" i="9"/>
  <c r="L56" i="7"/>
  <c r="J56" i="7"/>
  <c r="G57" i="7" s="1"/>
  <c r="R55" i="8"/>
  <c r="O56" i="8" s="1"/>
  <c r="T56" i="8" s="1"/>
  <c r="F53" i="16"/>
  <c r="H58" i="7"/>
  <c r="F54" i="6"/>
  <c r="F54" i="10"/>
  <c r="F55" i="4"/>
  <c r="K58" i="7"/>
  <c r="J58" i="9"/>
  <c r="P58" i="9"/>
  <c r="S58" i="9"/>
  <c r="F55" i="11"/>
  <c r="G58" i="9"/>
  <c r="O55" i="11" l="1"/>
  <c r="M55" i="11"/>
  <c r="M55" i="4"/>
  <c r="O55" i="4"/>
  <c r="O54" i="10"/>
  <c r="M54" i="10"/>
  <c r="P54" i="10"/>
  <c r="O54" i="6"/>
  <c r="M54" i="6"/>
  <c r="S53" i="16"/>
  <c r="U53" i="16"/>
  <c r="E59" i="9"/>
  <c r="H58" i="9"/>
  <c r="I58" i="7"/>
  <c r="F59" i="7"/>
  <c r="L57" i="7"/>
  <c r="J57" i="7"/>
  <c r="G58" i="7" s="1"/>
  <c r="I57" i="9"/>
  <c r="F58" i="9" s="1"/>
  <c r="K57" i="9"/>
  <c r="N59" i="9"/>
  <c r="Q58" i="9"/>
  <c r="I58" i="3"/>
  <c r="F59" i="3" s="1"/>
  <c r="K58" i="3"/>
  <c r="R56" i="8"/>
  <c r="O57" i="8" s="1"/>
  <c r="T57" i="8" s="1"/>
  <c r="F55" i="6"/>
  <c r="P59" i="9"/>
  <c r="K59" i="7"/>
  <c r="F56" i="11"/>
  <c r="F55" i="10"/>
  <c r="F54" i="16"/>
  <c r="J59" i="9"/>
  <c r="H59" i="7"/>
  <c r="F56" i="4"/>
  <c r="G59" i="9"/>
  <c r="S59" i="9"/>
  <c r="M56" i="4" l="1"/>
  <c r="O56" i="4"/>
  <c r="U54" i="16"/>
  <c r="S54" i="16"/>
  <c r="O55" i="10"/>
  <c r="M55" i="10"/>
  <c r="P55" i="10"/>
  <c r="O56" i="11"/>
  <c r="M56" i="11"/>
  <c r="O55" i="6"/>
  <c r="M55" i="6"/>
  <c r="F60" i="7"/>
  <c r="I59" i="7"/>
  <c r="I59" i="3"/>
  <c r="F60" i="3" s="1"/>
  <c r="K59" i="3"/>
  <c r="N60" i="9"/>
  <c r="Q59" i="9"/>
  <c r="I58" i="9"/>
  <c r="F59" i="9" s="1"/>
  <c r="K58" i="9"/>
  <c r="E60" i="9"/>
  <c r="H59" i="9"/>
  <c r="L58" i="7"/>
  <c r="J58" i="7"/>
  <c r="G59" i="7" s="1"/>
  <c r="R57" i="8"/>
  <c r="O58" i="8" s="1"/>
  <c r="T58" i="8" s="1"/>
  <c r="F57" i="4"/>
  <c r="F57" i="11"/>
  <c r="H60" i="7"/>
  <c r="J60" i="9"/>
  <c r="P60" i="9"/>
  <c r="F56" i="10"/>
  <c r="K60" i="7"/>
  <c r="G60" i="9"/>
  <c r="F56" i="6"/>
  <c r="S60" i="9"/>
  <c r="F55" i="16"/>
  <c r="S55" i="16" l="1"/>
  <c r="U55" i="16"/>
  <c r="O56" i="6"/>
  <c r="M56" i="6"/>
  <c r="O56" i="10"/>
  <c r="M56" i="10"/>
  <c r="P56" i="10" s="1"/>
  <c r="M57" i="11"/>
  <c r="O57" i="11"/>
  <c r="O57" i="4"/>
  <c r="M57" i="4"/>
  <c r="E61" i="9"/>
  <c r="H60" i="9"/>
  <c r="I60" i="3"/>
  <c r="F61" i="3" s="1"/>
  <c r="K60" i="3"/>
  <c r="F61" i="7"/>
  <c r="I60" i="7"/>
  <c r="N61" i="9"/>
  <c r="Q60" i="9"/>
  <c r="L59" i="7"/>
  <c r="J59" i="7"/>
  <c r="G60" i="7" s="1"/>
  <c r="I59" i="9"/>
  <c r="F60" i="9" s="1"/>
  <c r="K59" i="9"/>
  <c r="R58" i="8"/>
  <c r="O59" i="8" s="1"/>
  <c r="T59" i="8" s="1"/>
  <c r="F56" i="16"/>
  <c r="S61" i="9"/>
  <c r="H61" i="7"/>
  <c r="P61" i="9"/>
  <c r="K61" i="7"/>
  <c r="F57" i="10"/>
  <c r="F58" i="4"/>
  <c r="J61" i="9"/>
  <c r="F57" i="6"/>
  <c r="F58" i="11"/>
  <c r="G61" i="9"/>
  <c r="M58" i="11" l="1"/>
  <c r="O58" i="11"/>
  <c r="O57" i="6"/>
  <c r="M57" i="6"/>
  <c r="M58" i="4"/>
  <c r="O58" i="4"/>
  <c r="O57" i="10"/>
  <c r="M57" i="10"/>
  <c r="P57" i="10"/>
  <c r="U56" i="16"/>
  <c r="S56" i="16"/>
  <c r="F62" i="7"/>
  <c r="I61" i="7"/>
  <c r="K60" i="9"/>
  <c r="I60" i="9"/>
  <c r="F61" i="9" s="1"/>
  <c r="I61" i="3"/>
  <c r="F62" i="3" s="1"/>
  <c r="K61" i="3"/>
  <c r="L60" i="7"/>
  <c r="J60" i="7"/>
  <c r="G61" i="7" s="1"/>
  <c r="E62" i="9"/>
  <c r="H61" i="9"/>
  <c r="N62" i="9"/>
  <c r="Q61" i="9"/>
  <c r="R59" i="8"/>
  <c r="O60" i="8" s="1"/>
  <c r="T60" i="8" s="1"/>
  <c r="F59" i="11"/>
  <c r="F57" i="16"/>
  <c r="S62" i="9"/>
  <c r="K62" i="7"/>
  <c r="P62" i="9"/>
  <c r="F59" i="4"/>
  <c r="H62" i="7"/>
  <c r="F58" i="6"/>
  <c r="F58" i="10"/>
  <c r="J62" i="9"/>
  <c r="G62" i="9"/>
  <c r="P58" i="10" l="1"/>
  <c r="O58" i="10"/>
  <c r="M58" i="10"/>
  <c r="O58" i="6"/>
  <c r="M58" i="6"/>
  <c r="O59" i="4"/>
  <c r="M59" i="4"/>
  <c r="U57" i="16"/>
  <c r="S57" i="16"/>
  <c r="M59" i="11"/>
  <c r="O59" i="11"/>
  <c r="I62" i="3"/>
  <c r="F63" i="3" s="1"/>
  <c r="K62" i="3"/>
  <c r="N63" i="9"/>
  <c r="Q62" i="9"/>
  <c r="I61" i="9"/>
  <c r="F62" i="9" s="1"/>
  <c r="K61" i="9"/>
  <c r="E63" i="9"/>
  <c r="H62" i="9"/>
  <c r="L61" i="7"/>
  <c r="J61" i="7"/>
  <c r="G62" i="7" s="1"/>
  <c r="I62" i="7"/>
  <c r="F63" i="7"/>
  <c r="R60" i="8"/>
  <c r="O61" i="8" s="1"/>
  <c r="T61" i="8" s="1"/>
  <c r="F59" i="6"/>
  <c r="F60" i="11"/>
  <c r="G63" i="9"/>
  <c r="P63" i="9"/>
  <c r="F59" i="10"/>
  <c r="F60" i="4"/>
  <c r="H63" i="7"/>
  <c r="J63" i="9"/>
  <c r="K63" i="7"/>
  <c r="F58" i="16"/>
  <c r="S63" i="9"/>
  <c r="U58" i="16" l="1"/>
  <c r="S58" i="16"/>
  <c r="O60" i="4"/>
  <c r="M60" i="4"/>
  <c r="O59" i="10"/>
  <c r="M59" i="10"/>
  <c r="P59" i="10" s="1"/>
  <c r="M60" i="11"/>
  <c r="O60" i="11"/>
  <c r="O59" i="6"/>
  <c r="M59" i="6"/>
  <c r="I62" i="9"/>
  <c r="F63" i="9" s="1"/>
  <c r="K62" i="9"/>
  <c r="I63" i="7"/>
  <c r="F64" i="7"/>
  <c r="N64" i="9"/>
  <c r="Q63" i="9"/>
  <c r="L62" i="7"/>
  <c r="J62" i="7"/>
  <c r="G63" i="7" s="1"/>
  <c r="I63" i="3"/>
  <c r="F64" i="3" s="1"/>
  <c r="K63" i="3"/>
  <c r="E64" i="9"/>
  <c r="H63" i="9"/>
  <c r="R61" i="8"/>
  <c r="O62" i="8" s="1"/>
  <c r="T62" i="8" s="1"/>
  <c r="H64" i="7"/>
  <c r="K64" i="7"/>
  <c r="F59" i="16"/>
  <c r="F60" i="10"/>
  <c r="S64" i="9"/>
  <c r="F60" i="6"/>
  <c r="J64" i="9"/>
  <c r="P64" i="9"/>
  <c r="F61" i="4"/>
  <c r="F61" i="11"/>
  <c r="G64" i="9"/>
  <c r="M61" i="11" l="1"/>
  <c r="O61" i="11"/>
  <c r="O61" i="4"/>
  <c r="M61" i="4"/>
  <c r="O60" i="6"/>
  <c r="M60" i="6"/>
  <c r="O60" i="10"/>
  <c r="M60" i="10"/>
  <c r="U59" i="16"/>
  <c r="S59" i="16"/>
  <c r="N65" i="9"/>
  <c r="Q64" i="9"/>
  <c r="E65" i="9"/>
  <c r="H64" i="9"/>
  <c r="I64" i="7"/>
  <c r="F65" i="7"/>
  <c r="I64" i="3"/>
  <c r="F65" i="3" s="1"/>
  <c r="K64" i="3"/>
  <c r="I63" i="9"/>
  <c r="F64" i="9" s="1"/>
  <c r="K63" i="9"/>
  <c r="L63" i="7"/>
  <c r="J63" i="7"/>
  <c r="G64" i="7" s="1"/>
  <c r="R62" i="8"/>
  <c r="O63" i="8" s="1"/>
  <c r="T63" i="8" s="1"/>
  <c r="F62" i="11"/>
  <c r="F61" i="6"/>
  <c r="P65" i="9"/>
  <c r="G65" i="9"/>
  <c r="K65" i="7"/>
  <c r="J65" i="9"/>
  <c r="F60" i="16"/>
  <c r="H65" i="7"/>
  <c r="F62" i="4"/>
  <c r="F61" i="10"/>
  <c r="S65" i="9"/>
  <c r="O61" i="10" l="1"/>
  <c r="M61" i="10"/>
  <c r="P61" i="10"/>
  <c r="M62" i="4"/>
  <c r="O62" i="4"/>
  <c r="S60" i="16"/>
  <c r="U60" i="16"/>
  <c r="O61" i="6"/>
  <c r="M61" i="6"/>
  <c r="M62" i="11"/>
  <c r="O62" i="11"/>
  <c r="P60" i="10"/>
  <c r="I65" i="7"/>
  <c r="F66" i="7"/>
  <c r="L64" i="7"/>
  <c r="J64" i="7"/>
  <c r="G65" i="7" s="1"/>
  <c r="E66" i="9"/>
  <c r="H65" i="9"/>
  <c r="I64" i="9"/>
  <c r="F65" i="9" s="1"/>
  <c r="K64" i="9"/>
  <c r="N66" i="9"/>
  <c r="Q65" i="9"/>
  <c r="I65" i="3"/>
  <c r="F66" i="3" s="1"/>
  <c r="K65" i="3"/>
  <c r="R63" i="8"/>
  <c r="O64" i="8" s="1"/>
  <c r="T64" i="8" s="1"/>
  <c r="F62" i="6"/>
  <c r="P66" i="9"/>
  <c r="H66" i="7"/>
  <c r="S66" i="9"/>
  <c r="F62" i="10"/>
  <c r="F61" i="16"/>
  <c r="F63" i="11"/>
  <c r="F63" i="4"/>
  <c r="K66" i="7"/>
  <c r="J66" i="9"/>
  <c r="G66" i="9"/>
  <c r="M63" i="4" l="1"/>
  <c r="O63" i="4"/>
  <c r="M63" i="11"/>
  <c r="O63" i="11"/>
  <c r="U61" i="16"/>
  <c r="S61" i="16"/>
  <c r="O62" i="10"/>
  <c r="P62" i="10"/>
  <c r="M62" i="10"/>
  <c r="O62" i="6"/>
  <c r="M62" i="6"/>
  <c r="E67" i="9"/>
  <c r="H66" i="9"/>
  <c r="I66" i="3"/>
  <c r="F67" i="3" s="1"/>
  <c r="K66" i="3"/>
  <c r="L65" i="7"/>
  <c r="J65" i="7"/>
  <c r="G66" i="7" s="1"/>
  <c r="N67" i="9"/>
  <c r="Q66" i="9"/>
  <c r="I66" i="7"/>
  <c r="F67" i="7"/>
  <c r="I65" i="9"/>
  <c r="F66" i="9" s="1"/>
  <c r="K65" i="9"/>
  <c r="R64" i="8"/>
  <c r="O65" i="8" s="1"/>
  <c r="T65" i="8" s="1"/>
  <c r="F64" i="4"/>
  <c r="F63" i="10"/>
  <c r="S67" i="9"/>
  <c r="H67" i="7"/>
  <c r="P67" i="9"/>
  <c r="K67" i="7"/>
  <c r="F62" i="16"/>
  <c r="J67" i="9"/>
  <c r="F64" i="11"/>
  <c r="F63" i="6"/>
  <c r="G67" i="9"/>
  <c r="O63" i="6" l="1"/>
  <c r="M63" i="6"/>
  <c r="O64" i="11"/>
  <c r="M64" i="11"/>
  <c r="U62" i="16"/>
  <c r="S62" i="16"/>
  <c r="P63" i="10"/>
  <c r="O63" i="10"/>
  <c r="M63" i="10"/>
  <c r="M64" i="4"/>
  <c r="O64" i="4"/>
  <c r="L66" i="7"/>
  <c r="J66" i="7"/>
  <c r="G67" i="7" s="1"/>
  <c r="I66" i="9"/>
  <c r="F67" i="9" s="1"/>
  <c r="K66" i="9"/>
  <c r="I67" i="3"/>
  <c r="F68" i="3" s="1"/>
  <c r="K67" i="3"/>
  <c r="I67" i="7"/>
  <c r="F68" i="7"/>
  <c r="E68" i="9"/>
  <c r="H67" i="9"/>
  <c r="N68" i="9"/>
  <c r="Q67" i="9"/>
  <c r="R65" i="8"/>
  <c r="O66" i="8" s="1"/>
  <c r="T66" i="8" s="1"/>
  <c r="F64" i="10"/>
  <c r="J68" i="9"/>
  <c r="H68" i="7"/>
  <c r="K68" i="7"/>
  <c r="F65" i="11"/>
  <c r="P68" i="9"/>
  <c r="F64" i="6"/>
  <c r="F63" i="16"/>
  <c r="F65" i="4"/>
  <c r="G68" i="9"/>
  <c r="S68" i="9"/>
  <c r="O65" i="4" l="1"/>
  <c r="M65" i="4"/>
  <c r="U63" i="16"/>
  <c r="S63" i="16"/>
  <c r="O64" i="6"/>
  <c r="M64" i="6"/>
  <c r="M65" i="11"/>
  <c r="O65" i="11"/>
  <c r="O64" i="10"/>
  <c r="M64" i="10"/>
  <c r="I68" i="3"/>
  <c r="F69" i="3" s="1"/>
  <c r="K68" i="3"/>
  <c r="N69" i="9"/>
  <c r="Q68" i="9"/>
  <c r="I67" i="9"/>
  <c r="F68" i="9" s="1"/>
  <c r="K67" i="9"/>
  <c r="E69" i="9"/>
  <c r="H68" i="9"/>
  <c r="L67" i="7"/>
  <c r="J67" i="7"/>
  <c r="G68" i="7" s="1"/>
  <c r="I68" i="7"/>
  <c r="F69" i="7"/>
  <c r="R66" i="8"/>
  <c r="O67" i="8" s="1"/>
  <c r="T67" i="8" s="1"/>
  <c r="J69" i="9"/>
  <c r="S69" i="9"/>
  <c r="F65" i="6"/>
  <c r="F66" i="4"/>
  <c r="G69" i="9"/>
  <c r="P69" i="9"/>
  <c r="H69" i="7"/>
  <c r="K69" i="7"/>
  <c r="F66" i="11"/>
  <c r="F65" i="10"/>
  <c r="F64" i="16"/>
  <c r="U64" i="16" l="1"/>
  <c r="S64" i="16"/>
  <c r="M65" i="10"/>
  <c r="O65" i="10"/>
  <c r="M66" i="11"/>
  <c r="O66" i="11"/>
  <c r="O66" i="4"/>
  <c r="M66" i="4"/>
  <c r="O65" i="6"/>
  <c r="M65" i="6"/>
  <c r="P64" i="10"/>
  <c r="I68" i="9"/>
  <c r="F69" i="9" s="1"/>
  <c r="K68" i="9"/>
  <c r="I69" i="7"/>
  <c r="F70" i="7"/>
  <c r="N70" i="9"/>
  <c r="Q69" i="9"/>
  <c r="L68" i="7"/>
  <c r="J68" i="7"/>
  <c r="G69" i="7" s="1"/>
  <c r="I69" i="3"/>
  <c r="F70" i="3" s="1"/>
  <c r="K69" i="3"/>
  <c r="E70" i="9"/>
  <c r="H69" i="9"/>
  <c r="R67" i="8"/>
  <c r="O68" i="8" s="1"/>
  <c r="T68" i="8" s="1"/>
  <c r="F67" i="4"/>
  <c r="G70" i="9"/>
  <c r="H70" i="7"/>
  <c r="S70" i="9"/>
  <c r="P70" i="9"/>
  <c r="F65" i="16"/>
  <c r="F67" i="11"/>
  <c r="F66" i="6"/>
  <c r="K70" i="7"/>
  <c r="F66" i="10"/>
  <c r="J70" i="9"/>
  <c r="O66" i="10" l="1"/>
  <c r="M66" i="10"/>
  <c r="P66" i="10"/>
  <c r="O66" i="6"/>
  <c r="M66" i="6"/>
  <c r="M67" i="11"/>
  <c r="O67" i="11"/>
  <c r="U65" i="16"/>
  <c r="S65" i="16"/>
  <c r="O67" i="4"/>
  <c r="M67" i="4"/>
  <c r="P65" i="10"/>
  <c r="N71" i="9"/>
  <c r="Q70" i="9"/>
  <c r="E71" i="9"/>
  <c r="H70" i="9"/>
  <c r="F71" i="7"/>
  <c r="I70" i="7"/>
  <c r="I70" i="3"/>
  <c r="F71" i="3" s="1"/>
  <c r="K70" i="3"/>
  <c r="I69" i="9"/>
  <c r="F70" i="9" s="1"/>
  <c r="K69" i="9"/>
  <c r="L69" i="7"/>
  <c r="J69" i="7"/>
  <c r="G70" i="7" s="1"/>
  <c r="R68" i="8"/>
  <c r="O69" i="8" s="1"/>
  <c r="T69" i="8" s="1"/>
  <c r="F67" i="6"/>
  <c r="F66" i="16"/>
  <c r="K71" i="7"/>
  <c r="H71" i="7"/>
  <c r="F67" i="10"/>
  <c r="F68" i="11"/>
  <c r="S71" i="9"/>
  <c r="J71" i="9"/>
  <c r="P71" i="9"/>
  <c r="F68" i="4"/>
  <c r="G71" i="9"/>
  <c r="M68" i="4" l="1"/>
  <c r="O68" i="4"/>
  <c r="O68" i="11"/>
  <c r="M68" i="11"/>
  <c r="O67" i="10"/>
  <c r="M67" i="10"/>
  <c r="P67" i="10" s="1"/>
  <c r="U66" i="16"/>
  <c r="S66" i="16"/>
  <c r="O67" i="6"/>
  <c r="M67" i="6"/>
  <c r="L70" i="7"/>
  <c r="J70" i="7"/>
  <c r="G71" i="7" s="1"/>
  <c r="I71" i="7"/>
  <c r="F72" i="7"/>
  <c r="E72" i="9"/>
  <c r="H71" i="9"/>
  <c r="I70" i="9"/>
  <c r="F71" i="9" s="1"/>
  <c r="K70" i="9"/>
  <c r="N72" i="9"/>
  <c r="Q71" i="9"/>
  <c r="I71" i="3"/>
  <c r="F72" i="3" s="1"/>
  <c r="K71" i="3"/>
  <c r="R69" i="8"/>
  <c r="O70" i="8" s="1"/>
  <c r="T70" i="8" s="1"/>
  <c r="F69" i="4"/>
  <c r="F67" i="16"/>
  <c r="F68" i="10"/>
  <c r="J72" i="9"/>
  <c r="F68" i="6"/>
  <c r="S72" i="9"/>
  <c r="G72" i="9"/>
  <c r="P72" i="9"/>
  <c r="F69" i="11"/>
  <c r="H72" i="7"/>
  <c r="K72" i="7"/>
  <c r="O69" i="11" l="1"/>
  <c r="M69" i="11"/>
  <c r="O68" i="6"/>
  <c r="M68" i="6"/>
  <c r="O68" i="10"/>
  <c r="M68" i="10"/>
  <c r="P68" i="10" s="1"/>
  <c r="S67" i="16"/>
  <c r="U67" i="16"/>
  <c r="M69" i="4"/>
  <c r="O69" i="4"/>
  <c r="E73" i="9"/>
  <c r="H72" i="9"/>
  <c r="I72" i="3"/>
  <c r="F73" i="3" s="1"/>
  <c r="K72" i="3"/>
  <c r="I72" i="7"/>
  <c r="F73" i="7"/>
  <c r="N73" i="9"/>
  <c r="Q72" i="9"/>
  <c r="L71" i="7"/>
  <c r="J71" i="7"/>
  <c r="G72" i="7" s="1"/>
  <c r="I71" i="9"/>
  <c r="F72" i="9" s="1"/>
  <c r="K71" i="9"/>
  <c r="R70" i="8"/>
  <c r="O71" i="8" s="1"/>
  <c r="T71" i="8" s="1"/>
  <c r="S73" i="9"/>
  <c r="H73" i="7"/>
  <c r="F70" i="4"/>
  <c r="P73" i="9"/>
  <c r="G73" i="9"/>
  <c r="F70" i="11"/>
  <c r="F69" i="10"/>
  <c r="K73" i="7"/>
  <c r="J73" i="9"/>
  <c r="F69" i="6"/>
  <c r="F68" i="16"/>
  <c r="S68" i="16" l="1"/>
  <c r="U68" i="16"/>
  <c r="O69" i="6"/>
  <c r="M69" i="6"/>
  <c r="P69" i="10"/>
  <c r="O69" i="10"/>
  <c r="M69" i="10"/>
  <c r="O70" i="11"/>
  <c r="M70" i="11"/>
  <c r="O70" i="4"/>
  <c r="M70" i="4"/>
  <c r="I73" i="7"/>
  <c r="F74" i="7"/>
  <c r="I72" i="9"/>
  <c r="F73" i="9" s="1"/>
  <c r="K72" i="9"/>
  <c r="I73" i="3"/>
  <c r="F74" i="3" s="1"/>
  <c r="K73" i="3"/>
  <c r="L72" i="7"/>
  <c r="J72" i="7"/>
  <c r="G73" i="7" s="1"/>
  <c r="E74" i="9"/>
  <c r="H73" i="9"/>
  <c r="N74" i="9"/>
  <c r="Q73" i="9"/>
  <c r="R71" i="8"/>
  <c r="O72" i="8" s="1"/>
  <c r="T72" i="8" s="1"/>
  <c r="F69" i="16"/>
  <c r="F71" i="11"/>
  <c r="J74" i="9"/>
  <c r="H74" i="7"/>
  <c r="G74" i="9"/>
  <c r="F70" i="10"/>
  <c r="F71" i="4"/>
  <c r="S74" i="9"/>
  <c r="K74" i="7"/>
  <c r="F70" i="6"/>
  <c r="P74" i="9"/>
  <c r="O70" i="6" l="1"/>
  <c r="M70" i="6"/>
  <c r="M71" i="4"/>
  <c r="O71" i="4"/>
  <c r="O70" i="10"/>
  <c r="M70" i="10"/>
  <c r="P70" i="10"/>
  <c r="M71" i="11"/>
  <c r="O71" i="11"/>
  <c r="U69" i="16"/>
  <c r="S69" i="16"/>
  <c r="I74" i="3"/>
  <c r="F75" i="3" s="1"/>
  <c r="K74" i="3"/>
  <c r="N75" i="9"/>
  <c r="Q74" i="9"/>
  <c r="I73" i="9"/>
  <c r="F74" i="9" s="1"/>
  <c r="K73" i="9"/>
  <c r="E75" i="9"/>
  <c r="H74" i="9"/>
  <c r="I74" i="7"/>
  <c r="F75" i="7"/>
  <c r="L73" i="7"/>
  <c r="J73" i="7"/>
  <c r="G74" i="7" s="1"/>
  <c r="R72" i="8"/>
  <c r="O73" i="8" s="1"/>
  <c r="T73" i="8" s="1"/>
  <c r="J75" i="9"/>
  <c r="S75" i="9"/>
  <c r="G75" i="9"/>
  <c r="P75" i="9"/>
  <c r="H75" i="7"/>
  <c r="F72" i="11"/>
  <c r="K75" i="7"/>
  <c r="F71" i="6"/>
  <c r="F71" i="10"/>
  <c r="F72" i="4"/>
  <c r="F70" i="16"/>
  <c r="S70" i="16" l="1"/>
  <c r="U70" i="16"/>
  <c r="M72" i="4"/>
  <c r="O72" i="4"/>
  <c r="O71" i="10"/>
  <c r="M71" i="10"/>
  <c r="P71" i="10"/>
  <c r="O71" i="6"/>
  <c r="M71" i="6"/>
  <c r="M72" i="11"/>
  <c r="O72" i="11"/>
  <c r="I74" i="9"/>
  <c r="F75" i="9" s="1"/>
  <c r="K74" i="9"/>
  <c r="L74" i="7"/>
  <c r="J74" i="7"/>
  <c r="G75" i="7" s="1"/>
  <c r="N76" i="9"/>
  <c r="Q75" i="9"/>
  <c r="I75" i="7"/>
  <c r="F76" i="7"/>
  <c r="I75" i="3"/>
  <c r="F76" i="3" s="1"/>
  <c r="K75" i="3"/>
  <c r="E76" i="9"/>
  <c r="H75" i="9"/>
  <c r="R73" i="8"/>
  <c r="O74" i="8" s="1"/>
  <c r="T74" i="8" s="1"/>
  <c r="F71" i="16"/>
  <c r="F72" i="6"/>
  <c r="H76" i="7"/>
  <c r="S76" i="9"/>
  <c r="F72" i="10"/>
  <c r="F73" i="11"/>
  <c r="K76" i="7"/>
  <c r="F73" i="4"/>
  <c r="J76" i="9"/>
  <c r="P76" i="9"/>
  <c r="G76" i="9"/>
  <c r="O73" i="4" l="1"/>
  <c r="M73" i="4"/>
  <c r="M73" i="11"/>
  <c r="O73" i="11"/>
  <c r="O72" i="10"/>
  <c r="M72" i="10"/>
  <c r="P72" i="10"/>
  <c r="O72" i="6"/>
  <c r="M72" i="6"/>
  <c r="U71" i="16"/>
  <c r="S71" i="16"/>
  <c r="N77" i="9"/>
  <c r="Q76" i="9"/>
  <c r="E77" i="9"/>
  <c r="H76" i="9"/>
  <c r="L75" i="7"/>
  <c r="J75" i="7"/>
  <c r="G76" i="7" s="1"/>
  <c r="I76" i="3"/>
  <c r="F77" i="3" s="1"/>
  <c r="K76" i="3"/>
  <c r="I75" i="9"/>
  <c r="F76" i="9" s="1"/>
  <c r="K75" i="9"/>
  <c r="I76" i="7"/>
  <c r="F77" i="7"/>
  <c r="R74" i="8"/>
  <c r="O75" i="8" s="1"/>
  <c r="T75" i="8" s="1"/>
  <c r="F73" i="6"/>
  <c r="S77" i="9"/>
  <c r="J77" i="9"/>
  <c r="H77" i="7"/>
  <c r="F74" i="4"/>
  <c r="F73" i="10"/>
  <c r="P77" i="9"/>
  <c r="G77" i="9"/>
  <c r="F72" i="16"/>
  <c r="K77" i="7"/>
  <c r="F74" i="11"/>
  <c r="M74" i="11" l="1"/>
  <c r="O74" i="11"/>
  <c r="U72" i="16"/>
  <c r="S72" i="16"/>
  <c r="O73" i="10"/>
  <c r="M73" i="10"/>
  <c r="P73" i="10"/>
  <c r="O74" i="4"/>
  <c r="M74" i="4"/>
  <c r="O73" i="6"/>
  <c r="M73" i="6"/>
  <c r="L76" i="7"/>
  <c r="J76" i="7"/>
  <c r="G77" i="7" s="1"/>
  <c r="I77" i="7"/>
  <c r="F78" i="7"/>
  <c r="E78" i="9"/>
  <c r="H77" i="9"/>
  <c r="I76" i="9"/>
  <c r="F77" i="9" s="1"/>
  <c r="K76" i="9"/>
  <c r="N78" i="9"/>
  <c r="Q77" i="9"/>
  <c r="I77" i="3"/>
  <c r="F78" i="3" s="1"/>
  <c r="K77" i="3"/>
  <c r="R75" i="8"/>
  <c r="O76" i="8" s="1"/>
  <c r="T76" i="8" s="1"/>
  <c r="F75" i="11"/>
  <c r="F75" i="4"/>
  <c r="F74" i="10"/>
  <c r="K78" i="7"/>
  <c r="J78" i="9"/>
  <c r="P78" i="9"/>
  <c r="F74" i="6"/>
  <c r="S78" i="9"/>
  <c r="G78" i="9"/>
  <c r="H78" i="7"/>
  <c r="F73" i="16"/>
  <c r="U73" i="16" l="1"/>
  <c r="S73" i="16"/>
  <c r="O74" i="6"/>
  <c r="M74" i="6"/>
  <c r="O74" i="10"/>
  <c r="M74" i="10"/>
  <c r="P74" i="10" s="1"/>
  <c r="O75" i="4"/>
  <c r="M75" i="4"/>
  <c r="M75" i="11"/>
  <c r="O75" i="11"/>
  <c r="E79" i="9"/>
  <c r="H78" i="9"/>
  <c r="I78" i="3"/>
  <c r="F79" i="3" s="1"/>
  <c r="K78" i="3"/>
  <c r="I78" i="7"/>
  <c r="F79" i="7"/>
  <c r="N79" i="9"/>
  <c r="Q78" i="9"/>
  <c r="L77" i="7"/>
  <c r="J77" i="7"/>
  <c r="G78" i="7" s="1"/>
  <c r="I77" i="9"/>
  <c r="F78" i="9" s="1"/>
  <c r="K77" i="9"/>
  <c r="R76" i="8"/>
  <c r="O77" i="8" s="1"/>
  <c r="T77" i="8" s="1"/>
  <c r="F76" i="4"/>
  <c r="S79" i="9"/>
  <c r="H79" i="7"/>
  <c r="F76" i="11"/>
  <c r="P79" i="9"/>
  <c r="K79" i="7"/>
  <c r="F74" i="16"/>
  <c r="F75" i="10"/>
  <c r="G79" i="9"/>
  <c r="J79" i="9"/>
  <c r="F75" i="6"/>
  <c r="O75" i="6" l="1"/>
  <c r="M75" i="6"/>
  <c r="O75" i="10"/>
  <c r="M75" i="10"/>
  <c r="U74" i="16"/>
  <c r="S74" i="16"/>
  <c r="M76" i="11"/>
  <c r="O76" i="11"/>
  <c r="O76" i="4"/>
  <c r="M76" i="4"/>
  <c r="I79" i="7"/>
  <c r="F80" i="7"/>
  <c r="I78" i="9"/>
  <c r="F79" i="9" s="1"/>
  <c r="K78" i="9"/>
  <c r="I79" i="3"/>
  <c r="F80" i="3" s="1"/>
  <c r="K79" i="3"/>
  <c r="L78" i="7"/>
  <c r="J78" i="7"/>
  <c r="G79" i="7" s="1"/>
  <c r="E80" i="9"/>
  <c r="H79" i="9"/>
  <c r="N80" i="9"/>
  <c r="Q79" i="9"/>
  <c r="R77" i="8"/>
  <c r="O78" i="8" s="1"/>
  <c r="T78" i="8" s="1"/>
  <c r="J80" i="9"/>
  <c r="G80" i="9"/>
  <c r="K80" i="7"/>
  <c r="P80" i="9"/>
  <c r="F76" i="6"/>
  <c r="H80" i="7"/>
  <c r="F76" i="10"/>
  <c r="F75" i="16"/>
  <c r="F77" i="4"/>
  <c r="S80" i="9"/>
  <c r="F77" i="11"/>
  <c r="M77" i="11" l="1"/>
  <c r="O77" i="11"/>
  <c r="M77" i="4"/>
  <c r="O77" i="4"/>
  <c r="S75" i="16"/>
  <c r="U75" i="16"/>
  <c r="O76" i="10"/>
  <c r="M76" i="10"/>
  <c r="O76" i="6"/>
  <c r="M76" i="6"/>
  <c r="P75" i="10"/>
  <c r="I80" i="3"/>
  <c r="F81" i="3" s="1"/>
  <c r="K80" i="3"/>
  <c r="N81" i="9"/>
  <c r="Q80" i="9"/>
  <c r="I79" i="9"/>
  <c r="F80" i="9" s="1"/>
  <c r="K79" i="9"/>
  <c r="E81" i="9"/>
  <c r="H80" i="9"/>
  <c r="I80" i="7"/>
  <c r="F81" i="7"/>
  <c r="L79" i="7"/>
  <c r="J79" i="7"/>
  <c r="G80" i="7" s="1"/>
  <c r="R78" i="8"/>
  <c r="O79" i="8" s="1"/>
  <c r="T79" i="8" s="1"/>
  <c r="F78" i="11"/>
  <c r="J81" i="9"/>
  <c r="S81" i="9"/>
  <c r="G81" i="9"/>
  <c r="P81" i="9"/>
  <c r="H81" i="7"/>
  <c r="F76" i="16"/>
  <c r="F78" i="4"/>
  <c r="F77" i="6"/>
  <c r="F77" i="10"/>
  <c r="K81" i="7"/>
  <c r="O77" i="10" l="1"/>
  <c r="M77" i="10"/>
  <c r="P77" i="10"/>
  <c r="O77" i="6"/>
  <c r="M77" i="6"/>
  <c r="O78" i="4"/>
  <c r="M78" i="4"/>
  <c r="S76" i="16"/>
  <c r="U76" i="16"/>
  <c r="M78" i="11"/>
  <c r="O78" i="11"/>
  <c r="P76" i="10"/>
  <c r="I80" i="9"/>
  <c r="F81" i="9" s="1"/>
  <c r="K80" i="9"/>
  <c r="L80" i="7"/>
  <c r="J80" i="7"/>
  <c r="G81" i="7" s="1"/>
  <c r="N82" i="9"/>
  <c r="Q81" i="9"/>
  <c r="I81" i="7"/>
  <c r="F82" i="7"/>
  <c r="I81" i="3"/>
  <c r="F82" i="3" s="1"/>
  <c r="K81" i="3"/>
  <c r="E82" i="9"/>
  <c r="H81" i="9"/>
  <c r="R79" i="8"/>
  <c r="O80" i="8" s="1"/>
  <c r="T80" i="8" s="1"/>
  <c r="F78" i="6"/>
  <c r="G82" i="9"/>
  <c r="K82" i="7"/>
  <c r="S82" i="9"/>
  <c r="F78" i="10"/>
  <c r="F79" i="11"/>
  <c r="H82" i="7"/>
  <c r="F77" i="16"/>
  <c r="P82" i="9"/>
  <c r="F79" i="4"/>
  <c r="J82" i="9"/>
  <c r="O79" i="4" l="1"/>
  <c r="M79" i="4"/>
  <c r="S77" i="16"/>
  <c r="U77" i="16"/>
  <c r="M79" i="11"/>
  <c r="O79" i="11"/>
  <c r="M78" i="10"/>
  <c r="O78" i="10"/>
  <c r="O78" i="6"/>
  <c r="M78" i="6"/>
  <c r="N83" i="9"/>
  <c r="Q82" i="9"/>
  <c r="E83" i="9"/>
  <c r="H82" i="9"/>
  <c r="L81" i="7"/>
  <c r="J81" i="7"/>
  <c r="G82" i="7" s="1"/>
  <c r="I82" i="3"/>
  <c r="F83" i="3" s="1"/>
  <c r="K82" i="3"/>
  <c r="I81" i="9"/>
  <c r="F82" i="9" s="1"/>
  <c r="K81" i="9"/>
  <c r="I82" i="7"/>
  <c r="F83" i="7"/>
  <c r="R80" i="8"/>
  <c r="O81" i="8" s="1"/>
  <c r="T81" i="8" s="1"/>
  <c r="F80" i="11"/>
  <c r="S83" i="9"/>
  <c r="J83" i="9"/>
  <c r="F80" i="4"/>
  <c r="P83" i="9"/>
  <c r="G83" i="9"/>
  <c r="K83" i="7"/>
  <c r="F78" i="16"/>
  <c r="F79" i="10"/>
  <c r="F79" i="6"/>
  <c r="H83" i="7"/>
  <c r="O79" i="6" l="1"/>
  <c r="M79" i="6"/>
  <c r="O79" i="10"/>
  <c r="M79" i="10"/>
  <c r="P79" i="10"/>
  <c r="S78" i="16"/>
  <c r="U78" i="16"/>
  <c r="M80" i="4"/>
  <c r="O80" i="4"/>
  <c r="O80" i="11"/>
  <c r="M80" i="11"/>
  <c r="P78" i="10"/>
  <c r="L82" i="7"/>
  <c r="J82" i="7"/>
  <c r="G83" i="7" s="1"/>
  <c r="I83" i="7"/>
  <c r="F84" i="7"/>
  <c r="E84" i="9"/>
  <c r="H83" i="9"/>
  <c r="I82" i="9"/>
  <c r="F83" i="9" s="1"/>
  <c r="K82" i="9"/>
  <c r="N84" i="9"/>
  <c r="Q83" i="9"/>
  <c r="I83" i="3"/>
  <c r="F84" i="3" s="1"/>
  <c r="K83" i="3"/>
  <c r="R81" i="8"/>
  <c r="O82" i="8" s="1"/>
  <c r="T82" i="8" s="1"/>
  <c r="F80" i="6"/>
  <c r="F79" i="16"/>
  <c r="G84" i="9"/>
  <c r="S84" i="9"/>
  <c r="K84" i="7"/>
  <c r="F81" i="11"/>
  <c r="H84" i="7"/>
  <c r="P84" i="9"/>
  <c r="J84" i="9"/>
  <c r="F80" i="10"/>
  <c r="F81" i="4"/>
  <c r="M81" i="4" l="1"/>
  <c r="O81" i="4"/>
  <c r="O80" i="10"/>
  <c r="M80" i="10"/>
  <c r="M81" i="11"/>
  <c r="O81" i="11"/>
  <c r="U79" i="16"/>
  <c r="S79" i="16"/>
  <c r="O80" i="6"/>
  <c r="M80" i="6"/>
  <c r="I84" i="3"/>
  <c r="F85" i="3" s="1"/>
  <c r="K84" i="3"/>
  <c r="N85" i="9"/>
  <c r="Q84" i="9"/>
  <c r="L83" i="7"/>
  <c r="J83" i="7"/>
  <c r="G84" i="7" s="1"/>
  <c r="E85" i="9"/>
  <c r="H84" i="9"/>
  <c r="F85" i="7"/>
  <c r="I84" i="7"/>
  <c r="I83" i="9"/>
  <c r="F84" i="9" s="1"/>
  <c r="K83" i="9"/>
  <c r="R82" i="8"/>
  <c r="O83" i="8" s="1"/>
  <c r="T83" i="8" s="1"/>
  <c r="F82" i="4"/>
  <c r="F80" i="16"/>
  <c r="J85" i="9"/>
  <c r="H85" i="7"/>
  <c r="G85" i="9"/>
  <c r="K85" i="7"/>
  <c r="F82" i="11"/>
  <c r="F81" i="6"/>
  <c r="S85" i="9"/>
  <c r="F81" i="10"/>
  <c r="P85" i="9"/>
  <c r="O81" i="10" l="1"/>
  <c r="M81" i="10"/>
  <c r="P81" i="10"/>
  <c r="O81" i="6"/>
  <c r="M81" i="6"/>
  <c r="M82" i="11"/>
  <c r="O82" i="11"/>
  <c r="U80" i="16"/>
  <c r="S80" i="16"/>
  <c r="O82" i="4"/>
  <c r="M82" i="4"/>
  <c r="P80" i="10"/>
  <c r="I85" i="3"/>
  <c r="F86" i="3" s="1"/>
  <c r="K85" i="3"/>
  <c r="L84" i="7"/>
  <c r="J84" i="7"/>
  <c r="G85" i="7" s="1"/>
  <c r="I84" i="9"/>
  <c r="F85" i="9" s="1"/>
  <c r="K84" i="9"/>
  <c r="N86" i="9"/>
  <c r="Q85" i="9"/>
  <c r="I85" i="7"/>
  <c r="F86" i="7"/>
  <c r="E86" i="9"/>
  <c r="H85" i="9"/>
  <c r="R83" i="8"/>
  <c r="O84" i="8" s="1"/>
  <c r="T84" i="8" s="1"/>
  <c r="F82" i="6"/>
  <c r="F81" i="16"/>
  <c r="F82" i="10"/>
  <c r="F83" i="11"/>
  <c r="H86" i="7"/>
  <c r="J86" i="9"/>
  <c r="K86" i="7"/>
  <c r="G86" i="9"/>
  <c r="S86" i="9"/>
  <c r="P86" i="9"/>
  <c r="F83" i="4"/>
  <c r="O83" i="4" l="1"/>
  <c r="M83" i="4"/>
  <c r="M83" i="11"/>
  <c r="O83" i="11"/>
  <c r="O82" i="10"/>
  <c r="M82" i="10"/>
  <c r="P82" i="10" s="1"/>
  <c r="U81" i="16"/>
  <c r="S81" i="16"/>
  <c r="O82" i="6"/>
  <c r="M82" i="6"/>
  <c r="K85" i="9"/>
  <c r="I85" i="9"/>
  <c r="F86" i="9" s="1"/>
  <c r="E87" i="9"/>
  <c r="H86" i="9"/>
  <c r="L85" i="7"/>
  <c r="J85" i="7"/>
  <c r="G86" i="7" s="1"/>
  <c r="F87" i="7"/>
  <c r="I86" i="7"/>
  <c r="I86" i="3"/>
  <c r="F87" i="3" s="1"/>
  <c r="K86" i="3"/>
  <c r="N87" i="9"/>
  <c r="Q86" i="9"/>
  <c r="R84" i="8"/>
  <c r="O85" i="8" s="1"/>
  <c r="T85" i="8" s="1"/>
  <c r="F82" i="16"/>
  <c r="J87" i="9"/>
  <c r="G87" i="9"/>
  <c r="H87" i="7"/>
  <c r="F84" i="4"/>
  <c r="F83" i="10"/>
  <c r="F84" i="11"/>
  <c r="F83" i="6"/>
  <c r="S87" i="9"/>
  <c r="K87" i="7"/>
  <c r="P87" i="9"/>
  <c r="O83" i="6" l="1"/>
  <c r="M83" i="6"/>
  <c r="O84" i="11"/>
  <c r="M84" i="11"/>
  <c r="O83" i="10"/>
  <c r="M83" i="10"/>
  <c r="P83" i="10" s="1"/>
  <c r="O84" i="4"/>
  <c r="M84" i="4"/>
  <c r="S82" i="16"/>
  <c r="U82" i="16"/>
  <c r="L86" i="7"/>
  <c r="J86" i="7"/>
  <c r="G87" i="7" s="1"/>
  <c r="N88" i="9"/>
  <c r="Q87" i="9"/>
  <c r="E88" i="9"/>
  <c r="H87" i="9"/>
  <c r="I86" i="9"/>
  <c r="F87" i="9" s="1"/>
  <c r="K86" i="9"/>
  <c r="I87" i="3"/>
  <c r="F88" i="3" s="1"/>
  <c r="K87" i="3"/>
  <c r="I87" i="7"/>
  <c r="F88" i="7"/>
  <c r="R85" i="8"/>
  <c r="O86" i="8" s="1"/>
  <c r="T86" i="8" s="1"/>
  <c r="F85" i="4"/>
  <c r="K88" i="7"/>
  <c r="J88" i="9"/>
  <c r="F84" i="6"/>
  <c r="F84" i="10"/>
  <c r="F83" i="16"/>
  <c r="S88" i="9"/>
  <c r="G88" i="9"/>
  <c r="F85" i="11"/>
  <c r="P88" i="9"/>
  <c r="H88" i="7"/>
  <c r="M85" i="11" l="1"/>
  <c r="O85" i="11"/>
  <c r="S83" i="16"/>
  <c r="U83" i="16"/>
  <c r="O84" i="10"/>
  <c r="M84" i="10"/>
  <c r="O84" i="6"/>
  <c r="M84" i="6"/>
  <c r="O85" i="4"/>
  <c r="M85" i="4"/>
  <c r="E89" i="9"/>
  <c r="H88" i="9"/>
  <c r="I88" i="7"/>
  <c r="F89" i="7"/>
  <c r="N89" i="9"/>
  <c r="Q88" i="9"/>
  <c r="I88" i="3"/>
  <c r="F89" i="3" s="1"/>
  <c r="K88" i="3"/>
  <c r="L87" i="7"/>
  <c r="J87" i="7"/>
  <c r="G88" i="7" s="1"/>
  <c r="I87" i="9"/>
  <c r="F88" i="9" s="1"/>
  <c r="K87" i="9"/>
  <c r="R86" i="8"/>
  <c r="O87" i="8" s="1"/>
  <c r="T87" i="8" s="1"/>
  <c r="F86" i="11"/>
  <c r="F85" i="6"/>
  <c r="H89" i="7"/>
  <c r="K89" i="7"/>
  <c r="S89" i="9"/>
  <c r="G89" i="9"/>
  <c r="F84" i="16"/>
  <c r="F85" i="10"/>
  <c r="F86" i="4"/>
  <c r="J89" i="9"/>
  <c r="P89" i="9"/>
  <c r="O86" i="4" l="1"/>
  <c r="M86" i="4"/>
  <c r="O85" i="10"/>
  <c r="M85" i="10"/>
  <c r="U84" i="16"/>
  <c r="S84" i="16"/>
  <c r="O85" i="6"/>
  <c r="M85" i="6"/>
  <c r="O86" i="11"/>
  <c r="M86" i="11"/>
  <c r="P84" i="10"/>
  <c r="N90" i="9"/>
  <c r="Q89" i="9"/>
  <c r="I88" i="9"/>
  <c r="F89" i="9" s="1"/>
  <c r="K88" i="9"/>
  <c r="I89" i="7"/>
  <c r="F90" i="7"/>
  <c r="L88" i="7"/>
  <c r="J88" i="7"/>
  <c r="G89" i="7" s="1"/>
  <c r="E90" i="9"/>
  <c r="H89" i="9"/>
  <c r="I89" i="3"/>
  <c r="F90" i="3" s="1"/>
  <c r="K89" i="3"/>
  <c r="R87" i="8"/>
  <c r="O88" i="8" s="1"/>
  <c r="T88" i="8" s="1"/>
  <c r="F86" i="6"/>
  <c r="F87" i="4"/>
  <c r="S90" i="9"/>
  <c r="H90" i="7"/>
  <c r="K90" i="7"/>
  <c r="G90" i="9"/>
  <c r="F85" i="16"/>
  <c r="F87" i="11"/>
  <c r="P90" i="9"/>
  <c r="J90" i="9"/>
  <c r="F86" i="10"/>
  <c r="M86" i="10" l="1"/>
  <c r="O86" i="10"/>
  <c r="P86" i="10"/>
  <c r="M87" i="11"/>
  <c r="O87" i="11"/>
  <c r="U85" i="16"/>
  <c r="S85" i="16"/>
  <c r="M87" i="4"/>
  <c r="O87" i="4"/>
  <c r="O86" i="6"/>
  <c r="M86" i="6"/>
  <c r="P85" i="10"/>
  <c r="I90" i="7"/>
  <c r="F91" i="7"/>
  <c r="I90" i="3"/>
  <c r="F91" i="3" s="1"/>
  <c r="K90" i="3"/>
  <c r="I89" i="9"/>
  <c r="F90" i="9" s="1"/>
  <c r="K89" i="9"/>
  <c r="E91" i="9"/>
  <c r="H90" i="9"/>
  <c r="N91" i="9"/>
  <c r="Q90" i="9"/>
  <c r="L89" i="7"/>
  <c r="J89" i="7"/>
  <c r="G90" i="7" s="1"/>
  <c r="R88" i="8"/>
  <c r="O89" i="8" s="1"/>
  <c r="T89" i="8" s="1"/>
  <c r="F87" i="10"/>
  <c r="K91" i="7"/>
  <c r="G91" i="9"/>
  <c r="H91" i="7"/>
  <c r="J91" i="9"/>
  <c r="F88" i="11"/>
  <c r="F86" i="16"/>
  <c r="F87" i="6"/>
  <c r="S91" i="9"/>
  <c r="F88" i="4"/>
  <c r="P91" i="9"/>
  <c r="O88" i="4" l="1"/>
  <c r="M88" i="4"/>
  <c r="O87" i="6"/>
  <c r="M87" i="6"/>
  <c r="U86" i="16"/>
  <c r="S86" i="16"/>
  <c r="M88" i="11"/>
  <c r="O88" i="11"/>
  <c r="O87" i="10"/>
  <c r="M87" i="10"/>
  <c r="P87" i="10" s="1"/>
  <c r="N92" i="9"/>
  <c r="Q91" i="9"/>
  <c r="I90" i="9"/>
  <c r="F91" i="9" s="1"/>
  <c r="K90" i="9"/>
  <c r="L90" i="7"/>
  <c r="J90" i="7"/>
  <c r="G91" i="7" s="1"/>
  <c r="I91" i="3"/>
  <c r="F92" i="3" s="1"/>
  <c r="K91" i="3"/>
  <c r="I91" i="7"/>
  <c r="F92" i="7"/>
  <c r="E92" i="9"/>
  <c r="H91" i="9"/>
  <c r="R89" i="8"/>
  <c r="O90" i="8" s="1"/>
  <c r="T90" i="8" s="1"/>
  <c r="F89" i="4"/>
  <c r="F87" i="16"/>
  <c r="F88" i="10"/>
  <c r="F89" i="11"/>
  <c r="H92" i="7"/>
  <c r="F88" i="6"/>
  <c r="K92" i="7"/>
  <c r="O88" i="6" l="1"/>
  <c r="M88" i="6"/>
  <c r="O89" i="11"/>
  <c r="M89" i="11"/>
  <c r="M88" i="10"/>
  <c r="O88" i="10"/>
  <c r="U87" i="16"/>
  <c r="S87" i="16"/>
  <c r="M89" i="4"/>
  <c r="O89" i="4"/>
  <c r="I92" i="7"/>
  <c r="F93" i="7"/>
  <c r="I91" i="9"/>
  <c r="F92" i="9" s="1"/>
  <c r="K91" i="9"/>
  <c r="L91" i="7"/>
  <c r="J91" i="7"/>
  <c r="G92" i="7" s="1"/>
  <c r="R90" i="8"/>
  <c r="O91" i="8" s="1"/>
  <c r="T91" i="8" s="1"/>
  <c r="F88" i="16"/>
  <c r="F89" i="10"/>
  <c r="F90" i="4"/>
  <c r="F89" i="6"/>
  <c r="K93" i="7"/>
  <c r="H93" i="7"/>
  <c r="F90" i="11"/>
  <c r="M90" i="11" l="1"/>
  <c r="O90" i="11"/>
  <c r="O89" i="6"/>
  <c r="M89" i="6"/>
  <c r="O90" i="4"/>
  <c r="M90" i="4"/>
  <c r="P89" i="10"/>
  <c r="O89" i="10"/>
  <c r="M89" i="10"/>
  <c r="S88" i="16"/>
  <c r="U88" i="16"/>
  <c r="P88" i="10"/>
  <c r="L92" i="7"/>
  <c r="J92" i="7"/>
  <c r="G93" i="7" s="1"/>
  <c r="I93" i="7"/>
  <c r="F94" i="7"/>
  <c r="R91" i="8"/>
  <c r="O92" i="8" s="1"/>
  <c r="T92" i="8" s="1"/>
  <c r="F91" i="11"/>
  <c r="F90" i="10"/>
  <c r="F89" i="16"/>
  <c r="K94" i="7"/>
  <c r="F90" i="6"/>
  <c r="F91" i="4"/>
  <c r="H94" i="7"/>
  <c r="O91" i="4" l="1"/>
  <c r="M91" i="4"/>
  <c r="O90" i="6"/>
  <c r="M90" i="6"/>
  <c r="U89" i="16"/>
  <c r="S89" i="16"/>
  <c r="O90" i="10"/>
  <c r="M90" i="10"/>
  <c r="M91" i="11"/>
  <c r="O91" i="11"/>
  <c r="L93" i="7"/>
  <c r="J93" i="7"/>
  <c r="G94" i="7" s="1"/>
  <c r="I94" i="7"/>
  <c r="F95" i="7"/>
  <c r="R92" i="8"/>
  <c r="O93" i="8" s="1"/>
  <c r="T93" i="8" s="1"/>
  <c r="H95" i="7"/>
  <c r="F92" i="4"/>
  <c r="F90" i="16"/>
  <c r="F92" i="11"/>
  <c r="K95" i="7"/>
  <c r="F91" i="6"/>
  <c r="F91" i="10"/>
  <c r="M91" i="10" l="1"/>
  <c r="O91" i="10"/>
  <c r="O91" i="6"/>
  <c r="M91" i="6"/>
  <c r="U90" i="16"/>
  <c r="S90" i="16"/>
  <c r="P90" i="10"/>
  <c r="L94" i="7"/>
  <c r="J94" i="7"/>
  <c r="G95" i="7" s="1"/>
  <c r="I95" i="7"/>
  <c r="F96" i="7"/>
  <c r="R93" i="8"/>
  <c r="O94" i="8" s="1"/>
  <c r="T94" i="8" s="1"/>
  <c r="F92" i="6"/>
  <c r="H96" i="7"/>
  <c r="F92" i="10"/>
  <c r="F91" i="16"/>
  <c r="K96" i="7"/>
  <c r="U91" i="16" l="1"/>
  <c r="S91" i="16"/>
  <c r="P91" i="10"/>
  <c r="L95" i="7"/>
  <c r="J95" i="7"/>
  <c r="G96" i="7" s="1"/>
  <c r="I96" i="7"/>
  <c r="F97" i="7"/>
  <c r="R94" i="8"/>
  <c r="O95" i="8" s="1"/>
  <c r="T95" i="8" s="1"/>
  <c r="B9" i="11"/>
  <c r="B9" i="10"/>
  <c r="K97" i="7"/>
  <c r="F92" i="16"/>
  <c r="H97" i="7"/>
  <c r="L96" i="7" l="1"/>
  <c r="J96" i="7"/>
  <c r="G97" i="7" s="1"/>
  <c r="I97" i="7"/>
  <c r="F98" i="7"/>
  <c r="R95" i="8"/>
  <c r="O96" i="8" s="1"/>
  <c r="T96" i="8" s="1"/>
  <c r="H98" i="7"/>
  <c r="K98" i="7"/>
  <c r="L97" i="7" l="1"/>
  <c r="J97" i="7"/>
  <c r="G98" i="7" s="1"/>
  <c r="I98" i="7"/>
  <c r="F99" i="7"/>
  <c r="R96" i="8"/>
  <c r="O97" i="8" s="1"/>
  <c r="T97" i="8" s="1"/>
  <c r="H99" i="7"/>
  <c r="K99" i="7"/>
  <c r="L98" i="7" l="1"/>
  <c r="J98" i="7"/>
  <c r="G99" i="7" s="1"/>
  <c r="I99" i="7"/>
  <c r="F100" i="7"/>
  <c r="R97" i="8"/>
  <c r="O98" i="8" s="1"/>
  <c r="T98" i="8" s="1"/>
  <c r="H100" i="7"/>
  <c r="K100" i="7"/>
  <c r="I100" i="7" l="1"/>
  <c r="F101" i="7"/>
  <c r="L99" i="7"/>
  <c r="J99" i="7"/>
  <c r="G100" i="7" s="1"/>
  <c r="R98" i="8"/>
  <c r="O99" i="8" s="1"/>
  <c r="T99" i="8" s="1"/>
  <c r="H101" i="7"/>
  <c r="K101" i="7"/>
  <c r="L100" i="7" l="1"/>
  <c r="J100" i="7"/>
  <c r="G101" i="7" s="1"/>
  <c r="I101" i="7"/>
  <c r="F102" i="7"/>
  <c r="H102" i="7"/>
  <c r="K102" i="7"/>
  <c r="I102" i="7" l="1"/>
  <c r="F103" i="7"/>
  <c r="L101" i="7"/>
  <c r="J101" i="7"/>
  <c r="G102" i="7" s="1"/>
  <c r="H103" i="7"/>
  <c r="K103" i="7"/>
  <c r="L102" i="7" l="1"/>
  <c r="J102" i="7"/>
  <c r="G103" i="7" s="1"/>
  <c r="F104" i="7"/>
  <c r="I103" i="7"/>
  <c r="H104" i="7"/>
  <c r="K104" i="7"/>
  <c r="I104" i="7" l="1"/>
  <c r="F105" i="7"/>
  <c r="L103" i="7"/>
  <c r="J103" i="7"/>
  <c r="G104" i="7" s="1"/>
  <c r="H105" i="7"/>
  <c r="K105" i="7"/>
  <c r="L104" i="7" l="1"/>
  <c r="J104" i="7"/>
  <c r="G105" i="7" s="1"/>
  <c r="I105" i="7"/>
  <c r="F106" i="7"/>
  <c r="H106" i="7"/>
  <c r="K106" i="7"/>
  <c r="I106" i="7" l="1"/>
  <c r="F107" i="7"/>
  <c r="L105" i="7"/>
  <c r="J105" i="7"/>
  <c r="G106" i="7" s="1"/>
  <c r="H107" i="7"/>
  <c r="K107" i="7"/>
  <c r="L106" i="7" l="1"/>
  <c r="J106" i="7"/>
  <c r="G107" i="7" s="1"/>
  <c r="I107" i="7"/>
  <c r="F108" i="7"/>
  <c r="H108" i="7"/>
  <c r="K108" i="7"/>
  <c r="F109" i="7" l="1"/>
  <c r="I108" i="7"/>
  <c r="L107" i="7"/>
  <c r="J107" i="7"/>
  <c r="G108" i="7" s="1"/>
  <c r="H109" i="7"/>
  <c r="K109" i="7"/>
  <c r="L108" i="7" l="1"/>
  <c r="J108" i="7"/>
  <c r="G109" i="7" s="1"/>
  <c r="I109" i="7"/>
  <c r="F110" i="7"/>
  <c r="H110" i="7"/>
  <c r="K110" i="7"/>
  <c r="I110" i="7" l="1"/>
  <c r="F111" i="7"/>
  <c r="L109" i="7"/>
  <c r="J109" i="7"/>
  <c r="G110" i="7" s="1"/>
  <c r="H111" i="7"/>
  <c r="K111" i="7"/>
  <c r="L110" i="7" l="1"/>
  <c r="J110" i="7"/>
  <c r="G111" i="7" s="1"/>
  <c r="I111" i="7"/>
  <c r="F112" i="7"/>
  <c r="H112" i="7"/>
  <c r="K112" i="7"/>
  <c r="F113" i="7" l="1"/>
  <c r="I112" i="7"/>
  <c r="L111" i="7"/>
  <c r="J111" i="7"/>
  <c r="G112" i="7" s="1"/>
  <c r="H113" i="7"/>
  <c r="K113" i="7"/>
  <c r="L112" i="7" l="1"/>
  <c r="J112" i="7"/>
  <c r="G113" i="7" s="1"/>
  <c r="I113" i="7"/>
  <c r="F114" i="7"/>
  <c r="H114" i="7"/>
  <c r="K114" i="7"/>
  <c r="F115" i="7" l="1"/>
  <c r="I114" i="7"/>
  <c r="L113" i="7"/>
  <c r="J113" i="7"/>
  <c r="G114" i="7" s="1"/>
  <c r="K115" i="7"/>
  <c r="H115" i="7"/>
  <c r="L114" i="7" l="1"/>
  <c r="J114" i="7"/>
  <c r="G115" i="7" s="1"/>
  <c r="I115" i="7"/>
  <c r="F116" i="7"/>
  <c r="H116" i="7"/>
  <c r="K116" i="7"/>
  <c r="I116" i="7" l="1"/>
  <c r="F117" i="7"/>
  <c r="L115" i="7"/>
  <c r="J115" i="7"/>
  <c r="G116" i="7" s="1"/>
  <c r="H117" i="7"/>
  <c r="K117" i="7"/>
  <c r="L116" i="7" l="1"/>
  <c r="J116" i="7"/>
  <c r="G117" i="7" s="1"/>
  <c r="F118" i="7"/>
  <c r="I117" i="7"/>
  <c r="H118" i="7"/>
  <c r="K118" i="7"/>
  <c r="L117" i="7" l="1"/>
  <c r="J117" i="7"/>
  <c r="G118" i="7" s="1"/>
  <c r="F119" i="7"/>
  <c r="I118" i="7"/>
  <c r="H119" i="7"/>
  <c r="K119" i="7"/>
  <c r="I119" i="7" l="1"/>
  <c r="F120" i="7"/>
  <c r="L118" i="7"/>
  <c r="J118" i="7"/>
  <c r="G119" i="7" s="1"/>
  <c r="H120" i="7"/>
  <c r="K120" i="7"/>
  <c r="L119" i="7" l="1"/>
  <c r="J119" i="7"/>
  <c r="G120" i="7" s="1"/>
  <c r="I120" i="7"/>
  <c r="F121" i="7"/>
  <c r="H121" i="7"/>
  <c r="K121" i="7"/>
  <c r="F122" i="7" l="1"/>
  <c r="I121" i="7"/>
  <c r="L120" i="7"/>
  <c r="J120" i="7"/>
  <c r="G121" i="7" s="1"/>
  <c r="H122" i="7"/>
  <c r="K122" i="7"/>
  <c r="L121" i="7" l="1"/>
  <c r="J121" i="7"/>
  <c r="G122" i="7" s="1"/>
  <c r="F123" i="7"/>
  <c r="I122" i="7"/>
  <c r="H123" i="7"/>
  <c r="K123" i="7"/>
  <c r="L122" i="7" l="1"/>
  <c r="J122" i="7"/>
  <c r="G123" i="7" s="1"/>
  <c r="I123" i="7"/>
  <c r="F124" i="7"/>
  <c r="H124" i="7"/>
  <c r="K124" i="7"/>
  <c r="F125" i="7" l="1"/>
  <c r="I124" i="7"/>
  <c r="L123" i="7"/>
  <c r="J123" i="7"/>
  <c r="G124" i="7" s="1"/>
  <c r="H125" i="7"/>
  <c r="K125" i="7"/>
  <c r="L124" i="7" l="1"/>
  <c r="J124" i="7"/>
  <c r="G125" i="7" s="1"/>
  <c r="I125" i="7"/>
  <c r="F126" i="7"/>
  <c r="H126" i="7"/>
  <c r="K126" i="7"/>
  <c r="I126" i="7" l="1"/>
  <c r="F127" i="7"/>
  <c r="L125" i="7"/>
  <c r="J125" i="7"/>
  <c r="G126" i="7" s="1"/>
  <c r="H127" i="7"/>
  <c r="K127" i="7"/>
  <c r="L126" i="7" l="1"/>
  <c r="J126" i="7"/>
  <c r="G127" i="7" s="1"/>
  <c r="F128" i="7"/>
  <c r="I127" i="7"/>
  <c r="K128" i="7"/>
  <c r="H128" i="7"/>
  <c r="L127" i="7" l="1"/>
  <c r="J127" i="7"/>
  <c r="G128" i="7" s="1"/>
  <c r="I128" i="7"/>
  <c r="F129" i="7"/>
  <c r="K129" i="7"/>
  <c r="H129" i="7"/>
  <c r="F130" i="7" l="1"/>
  <c r="I129" i="7"/>
  <c r="L128" i="7"/>
  <c r="J128" i="7"/>
  <c r="G129" i="7" s="1"/>
  <c r="H130" i="7"/>
  <c r="K130" i="7"/>
  <c r="L129" i="7" l="1"/>
  <c r="J129" i="7"/>
  <c r="G130" i="7" s="1"/>
  <c r="I130" i="7"/>
  <c r="F131" i="7"/>
  <c r="H131" i="7"/>
  <c r="K131" i="7"/>
  <c r="I131" i="7" l="1"/>
  <c r="F132" i="7"/>
  <c r="L130" i="7"/>
  <c r="J130" i="7"/>
  <c r="G131" i="7" s="1"/>
  <c r="H132" i="7"/>
  <c r="K132" i="7"/>
  <c r="L131" i="7" l="1"/>
  <c r="J131" i="7"/>
  <c r="G132" i="7" s="1"/>
  <c r="I132" i="7"/>
  <c r="F133" i="7"/>
  <c r="R36" i="9"/>
  <c r="O37" i="9" s="1"/>
  <c r="T37" i="9" s="1"/>
  <c r="H133" i="7"/>
  <c r="K133" i="7"/>
  <c r="I133" i="7" l="1"/>
  <c r="F134" i="7"/>
  <c r="L132" i="7"/>
  <c r="J132" i="7"/>
  <c r="G133" i="7" s="1"/>
  <c r="R37" i="9"/>
  <c r="O38" i="9" s="1"/>
  <c r="T38" i="9" s="1"/>
  <c r="H134" i="7"/>
  <c r="K134" i="7"/>
  <c r="L133" i="7" l="1"/>
  <c r="J133" i="7"/>
  <c r="G134" i="7" s="1"/>
  <c r="I134" i="7"/>
  <c r="F135" i="7"/>
  <c r="R38" i="9"/>
  <c r="O39" i="9" s="1"/>
  <c r="T39" i="9" s="1"/>
  <c r="H135" i="7"/>
  <c r="K135" i="7"/>
  <c r="L134" i="7" l="1"/>
  <c r="J134" i="7"/>
  <c r="G135" i="7" s="1"/>
  <c r="F136" i="7"/>
  <c r="I135" i="7"/>
  <c r="R39" i="9"/>
  <c r="O40" i="9" s="1"/>
  <c r="T40" i="9" s="1"/>
  <c r="H136" i="7"/>
  <c r="K136" i="7"/>
  <c r="F137" i="7" l="1"/>
  <c r="I136" i="7"/>
  <c r="L135" i="7"/>
  <c r="J135" i="7"/>
  <c r="G136" i="7" s="1"/>
  <c r="R40" i="9"/>
  <c r="O41" i="9" s="1"/>
  <c r="T41" i="9" s="1"/>
  <c r="H137" i="7"/>
  <c r="K137" i="7"/>
  <c r="L136" i="7" l="1"/>
  <c r="J136" i="7"/>
  <c r="G137" i="7" s="1"/>
  <c r="F138" i="7"/>
  <c r="I137" i="7"/>
  <c r="H138" i="7"/>
  <c r="K138" i="7"/>
  <c r="F139" i="7" l="1"/>
  <c r="I138" i="7"/>
  <c r="L137" i="7"/>
  <c r="J137" i="7"/>
  <c r="G138" i="7" s="1"/>
  <c r="R41" i="9"/>
  <c r="O42" i="9" s="1"/>
  <c r="T42" i="9" s="1"/>
  <c r="B10" i="9"/>
  <c r="B9" i="9"/>
  <c r="B9" i="3"/>
  <c r="B10" i="8"/>
  <c r="B9" i="8"/>
  <c r="B9" i="7"/>
  <c r="K139" i="7"/>
  <c r="H139" i="7"/>
  <c r="L138" i="7" l="1"/>
  <c r="J138" i="7"/>
  <c r="G139" i="7" s="1"/>
  <c r="F140" i="7"/>
  <c r="I139" i="7"/>
  <c r="R42" i="9"/>
  <c r="O43" i="9" s="1"/>
  <c r="T43" i="9" s="1"/>
  <c r="H140" i="7"/>
  <c r="K140" i="7"/>
  <c r="I140" i="7" l="1"/>
  <c r="F141" i="7"/>
  <c r="L139" i="7"/>
  <c r="J139" i="7"/>
  <c r="G140" i="7" s="1"/>
  <c r="R43" i="9"/>
  <c r="O44" i="9" s="1"/>
  <c r="T44" i="9" s="1"/>
  <c r="H141" i="7"/>
  <c r="K141" i="7"/>
  <c r="F142" i="7" l="1"/>
  <c r="I141" i="7"/>
  <c r="L140" i="7"/>
  <c r="J140" i="7"/>
  <c r="G141" i="7" s="1"/>
  <c r="H142" i="7"/>
  <c r="K142" i="7"/>
  <c r="L141" i="7" l="1"/>
  <c r="J141" i="7"/>
  <c r="G142" i="7" s="1"/>
  <c r="I142" i="7"/>
  <c r="F143" i="7"/>
  <c r="H143" i="7"/>
  <c r="K143" i="7"/>
  <c r="L142" i="7" l="1"/>
  <c r="J142" i="7"/>
  <c r="G143" i="7" s="1"/>
  <c r="F144" i="7"/>
  <c r="I143" i="7"/>
  <c r="R99" i="8"/>
  <c r="O100" i="8" s="1"/>
  <c r="T100" i="8" s="1"/>
  <c r="H144" i="7"/>
  <c r="K144" i="7"/>
  <c r="I144" i="7" l="1"/>
  <c r="F145" i="7"/>
  <c r="L143" i="7"/>
  <c r="J143" i="7"/>
  <c r="G144" i="7" s="1"/>
  <c r="R100" i="8"/>
  <c r="O101" i="8" s="1"/>
  <c r="T101" i="8" s="1"/>
  <c r="H145" i="7"/>
  <c r="K145" i="7"/>
  <c r="I145" i="7" l="1"/>
  <c r="F146" i="7"/>
  <c r="L144" i="7"/>
  <c r="J144" i="7"/>
  <c r="G145" i="7" s="1"/>
  <c r="R101" i="8"/>
  <c r="O102" i="8" s="1"/>
  <c r="T102" i="8" s="1"/>
  <c r="H146" i="7"/>
  <c r="K146" i="7"/>
  <c r="F147" i="7" l="1"/>
  <c r="I146" i="7"/>
  <c r="L145" i="7"/>
  <c r="J145" i="7"/>
  <c r="G146" i="7" s="1"/>
  <c r="R102" i="8"/>
  <c r="O103" i="8" s="1"/>
  <c r="T103" i="8" s="1"/>
  <c r="H147" i="7"/>
  <c r="K147" i="7"/>
  <c r="L146" i="7" l="1"/>
  <c r="J146" i="7"/>
  <c r="G147" i="7" s="1"/>
  <c r="F148" i="7"/>
  <c r="I147" i="7"/>
  <c r="R103" i="8"/>
  <c r="O104" i="8" s="1"/>
  <c r="T104" i="8" s="1"/>
  <c r="H148" i="7"/>
  <c r="K148" i="7"/>
  <c r="L147" i="7" l="1"/>
  <c r="J147" i="7"/>
  <c r="G148" i="7" s="1"/>
  <c r="F149" i="7"/>
  <c r="I148" i="7"/>
  <c r="R104" i="8"/>
  <c r="O105" i="8" s="1"/>
  <c r="T105" i="8" s="1"/>
  <c r="K149" i="7"/>
  <c r="H149" i="7"/>
  <c r="L148" i="7" l="1"/>
  <c r="J148" i="7"/>
  <c r="G149" i="7" s="1"/>
  <c r="F150" i="7"/>
  <c r="I149" i="7"/>
  <c r="R105" i="8"/>
  <c r="O106" i="8" s="1"/>
  <c r="T106" i="8" s="1"/>
  <c r="H150" i="7"/>
  <c r="K150" i="7"/>
  <c r="L149" i="7" l="1"/>
  <c r="J149" i="7"/>
  <c r="G150" i="7" s="1"/>
  <c r="F151" i="7"/>
  <c r="I150" i="7"/>
  <c r="R106" i="8"/>
  <c r="O107" i="8" s="1"/>
  <c r="T107" i="8" s="1"/>
  <c r="K151" i="7"/>
  <c r="H151" i="7"/>
  <c r="L150" i="7" l="1"/>
  <c r="J150" i="7"/>
  <c r="G151" i="7" s="1"/>
  <c r="F152" i="7"/>
  <c r="I151" i="7"/>
  <c r="R107" i="8"/>
  <c r="O108" i="8" s="1"/>
  <c r="T108" i="8" s="1"/>
  <c r="H152" i="7"/>
  <c r="K152" i="7"/>
  <c r="L151" i="7" l="1"/>
  <c r="J151" i="7"/>
  <c r="G152" i="7" s="1"/>
  <c r="F153" i="7"/>
  <c r="I152" i="7"/>
  <c r="R108" i="8"/>
  <c r="O109" i="8" s="1"/>
  <c r="T109" i="8" s="1"/>
  <c r="K153" i="7"/>
  <c r="H153" i="7"/>
  <c r="F154" i="7" l="1"/>
  <c r="I153" i="7"/>
  <c r="L152" i="7"/>
  <c r="J152" i="7"/>
  <c r="G153" i="7" s="1"/>
  <c r="R109" i="8"/>
  <c r="O110" i="8" s="1"/>
  <c r="T110" i="8" s="1"/>
  <c r="H154" i="7"/>
  <c r="K154" i="7"/>
  <c r="L153" i="7" l="1"/>
  <c r="J153" i="7"/>
  <c r="G154" i="7" s="1"/>
  <c r="F155" i="7"/>
  <c r="I154" i="7"/>
  <c r="R110" i="8"/>
  <c r="O111" i="8" s="1"/>
  <c r="T111" i="8" s="1"/>
  <c r="H155" i="7"/>
  <c r="K155" i="7"/>
  <c r="F156" i="7" l="1"/>
  <c r="I155" i="7"/>
  <c r="L154" i="7"/>
  <c r="J154" i="7"/>
  <c r="G155" i="7" s="1"/>
  <c r="R111" i="8"/>
  <c r="O112" i="8" s="1"/>
  <c r="T112" i="8" s="1"/>
  <c r="H156" i="7"/>
  <c r="K156" i="7"/>
  <c r="L155" i="7" l="1"/>
  <c r="J155" i="7"/>
  <c r="G156" i="7" s="1"/>
  <c r="F157" i="7"/>
  <c r="I156" i="7"/>
  <c r="R112" i="8"/>
  <c r="O113" i="8" s="1"/>
  <c r="T113" i="8" s="1"/>
  <c r="K157" i="7"/>
  <c r="H157" i="7"/>
  <c r="F158" i="7" l="1"/>
  <c r="I157" i="7"/>
  <c r="L156" i="7"/>
  <c r="J156" i="7"/>
  <c r="G157" i="7" s="1"/>
  <c r="R113" i="8"/>
  <c r="O114" i="8" s="1"/>
  <c r="T114" i="8" s="1"/>
  <c r="H158" i="7"/>
  <c r="K158" i="7"/>
  <c r="L157" i="7" l="1"/>
  <c r="J157" i="7"/>
  <c r="G158" i="7" s="1"/>
  <c r="F159" i="7"/>
  <c r="I158" i="7"/>
  <c r="R114" i="8"/>
  <c r="O115" i="8" s="1"/>
  <c r="T115" i="8" s="1"/>
  <c r="H159" i="7"/>
  <c r="K159" i="7"/>
  <c r="F160" i="7" l="1"/>
  <c r="I159" i="7"/>
  <c r="L158" i="7"/>
  <c r="J158" i="7"/>
  <c r="G159" i="7" s="1"/>
  <c r="R115" i="8"/>
  <c r="O116" i="8" s="1"/>
  <c r="T116" i="8" s="1"/>
  <c r="H160" i="7"/>
  <c r="K160" i="7"/>
  <c r="L159" i="7" l="1"/>
  <c r="J159" i="7"/>
  <c r="G160" i="7" s="1"/>
  <c r="F161" i="7"/>
  <c r="I160" i="7"/>
  <c r="R116" i="8"/>
  <c r="O117" i="8" s="1"/>
  <c r="T117" i="8" s="1"/>
  <c r="H161" i="7"/>
  <c r="K161" i="7"/>
  <c r="F162" i="7" l="1"/>
  <c r="I161" i="7"/>
  <c r="L160" i="7"/>
  <c r="J160" i="7"/>
  <c r="G161" i="7" s="1"/>
  <c r="R117" i="8"/>
  <c r="O118" i="8" s="1"/>
  <c r="T118" i="8" s="1"/>
  <c r="H162" i="7"/>
  <c r="K162" i="7"/>
  <c r="L161" i="7" l="1"/>
  <c r="J161" i="7"/>
  <c r="G162" i="7" s="1"/>
  <c r="F163" i="7"/>
  <c r="I162" i="7"/>
  <c r="R118" i="8"/>
  <c r="O119" i="8" s="1"/>
  <c r="T119" i="8" s="1"/>
  <c r="H163" i="7"/>
  <c r="K163" i="7"/>
  <c r="F164" i="7" l="1"/>
  <c r="I163" i="7"/>
  <c r="L162" i="7"/>
  <c r="J162" i="7"/>
  <c r="G163" i="7" s="1"/>
  <c r="R119" i="8"/>
  <c r="O120" i="8" s="1"/>
  <c r="T120" i="8" s="1"/>
  <c r="H164" i="7"/>
  <c r="K164" i="7"/>
  <c r="L163" i="7" l="1"/>
  <c r="J163" i="7"/>
  <c r="G164" i="7" s="1"/>
  <c r="F165" i="7"/>
  <c r="I164" i="7"/>
  <c r="R120" i="8"/>
  <c r="O121" i="8" s="1"/>
  <c r="T121" i="8" s="1"/>
  <c r="K165" i="7"/>
  <c r="H165" i="7"/>
  <c r="F166" i="7" l="1"/>
  <c r="I165" i="7"/>
  <c r="L164" i="7"/>
  <c r="J164" i="7"/>
  <c r="G165" i="7" s="1"/>
  <c r="R121" i="8"/>
  <c r="O122" i="8" s="1"/>
  <c r="T122" i="8" s="1"/>
  <c r="H166" i="7"/>
  <c r="K166" i="7"/>
  <c r="L165" i="7" l="1"/>
  <c r="J165" i="7"/>
  <c r="G166" i="7" s="1"/>
  <c r="F167" i="7"/>
  <c r="I166" i="7"/>
  <c r="R122" i="8"/>
  <c r="O123" i="8" s="1"/>
  <c r="T123" i="8" s="1"/>
  <c r="H167" i="7"/>
  <c r="K167" i="7"/>
  <c r="F168" i="7" l="1"/>
  <c r="I167" i="7"/>
  <c r="L166" i="7"/>
  <c r="J166" i="7"/>
  <c r="G167" i="7" s="1"/>
  <c r="R123" i="8"/>
  <c r="O124" i="8" s="1"/>
  <c r="T124" i="8" s="1"/>
  <c r="H168" i="7"/>
  <c r="K168" i="7"/>
  <c r="L167" i="7" l="1"/>
  <c r="J167" i="7"/>
  <c r="G168" i="7" s="1"/>
  <c r="F169" i="7"/>
  <c r="I168" i="7"/>
  <c r="R124" i="8"/>
  <c r="O125" i="8" s="1"/>
  <c r="T125" i="8" s="1"/>
  <c r="H169" i="7"/>
  <c r="K169" i="7"/>
  <c r="L168" i="7" l="1"/>
  <c r="J168" i="7"/>
  <c r="G169" i="7" s="1"/>
  <c r="F170" i="7"/>
  <c r="I169" i="7"/>
  <c r="R125" i="8"/>
  <c r="O126" i="8" s="1"/>
  <c r="T126" i="8" s="1"/>
  <c r="K170" i="7"/>
  <c r="H170" i="7"/>
  <c r="L169" i="7" l="1"/>
  <c r="J169" i="7"/>
  <c r="G170" i="7" s="1"/>
  <c r="I170" i="7"/>
  <c r="F171" i="7"/>
  <c r="R126" i="8"/>
  <c r="O127" i="8" s="1"/>
  <c r="T127" i="8" s="1"/>
  <c r="H171" i="7"/>
  <c r="K171" i="7"/>
  <c r="L170" i="7" l="1"/>
  <c r="J170" i="7"/>
  <c r="G171" i="7" s="1"/>
  <c r="F172" i="7"/>
  <c r="I171" i="7"/>
  <c r="R127" i="8"/>
  <c r="O128" i="8" s="1"/>
  <c r="T128" i="8" s="1"/>
  <c r="K172" i="7"/>
  <c r="H172" i="7"/>
  <c r="F173" i="7" l="1"/>
  <c r="I172" i="7"/>
  <c r="L171" i="7"/>
  <c r="J171" i="7"/>
  <c r="G172" i="7" s="1"/>
  <c r="R128" i="8"/>
  <c r="O129" i="8" s="1"/>
  <c r="T129" i="8" s="1"/>
  <c r="H173" i="7"/>
  <c r="K173" i="7"/>
  <c r="L172" i="7" l="1"/>
  <c r="J172" i="7"/>
  <c r="G173" i="7" s="1"/>
  <c r="F174" i="7"/>
  <c r="I173" i="7"/>
  <c r="R129" i="8"/>
  <c r="O130" i="8" s="1"/>
  <c r="T130" i="8" s="1"/>
  <c r="H174" i="7"/>
  <c r="K174" i="7"/>
  <c r="F175" i="7" l="1"/>
  <c r="I174" i="7"/>
  <c r="L173" i="7"/>
  <c r="J173" i="7"/>
  <c r="G174" i="7" s="1"/>
  <c r="R130" i="8"/>
  <c r="O131" i="8" s="1"/>
  <c r="T131" i="8" s="1"/>
  <c r="H175" i="7"/>
  <c r="K175" i="7"/>
  <c r="L174" i="7" l="1"/>
  <c r="J174" i="7"/>
  <c r="G175" i="7" s="1"/>
  <c r="F176" i="7"/>
  <c r="I175" i="7"/>
  <c r="R131" i="8"/>
  <c r="O132" i="8" s="1"/>
  <c r="T132" i="8" s="1"/>
  <c r="K176" i="7"/>
  <c r="H176" i="7"/>
  <c r="F177" i="7" l="1"/>
  <c r="I176" i="7"/>
  <c r="L175" i="7"/>
  <c r="J175" i="7"/>
  <c r="G176" i="7" s="1"/>
  <c r="R132" i="8"/>
  <c r="O133" i="8" s="1"/>
  <c r="T133" i="8" s="1"/>
  <c r="K177" i="7"/>
  <c r="H177" i="7"/>
  <c r="L176" i="7" l="1"/>
  <c r="J176" i="7"/>
  <c r="G177" i="7" s="1"/>
  <c r="F178" i="7"/>
  <c r="I177" i="7"/>
  <c r="R133" i="8"/>
  <c r="O134" i="8" s="1"/>
  <c r="T134" i="8" s="1"/>
  <c r="H178" i="7"/>
  <c r="K178" i="7"/>
  <c r="F179" i="7" l="1"/>
  <c r="I178" i="7"/>
  <c r="L177" i="7"/>
  <c r="J177" i="7"/>
  <c r="G178" i="7" s="1"/>
  <c r="R134" i="8"/>
  <c r="O135" i="8" s="1"/>
  <c r="T135" i="8" s="1"/>
  <c r="K179" i="7"/>
  <c r="H179" i="7"/>
  <c r="L178" i="7" l="1"/>
  <c r="J178" i="7"/>
  <c r="G179" i="7" s="1"/>
  <c r="F180" i="7"/>
  <c r="I179" i="7"/>
  <c r="R135" i="8"/>
  <c r="O136" i="8" s="1"/>
  <c r="T136" i="8" s="1"/>
  <c r="H180" i="7"/>
  <c r="K180" i="7"/>
  <c r="F181" i="7" l="1"/>
  <c r="I180" i="7"/>
  <c r="L179" i="7"/>
  <c r="J179" i="7"/>
  <c r="G180" i="7" s="1"/>
  <c r="R44" i="9"/>
  <c r="O45" i="9" s="1"/>
  <c r="T45" i="9" s="1"/>
  <c r="R136" i="8"/>
  <c r="O137" i="8" s="1"/>
  <c r="T137" i="8" s="1"/>
  <c r="K181" i="7"/>
  <c r="H181" i="7"/>
  <c r="L180" i="7" l="1"/>
  <c r="J180" i="7"/>
  <c r="G181" i="7" s="1"/>
  <c r="F182" i="7"/>
  <c r="I181" i="7"/>
  <c r="R45" i="9"/>
  <c r="O46" i="9" s="1"/>
  <c r="T46" i="9" s="1"/>
  <c r="R137" i="8"/>
  <c r="O138" i="8" s="1"/>
  <c r="T138" i="8" s="1"/>
  <c r="H182" i="7"/>
  <c r="K182" i="7"/>
  <c r="F183" i="7" l="1"/>
  <c r="I182" i="7"/>
  <c r="L181" i="7"/>
  <c r="J181" i="7"/>
  <c r="G182" i="7" s="1"/>
  <c r="R46" i="9"/>
  <c r="O47" i="9" s="1"/>
  <c r="T47" i="9" s="1"/>
  <c r="R138" i="8"/>
  <c r="O139" i="8" s="1"/>
  <c r="T139" i="8" s="1"/>
  <c r="H183" i="7"/>
  <c r="K183" i="7"/>
  <c r="L182" i="7" l="1"/>
  <c r="J182" i="7"/>
  <c r="G183" i="7" s="1"/>
  <c r="I183" i="7"/>
  <c r="F184" i="7"/>
  <c r="R47" i="9"/>
  <c r="O48" i="9" s="1"/>
  <c r="T48" i="9" s="1"/>
  <c r="R139" i="8"/>
  <c r="O140" i="8" s="1"/>
  <c r="T140" i="8" s="1"/>
  <c r="H184" i="7"/>
  <c r="K184" i="7"/>
  <c r="L183" i="7" l="1"/>
  <c r="J183" i="7"/>
  <c r="G184" i="7" s="1"/>
  <c r="I184" i="7"/>
  <c r="F185" i="7"/>
  <c r="R48" i="9"/>
  <c r="O49" i="9" s="1"/>
  <c r="T49" i="9" s="1"/>
  <c r="R140" i="8"/>
  <c r="O141" i="8" s="1"/>
  <c r="T141" i="8" s="1"/>
  <c r="H185" i="7"/>
  <c r="K185" i="7"/>
  <c r="L184" i="7" l="1"/>
  <c r="J184" i="7"/>
  <c r="G185" i="7" s="1"/>
  <c r="I185" i="7"/>
  <c r="F186" i="7"/>
  <c r="R49" i="9"/>
  <c r="O50" i="9" s="1"/>
  <c r="T50" i="9" s="1"/>
  <c r="R141" i="8"/>
  <c r="O142" i="8" s="1"/>
  <c r="T142" i="8" s="1"/>
  <c r="K186" i="7"/>
  <c r="H186" i="7"/>
  <c r="L185" i="7" l="1"/>
  <c r="J185" i="7"/>
  <c r="G186" i="7" s="1"/>
  <c r="I186" i="7"/>
  <c r="F187" i="7"/>
  <c r="R50" i="9"/>
  <c r="O51" i="9" s="1"/>
  <c r="T51" i="9" s="1"/>
  <c r="R142" i="8"/>
  <c r="O143" i="8" s="1"/>
  <c r="T143" i="8" s="1"/>
  <c r="H187" i="7"/>
  <c r="K187" i="7"/>
  <c r="L186" i="7" l="1"/>
  <c r="J186" i="7"/>
  <c r="G187" i="7" s="1"/>
  <c r="I187" i="7"/>
  <c r="F188" i="7"/>
  <c r="R51" i="9"/>
  <c r="O52" i="9" s="1"/>
  <c r="T52" i="9" s="1"/>
  <c r="R143" i="8"/>
  <c r="O144" i="8" s="1"/>
  <c r="T144" i="8" s="1"/>
  <c r="H188" i="7"/>
  <c r="K188" i="7"/>
  <c r="L187" i="7" l="1"/>
  <c r="J187" i="7"/>
  <c r="G188" i="7" s="1"/>
  <c r="I188" i="7"/>
  <c r="F189" i="7"/>
  <c r="R52" i="9"/>
  <c r="O53" i="9" s="1"/>
  <c r="T53" i="9" s="1"/>
  <c r="R144" i="8"/>
  <c r="O145" i="8" s="1"/>
  <c r="T145" i="8" s="1"/>
  <c r="H189" i="7"/>
  <c r="K189" i="7"/>
  <c r="L188" i="7" l="1"/>
  <c r="J188" i="7"/>
  <c r="G189" i="7" s="1"/>
  <c r="I189" i="7"/>
  <c r="F190" i="7"/>
  <c r="R53" i="9"/>
  <c r="O54" i="9" s="1"/>
  <c r="T54" i="9" s="1"/>
  <c r="R145" i="8"/>
  <c r="O146" i="8" s="1"/>
  <c r="T146" i="8" s="1"/>
  <c r="H190" i="7"/>
  <c r="K190" i="7"/>
  <c r="L189" i="7" l="1"/>
  <c r="J189" i="7"/>
  <c r="G190" i="7" s="1"/>
  <c r="I190" i="7"/>
  <c r="F191" i="7"/>
  <c r="R54" i="9"/>
  <c r="O55" i="9" s="1"/>
  <c r="T55" i="9" s="1"/>
  <c r="R146" i="8"/>
  <c r="O147" i="8" s="1"/>
  <c r="T147" i="8" s="1"/>
  <c r="H191" i="7"/>
  <c r="K191" i="7"/>
  <c r="L190" i="7" l="1"/>
  <c r="J190" i="7"/>
  <c r="G191" i="7" s="1"/>
  <c r="I191" i="7"/>
  <c r="F192" i="7"/>
  <c r="R147" i="8"/>
  <c r="O148" i="8" s="1"/>
  <c r="T148" i="8" s="1"/>
  <c r="H192" i="7"/>
  <c r="K192" i="7"/>
  <c r="I192" i="7" l="1"/>
  <c r="F193" i="7"/>
  <c r="L191" i="7"/>
  <c r="J191" i="7"/>
  <c r="G192" i="7" s="1"/>
  <c r="R55" i="9"/>
  <c r="O56" i="9" s="1"/>
  <c r="T56" i="9" s="1"/>
  <c r="R148" i="8"/>
  <c r="O149" i="8" s="1"/>
  <c r="T149" i="8" s="1"/>
  <c r="K193" i="7"/>
  <c r="H193" i="7"/>
  <c r="I193" i="7" l="1"/>
  <c r="F194" i="7"/>
  <c r="L192" i="7"/>
  <c r="J192" i="7"/>
  <c r="G193" i="7" s="1"/>
  <c r="R149" i="8"/>
  <c r="O150" i="8" s="1"/>
  <c r="T150" i="8" s="1"/>
  <c r="H194" i="7"/>
  <c r="K194" i="7"/>
  <c r="L193" i="7" l="1"/>
  <c r="J193" i="7"/>
  <c r="G194" i="7" s="1"/>
  <c r="F195" i="7"/>
  <c r="I194" i="7"/>
  <c r="R56" i="9"/>
  <c r="O57" i="9" s="1"/>
  <c r="T57" i="9" s="1"/>
  <c r="R150" i="8"/>
  <c r="O151" i="8" s="1"/>
  <c r="T151" i="8" s="1"/>
  <c r="H195" i="7"/>
  <c r="K195" i="7"/>
  <c r="I195" i="7" l="1"/>
  <c r="F196" i="7"/>
  <c r="L194" i="7"/>
  <c r="J194" i="7"/>
  <c r="G195" i="7" s="1"/>
  <c r="R57" i="9"/>
  <c r="O58" i="9" s="1"/>
  <c r="T58" i="9" s="1"/>
  <c r="R151" i="8"/>
  <c r="O152" i="8" s="1"/>
  <c r="T152" i="8" s="1"/>
  <c r="K196" i="7"/>
  <c r="H196" i="7"/>
  <c r="L195" i="7" l="1"/>
  <c r="J195" i="7"/>
  <c r="G196" i="7" s="1"/>
  <c r="F197" i="7"/>
  <c r="I196" i="7"/>
  <c r="R58" i="9"/>
  <c r="O59" i="9" s="1"/>
  <c r="T59" i="9" s="1"/>
  <c r="R152" i="8"/>
  <c r="O153" i="8" s="1"/>
  <c r="T153" i="8" s="1"/>
  <c r="K197" i="7"/>
  <c r="H197" i="7"/>
  <c r="L196" i="7" l="1"/>
  <c r="J196" i="7"/>
  <c r="G197" i="7" s="1"/>
  <c r="I197" i="7"/>
  <c r="F198" i="7"/>
  <c r="R153" i="8"/>
  <c r="O154" i="8" s="1"/>
  <c r="T154" i="8" s="1"/>
  <c r="H198" i="7"/>
  <c r="K198" i="7"/>
  <c r="L197" i="7" l="1"/>
  <c r="J197" i="7"/>
  <c r="G198" i="7" s="1"/>
  <c r="I198" i="7"/>
  <c r="F199" i="7"/>
  <c r="R59" i="9"/>
  <c r="O60" i="9" s="1"/>
  <c r="T60" i="9" s="1"/>
  <c r="R154" i="8"/>
  <c r="O155" i="8" s="1"/>
  <c r="T155" i="8" s="1"/>
  <c r="H199" i="7"/>
  <c r="K199" i="7"/>
  <c r="L198" i="7" l="1"/>
  <c r="J198" i="7"/>
  <c r="G199" i="7" s="1"/>
  <c r="I199" i="7"/>
  <c r="F200" i="7"/>
  <c r="R60" i="9"/>
  <c r="O61" i="9" s="1"/>
  <c r="T61" i="9" s="1"/>
  <c r="R155" i="8"/>
  <c r="O156" i="8" s="1"/>
  <c r="T156" i="8" s="1"/>
  <c r="K200" i="7"/>
  <c r="H200" i="7"/>
  <c r="L199" i="7" l="1"/>
  <c r="J199" i="7"/>
  <c r="G200" i="7" s="1"/>
  <c r="F201" i="7"/>
  <c r="I200" i="7"/>
  <c r="R61" i="9"/>
  <c r="O62" i="9" s="1"/>
  <c r="T62" i="9" s="1"/>
  <c r="R156" i="8"/>
  <c r="O157" i="8" s="1"/>
  <c r="T157" i="8" s="1"/>
  <c r="H201" i="7"/>
  <c r="K201" i="7"/>
  <c r="I201" i="7" l="1"/>
  <c r="F202" i="7"/>
  <c r="L200" i="7"/>
  <c r="J200" i="7"/>
  <c r="G201" i="7" s="1"/>
  <c r="R62" i="9"/>
  <c r="O63" i="9" s="1"/>
  <c r="T63" i="9" s="1"/>
  <c r="R157" i="8"/>
  <c r="O158" i="8" s="1"/>
  <c r="T158" i="8" s="1"/>
  <c r="K202" i="7"/>
  <c r="H202" i="7"/>
  <c r="L201" i="7" l="1"/>
  <c r="J201" i="7"/>
  <c r="G202" i="7" s="1"/>
  <c r="I202" i="7"/>
  <c r="F203" i="7"/>
  <c r="R63" i="9"/>
  <c r="O64" i="9" s="1"/>
  <c r="T64" i="9" s="1"/>
  <c r="R158" i="8"/>
  <c r="O159" i="8" s="1"/>
  <c r="T159" i="8" s="1"/>
  <c r="K203" i="7"/>
  <c r="H203" i="7"/>
  <c r="L202" i="7" l="1"/>
  <c r="J202" i="7"/>
  <c r="G203" i="7" s="1"/>
  <c r="I203" i="7"/>
  <c r="F204" i="7"/>
  <c r="R64" i="9"/>
  <c r="O65" i="9" s="1"/>
  <c r="T65" i="9" s="1"/>
  <c r="R159" i="8"/>
  <c r="O160" i="8" s="1"/>
  <c r="T160" i="8" s="1"/>
  <c r="K204" i="7"/>
  <c r="H204" i="7"/>
  <c r="L203" i="7" l="1"/>
  <c r="J203" i="7"/>
  <c r="G204" i="7" s="1"/>
  <c r="I204" i="7"/>
  <c r="F205" i="7"/>
  <c r="R65" i="9"/>
  <c r="O66" i="9" s="1"/>
  <c r="T66" i="9" s="1"/>
  <c r="R160" i="8"/>
  <c r="O161" i="8" s="1"/>
  <c r="T161" i="8" s="1"/>
  <c r="H205" i="7"/>
  <c r="K205" i="7"/>
  <c r="L204" i="7" l="1"/>
  <c r="J204" i="7"/>
  <c r="G205" i="7" s="1"/>
  <c r="I205" i="7"/>
  <c r="F206" i="7"/>
  <c r="R66" i="9"/>
  <c r="O67" i="9" s="1"/>
  <c r="T67" i="9" s="1"/>
  <c r="R161" i="8"/>
  <c r="O162" i="8" s="1"/>
  <c r="T162" i="8" s="1"/>
  <c r="H206" i="7"/>
  <c r="K206" i="7"/>
  <c r="L205" i="7" l="1"/>
  <c r="J205" i="7"/>
  <c r="G206" i="7" s="1"/>
  <c r="I206" i="7"/>
  <c r="F207" i="7"/>
  <c r="R67" i="9"/>
  <c r="O68" i="9" s="1"/>
  <c r="T68" i="9" s="1"/>
  <c r="R162" i="8"/>
  <c r="O163" i="8" s="1"/>
  <c r="T163" i="8" s="1"/>
  <c r="H207" i="7"/>
  <c r="K207" i="7"/>
  <c r="L206" i="7" l="1"/>
  <c r="J206" i="7"/>
  <c r="G207" i="7" s="1"/>
  <c r="I207" i="7"/>
  <c r="F208" i="7"/>
  <c r="R68" i="9"/>
  <c r="O69" i="9" s="1"/>
  <c r="T69" i="9" s="1"/>
  <c r="R163" i="8"/>
  <c r="O164" i="8" s="1"/>
  <c r="T164" i="8" s="1"/>
  <c r="H208" i="7"/>
  <c r="K208" i="7"/>
  <c r="L207" i="7" l="1"/>
  <c r="J207" i="7"/>
  <c r="G208" i="7" s="1"/>
  <c r="I208" i="7"/>
  <c r="F209" i="7"/>
  <c r="R69" i="9"/>
  <c r="O70" i="9" s="1"/>
  <c r="T70" i="9" s="1"/>
  <c r="R164" i="8"/>
  <c r="O165" i="8" s="1"/>
  <c r="T165" i="8" s="1"/>
  <c r="K209" i="7"/>
  <c r="H209" i="7"/>
  <c r="L208" i="7" l="1"/>
  <c r="J208" i="7"/>
  <c r="G209" i="7" s="1"/>
  <c r="I209" i="7"/>
  <c r="F210" i="7"/>
  <c r="R70" i="9"/>
  <c r="O71" i="9" s="1"/>
  <c r="T71" i="9" s="1"/>
  <c r="R165" i="8"/>
  <c r="O166" i="8" s="1"/>
  <c r="T166" i="8" s="1"/>
  <c r="K210" i="7"/>
  <c r="H210" i="7"/>
  <c r="L209" i="7" l="1"/>
  <c r="J209" i="7"/>
  <c r="G210" i="7" s="1"/>
  <c r="I210" i="7"/>
  <c r="F211" i="7"/>
  <c r="R71" i="9"/>
  <c r="O72" i="9" s="1"/>
  <c r="T72" i="9" s="1"/>
  <c r="R166" i="8"/>
  <c r="O167" i="8" s="1"/>
  <c r="T167" i="8" s="1"/>
  <c r="H211" i="7"/>
  <c r="K211" i="7"/>
  <c r="I211" i="7" l="1"/>
  <c r="F212" i="7"/>
  <c r="L210" i="7"/>
  <c r="J210" i="7"/>
  <c r="G211" i="7" s="1"/>
  <c r="R72" i="9"/>
  <c r="O73" i="9" s="1"/>
  <c r="T73" i="9" s="1"/>
  <c r="R167" i="8"/>
  <c r="O168" i="8" s="1"/>
  <c r="T168" i="8" s="1"/>
  <c r="K212" i="7"/>
  <c r="H212" i="7"/>
  <c r="L211" i="7" l="1"/>
  <c r="J211" i="7"/>
  <c r="G212" i="7" s="1"/>
  <c r="I212" i="7"/>
  <c r="F213" i="7"/>
  <c r="R73" i="9"/>
  <c r="O74" i="9" s="1"/>
  <c r="T74" i="9" s="1"/>
  <c r="R168" i="8"/>
  <c r="O169" i="8" s="1"/>
  <c r="T169" i="8" s="1"/>
  <c r="H213" i="7"/>
  <c r="K213" i="7"/>
  <c r="L212" i="7" l="1"/>
  <c r="J212" i="7"/>
  <c r="G213" i="7" s="1"/>
  <c r="I213" i="7"/>
  <c r="F214" i="7"/>
  <c r="R74" i="9"/>
  <c r="O75" i="9" s="1"/>
  <c r="T75" i="9" s="1"/>
  <c r="R169" i="8"/>
  <c r="O170" i="8" s="1"/>
  <c r="T170" i="8" s="1"/>
  <c r="K214" i="7"/>
  <c r="H214" i="7"/>
  <c r="L213" i="7" l="1"/>
  <c r="J213" i="7"/>
  <c r="G214" i="7" s="1"/>
  <c r="I214" i="7"/>
  <c r="F215" i="7"/>
  <c r="R75" i="9"/>
  <c r="O76" i="9" s="1"/>
  <c r="T76" i="9" s="1"/>
  <c r="R170" i="8"/>
  <c r="O171" i="8" s="1"/>
  <c r="T171" i="8" s="1"/>
  <c r="K215" i="7"/>
  <c r="H215" i="7"/>
  <c r="L214" i="7" l="1"/>
  <c r="J214" i="7"/>
  <c r="G215" i="7" s="1"/>
  <c r="I215" i="7"/>
  <c r="F216" i="7"/>
  <c r="R76" i="9"/>
  <c r="O77" i="9" s="1"/>
  <c r="T77" i="9" s="1"/>
  <c r="R171" i="8"/>
  <c r="O172" i="8" s="1"/>
  <c r="T172" i="8" s="1"/>
  <c r="H216" i="7"/>
  <c r="K216" i="7"/>
  <c r="L215" i="7" l="1"/>
  <c r="J215" i="7"/>
  <c r="G216" i="7" s="1"/>
  <c r="I216" i="7"/>
  <c r="F217" i="7"/>
  <c r="R77" i="9"/>
  <c r="O78" i="9" s="1"/>
  <c r="T78" i="9" s="1"/>
  <c r="R172" i="8"/>
  <c r="O173" i="8" s="1"/>
  <c r="T173" i="8" s="1"/>
  <c r="K217" i="7"/>
  <c r="H217" i="7"/>
  <c r="L216" i="7" l="1"/>
  <c r="J216" i="7"/>
  <c r="G217" i="7" s="1"/>
  <c r="I217" i="7"/>
  <c r="F218" i="7"/>
  <c r="R78" i="9"/>
  <c r="O79" i="9" s="1"/>
  <c r="T79" i="9" s="1"/>
  <c r="H218" i="7"/>
  <c r="K218" i="7"/>
  <c r="L217" i="7" l="1"/>
  <c r="J217" i="7"/>
  <c r="G218" i="7" s="1"/>
  <c r="I218" i="7"/>
  <c r="F219" i="7"/>
  <c r="R79" i="9"/>
  <c r="O80" i="9" s="1"/>
  <c r="T80" i="9" s="1"/>
  <c r="H219" i="7"/>
  <c r="K219" i="7"/>
  <c r="L218" i="7" l="1"/>
  <c r="J218" i="7"/>
  <c r="G219" i="7" s="1"/>
  <c r="I219" i="7"/>
  <c r="F220" i="7"/>
  <c r="R80" i="9"/>
  <c r="O81" i="9" s="1"/>
  <c r="T81" i="9" s="1"/>
  <c r="H220" i="7"/>
  <c r="K220" i="7"/>
  <c r="L219" i="7" l="1"/>
  <c r="J219" i="7"/>
  <c r="G220" i="7" s="1"/>
  <c r="F221" i="7"/>
  <c r="I220" i="7"/>
  <c r="R81" i="9"/>
  <c r="O82" i="9" s="1"/>
  <c r="T82" i="9" s="1"/>
  <c r="H221" i="7"/>
  <c r="K221" i="7"/>
  <c r="L220" i="7" l="1"/>
  <c r="J220" i="7"/>
  <c r="G221" i="7" s="1"/>
  <c r="F222" i="7"/>
  <c r="I221" i="7"/>
  <c r="R82" i="9"/>
  <c r="O83" i="9" s="1"/>
  <c r="T83" i="9" s="1"/>
  <c r="K222" i="7"/>
  <c r="H222" i="7"/>
  <c r="F223" i="7" l="1"/>
  <c r="I222" i="7"/>
  <c r="L221" i="7"/>
  <c r="J221" i="7"/>
  <c r="G222" i="7" s="1"/>
  <c r="R83" i="9"/>
  <c r="O84" i="9" s="1"/>
  <c r="T84" i="9" s="1"/>
  <c r="H223" i="7"/>
  <c r="K223" i="7"/>
  <c r="L222" i="7" l="1"/>
  <c r="J222" i="7"/>
  <c r="G223" i="7" s="1"/>
  <c r="F224" i="7"/>
  <c r="I223" i="7"/>
  <c r="R84" i="9"/>
  <c r="O85" i="9" s="1"/>
  <c r="T85" i="9" s="1"/>
  <c r="H224" i="7"/>
  <c r="K224" i="7"/>
  <c r="F225" i="7" l="1"/>
  <c r="I224" i="7"/>
  <c r="L223" i="7"/>
  <c r="J223" i="7"/>
  <c r="G224" i="7" s="1"/>
  <c r="R85" i="9"/>
  <c r="O86" i="9" s="1"/>
  <c r="T86" i="9" s="1"/>
  <c r="H225" i="7"/>
  <c r="K225" i="7"/>
  <c r="L224" i="7" l="1"/>
  <c r="J224" i="7"/>
  <c r="G225" i="7" s="1"/>
  <c r="F226" i="7"/>
  <c r="I225" i="7"/>
  <c r="R86" i="9"/>
  <c r="O87" i="9" s="1"/>
  <c r="T87" i="9" s="1"/>
  <c r="H226" i="7"/>
  <c r="K226" i="7"/>
  <c r="F227" i="7" l="1"/>
  <c r="I226" i="7"/>
  <c r="L225" i="7"/>
  <c r="J225" i="7"/>
  <c r="G226" i="7" s="1"/>
  <c r="R87" i="9"/>
  <c r="O88" i="9" s="1"/>
  <c r="T88" i="9" s="1"/>
  <c r="H227" i="7"/>
  <c r="K227" i="7"/>
  <c r="L226" i="7" l="1"/>
  <c r="J226" i="7"/>
  <c r="G227" i="7" s="1"/>
  <c r="F228" i="7"/>
  <c r="I227" i="7"/>
  <c r="R88" i="9"/>
  <c r="O89" i="9" s="1"/>
  <c r="T89" i="9" s="1"/>
  <c r="H228" i="7"/>
  <c r="K228" i="7"/>
  <c r="F229" i="7" l="1"/>
  <c r="I228" i="7"/>
  <c r="L227" i="7"/>
  <c r="J227" i="7"/>
  <c r="G228" i="7" s="1"/>
  <c r="R89" i="9"/>
  <c r="O90" i="9" s="1"/>
  <c r="T90" i="9" s="1"/>
  <c r="H229" i="7"/>
  <c r="K229" i="7"/>
  <c r="L228" i="7" l="1"/>
  <c r="J228" i="7"/>
  <c r="G229" i="7" s="1"/>
  <c r="F230" i="7"/>
  <c r="I229" i="7"/>
  <c r="R90" i="9"/>
  <c r="O91" i="9" s="1"/>
  <c r="T91" i="9" s="1"/>
  <c r="H230" i="7"/>
  <c r="K230" i="7"/>
  <c r="F231" i="7" l="1"/>
  <c r="I230" i="7"/>
  <c r="L229" i="7"/>
  <c r="J229" i="7"/>
  <c r="G230" i="7" s="1"/>
  <c r="R91" i="9"/>
  <c r="O92" i="9" s="1"/>
  <c r="H231" i="7"/>
  <c r="K231" i="7"/>
  <c r="L230" i="7" l="1"/>
  <c r="J230" i="7"/>
  <c r="G231" i="7" s="1"/>
  <c r="F232" i="7"/>
  <c r="I231" i="7"/>
  <c r="H232" i="7"/>
  <c r="K232" i="7"/>
  <c r="F233" i="7" l="1"/>
  <c r="I232" i="7"/>
  <c r="L231" i="7"/>
  <c r="J231" i="7"/>
  <c r="G232" i="7" s="1"/>
  <c r="H233" i="7"/>
  <c r="K233" i="7"/>
  <c r="L232" i="7" l="1"/>
  <c r="J232" i="7"/>
  <c r="G233" i="7" s="1"/>
  <c r="F234" i="7"/>
  <c r="I233" i="7"/>
  <c r="H234" i="7"/>
  <c r="K234" i="7"/>
  <c r="F235" i="7" l="1"/>
  <c r="I234" i="7"/>
  <c r="L233" i="7"/>
  <c r="J233" i="7"/>
  <c r="G234" i="7" s="1"/>
  <c r="K235" i="7"/>
  <c r="H235" i="7"/>
  <c r="L234" i="7" l="1"/>
  <c r="J234" i="7"/>
  <c r="G235" i="7" s="1"/>
  <c r="I235" i="7"/>
  <c r="F236" i="7"/>
  <c r="R173" i="8"/>
  <c r="O174" i="8" s="1"/>
  <c r="T174" i="8" s="1"/>
  <c r="H236" i="7"/>
  <c r="K236" i="7"/>
  <c r="F237" i="7" l="1"/>
  <c r="I236" i="7"/>
  <c r="L235" i="7"/>
  <c r="J235" i="7"/>
  <c r="G236" i="7" s="1"/>
  <c r="R174" i="8"/>
  <c r="O175" i="8" s="1"/>
  <c r="T175" i="8" s="1"/>
  <c r="H237" i="7"/>
  <c r="K237" i="7"/>
  <c r="L236" i="7" l="1"/>
  <c r="J236" i="7"/>
  <c r="G237" i="7" s="1"/>
  <c r="I237" i="7"/>
  <c r="F238" i="7"/>
  <c r="R175" i="8"/>
  <c r="O176" i="8" s="1"/>
  <c r="T176" i="8" s="1"/>
  <c r="H238" i="7"/>
  <c r="K238" i="7"/>
  <c r="F239" i="7" l="1"/>
  <c r="I238" i="7"/>
  <c r="L237" i="7"/>
  <c r="J237" i="7"/>
  <c r="G238" i="7" s="1"/>
  <c r="R176" i="8"/>
  <c r="O177" i="8" s="1"/>
  <c r="T177" i="8" s="1"/>
  <c r="H239" i="7"/>
  <c r="K239" i="7"/>
  <c r="L238" i="7" l="1"/>
  <c r="J238" i="7"/>
  <c r="G239" i="7" s="1"/>
  <c r="F240" i="7"/>
  <c r="I239" i="7"/>
  <c r="R177" i="8"/>
  <c r="O178" i="8" s="1"/>
  <c r="T178" i="8" s="1"/>
  <c r="H240" i="7"/>
  <c r="K240" i="7"/>
  <c r="F241" i="7" l="1"/>
  <c r="I240" i="7"/>
  <c r="L239" i="7"/>
  <c r="J239" i="7"/>
  <c r="G240" i="7" s="1"/>
  <c r="R178" i="8"/>
  <c r="O179" i="8" s="1"/>
  <c r="T179" i="8" s="1"/>
  <c r="H241" i="7"/>
  <c r="K241" i="7"/>
  <c r="L240" i="7" l="1"/>
  <c r="J240" i="7"/>
  <c r="G241" i="7" s="1"/>
  <c r="F242" i="7"/>
  <c r="I241" i="7"/>
  <c r="R179" i="8"/>
  <c r="O180" i="8" s="1"/>
  <c r="T180" i="8" s="1"/>
  <c r="H242" i="7"/>
  <c r="K242" i="7"/>
  <c r="F243" i="7" l="1"/>
  <c r="I242" i="7"/>
  <c r="L241" i="7"/>
  <c r="J241" i="7"/>
  <c r="G242" i="7" s="1"/>
  <c r="R180" i="8"/>
  <c r="O181" i="8" s="1"/>
  <c r="T181" i="8" s="1"/>
  <c r="F182" i="3"/>
  <c r="H243" i="7"/>
  <c r="K243" i="7"/>
  <c r="L242" i="7" l="1"/>
  <c r="J242" i="7"/>
  <c r="G243" i="7" s="1"/>
  <c r="F244" i="7"/>
  <c r="I243" i="7"/>
  <c r="R181" i="8"/>
  <c r="O182" i="8" s="1"/>
  <c r="H244" i="7"/>
  <c r="K244" i="7"/>
  <c r="F245" i="7" l="1"/>
  <c r="I244" i="7"/>
  <c r="L243" i="7"/>
  <c r="J243" i="7"/>
  <c r="G244" i="7" s="1"/>
  <c r="B9" i="6"/>
  <c r="B9" i="5"/>
  <c r="B9" i="4"/>
  <c r="K245" i="7"/>
  <c r="H245" i="7"/>
  <c r="L244" i="7" l="1"/>
  <c r="J244" i="7"/>
  <c r="G245" i="7" s="1"/>
  <c r="F246" i="7"/>
  <c r="I245" i="7"/>
  <c r="B6" i="2"/>
  <c r="B4" i="2"/>
  <c r="K246" i="7"/>
  <c r="H246" i="7"/>
  <c r="F247" i="7" l="1"/>
  <c r="I246" i="7"/>
  <c r="L245" i="7"/>
  <c r="J245" i="7"/>
  <c r="G246" i="7" s="1"/>
  <c r="H247" i="7"/>
  <c r="K247" i="7"/>
  <c r="F182" i="4"/>
  <c r="L246" i="7" l="1"/>
  <c r="J246" i="7"/>
  <c r="G247" i="7" s="1"/>
  <c r="I247" i="7"/>
  <c r="F248" i="7"/>
  <c r="H248" i="7"/>
  <c r="K248" i="7"/>
  <c r="F249" i="7" l="1"/>
  <c r="I248" i="7"/>
  <c r="L247" i="7"/>
  <c r="J247" i="7"/>
  <c r="G248" i="7" s="1"/>
  <c r="H249" i="7"/>
  <c r="K249" i="7"/>
  <c r="L248" i="7" l="1"/>
  <c r="J248" i="7"/>
  <c r="G249" i="7" s="1"/>
  <c r="I249" i="7"/>
  <c r="F250" i="7"/>
  <c r="H250" i="7"/>
  <c r="K250" i="7"/>
  <c r="I250" i="7" l="1"/>
  <c r="F251" i="7"/>
  <c r="L249" i="7"/>
  <c r="J249" i="7"/>
  <c r="G250" i="7" s="1"/>
  <c r="H251" i="7"/>
  <c r="K251" i="7"/>
  <c r="F252" i="7" l="1"/>
  <c r="I251" i="7"/>
  <c r="L250" i="7"/>
  <c r="J250" i="7"/>
  <c r="G251" i="7" s="1"/>
  <c r="H252" i="7"/>
  <c r="K252" i="7"/>
  <c r="L251" i="7" l="1"/>
  <c r="J251" i="7"/>
  <c r="G252" i="7" s="1"/>
  <c r="I252" i="7"/>
  <c r="F253" i="7"/>
  <c r="H253" i="7"/>
  <c r="K253" i="7"/>
  <c r="I253" i="7" l="1"/>
  <c r="F254" i="7"/>
  <c r="L252" i="7"/>
  <c r="J252" i="7"/>
  <c r="G253" i="7" s="1"/>
  <c r="H254" i="7"/>
  <c r="K254" i="7"/>
  <c r="L253" i="7" l="1"/>
  <c r="J253" i="7"/>
  <c r="G254" i="7" s="1"/>
  <c r="I254" i="7"/>
  <c r="F255" i="7"/>
  <c r="H255" i="7"/>
  <c r="K255" i="7"/>
  <c r="I255" i="7" l="1"/>
  <c r="F256" i="7"/>
  <c r="L254" i="7"/>
  <c r="J254" i="7"/>
  <c r="G255" i="7" s="1"/>
  <c r="H256" i="7"/>
  <c r="K256" i="7"/>
  <c r="F257" i="7" l="1"/>
  <c r="I256" i="7"/>
  <c r="L255" i="7"/>
  <c r="J255" i="7"/>
  <c r="G256" i="7" s="1"/>
  <c r="H257" i="7"/>
  <c r="K257" i="7"/>
  <c r="L256" i="7" l="1"/>
  <c r="J256" i="7"/>
  <c r="G257" i="7" s="1"/>
  <c r="I257" i="7"/>
  <c r="F258" i="7"/>
  <c r="H258" i="7"/>
  <c r="K258" i="7"/>
  <c r="F259" i="7" l="1"/>
  <c r="I258" i="7"/>
  <c r="L257" i="7"/>
  <c r="J257" i="7"/>
  <c r="G258" i="7" s="1"/>
  <c r="H259" i="7"/>
  <c r="K259" i="7"/>
  <c r="L258" i="7" l="1"/>
  <c r="J258" i="7"/>
  <c r="G259" i="7" s="1"/>
  <c r="I259" i="7"/>
  <c r="F260" i="7"/>
  <c r="H260" i="7"/>
  <c r="K260" i="7"/>
  <c r="I260" i="7" l="1"/>
  <c r="F261" i="7"/>
  <c r="L259" i="7"/>
  <c r="J259" i="7"/>
  <c r="G260" i="7" s="1"/>
  <c r="H261" i="7"/>
  <c r="K261" i="7"/>
  <c r="L260" i="7" l="1"/>
  <c r="J260" i="7"/>
  <c r="G261" i="7" s="1"/>
  <c r="F262" i="7"/>
  <c r="I261" i="7"/>
  <c r="H262" i="7"/>
  <c r="K262" i="7"/>
  <c r="I262" i="7" l="1"/>
  <c r="F263" i="7"/>
  <c r="L261" i="7"/>
  <c r="J261" i="7"/>
  <c r="G262" i="7" s="1"/>
  <c r="H263" i="7"/>
  <c r="K263" i="7"/>
  <c r="L262" i="7" l="1"/>
  <c r="J262" i="7"/>
  <c r="G263" i="7" s="1"/>
  <c r="I263" i="7"/>
  <c r="F264" i="7"/>
  <c r="H264" i="7"/>
  <c r="K264" i="7"/>
  <c r="I264" i="7" l="1"/>
  <c r="F265" i="7"/>
  <c r="L263" i="7"/>
  <c r="J263" i="7"/>
  <c r="G264" i="7" s="1"/>
  <c r="H265" i="7"/>
  <c r="K265" i="7"/>
  <c r="L264" i="7" l="1"/>
  <c r="J264" i="7"/>
  <c r="G265" i="7" s="1"/>
  <c r="I265" i="7"/>
  <c r="F266" i="7"/>
  <c r="H266" i="7"/>
  <c r="K266" i="7"/>
  <c r="I266" i="7" l="1"/>
  <c r="F267" i="7"/>
  <c r="L265" i="7"/>
  <c r="J265" i="7"/>
  <c r="G266" i="7" s="1"/>
  <c r="H267" i="7"/>
  <c r="K267" i="7"/>
  <c r="L266" i="7" l="1"/>
  <c r="J266" i="7"/>
  <c r="G267" i="7" s="1"/>
  <c r="I267" i="7"/>
  <c r="F268" i="7"/>
  <c r="H268" i="7"/>
  <c r="K268" i="7"/>
  <c r="L267" i="7" l="1"/>
  <c r="J267" i="7"/>
  <c r="G268" i="7" s="1"/>
  <c r="I268" i="7"/>
  <c r="F269" i="7"/>
  <c r="H269" i="7"/>
  <c r="K269" i="7"/>
  <c r="F270" i="7" l="1"/>
  <c r="I269" i="7"/>
  <c r="L268" i="7"/>
  <c r="J268" i="7"/>
  <c r="G269" i="7" s="1"/>
  <c r="H270" i="7"/>
  <c r="K270" i="7"/>
  <c r="L269" i="7" l="1"/>
  <c r="J269" i="7"/>
  <c r="G270" i="7" s="1"/>
  <c r="I270" i="7"/>
  <c r="F271" i="7"/>
  <c r="H271" i="7"/>
  <c r="K271" i="7"/>
  <c r="I271" i="7" l="1"/>
  <c r="F272" i="7"/>
  <c r="L270" i="7"/>
  <c r="J270" i="7"/>
  <c r="G271" i="7" s="1"/>
  <c r="H272" i="7"/>
  <c r="K272" i="7"/>
  <c r="L271" i="7" l="1"/>
  <c r="J271" i="7"/>
  <c r="G272" i="7" s="1"/>
  <c r="F273" i="7"/>
  <c r="I272" i="7"/>
  <c r="H273" i="7"/>
  <c r="K273" i="7"/>
  <c r="L272" i="7" l="1"/>
  <c r="J272" i="7"/>
  <c r="G273" i="7" s="1"/>
  <c r="I273" i="7"/>
  <c r="F274" i="7"/>
  <c r="H274" i="7"/>
  <c r="K274" i="7"/>
  <c r="I274" i="7" l="1"/>
  <c r="F275" i="7"/>
  <c r="L273" i="7"/>
  <c r="J273" i="7"/>
  <c r="G274" i="7" s="1"/>
  <c r="H275" i="7"/>
  <c r="K275" i="7"/>
  <c r="L274" i="7" l="1"/>
  <c r="J274" i="7"/>
  <c r="G275" i="7" s="1"/>
  <c r="I275" i="7"/>
  <c r="F276" i="7"/>
  <c r="H276" i="7"/>
  <c r="K276" i="7"/>
  <c r="I276" i="7" l="1"/>
  <c r="F277" i="7"/>
  <c r="L275" i="7"/>
  <c r="J275" i="7"/>
  <c r="G276" i="7" s="1"/>
  <c r="H277" i="7"/>
  <c r="K277" i="7"/>
  <c r="L276" i="7" l="1"/>
  <c r="J276" i="7"/>
  <c r="G277" i="7" s="1"/>
  <c r="I277" i="7"/>
  <c r="F278" i="7"/>
  <c r="H278" i="7"/>
  <c r="K278" i="7"/>
  <c r="I278" i="7" l="1"/>
  <c r="F279" i="7"/>
  <c r="L277" i="7"/>
  <c r="J277" i="7"/>
  <c r="G278" i="7" s="1"/>
  <c r="H279" i="7"/>
  <c r="K279" i="7"/>
  <c r="L278" i="7" l="1"/>
  <c r="J278" i="7"/>
  <c r="G279" i="7" s="1"/>
  <c r="I279" i="7"/>
  <c r="F280" i="7"/>
  <c r="H280" i="7"/>
  <c r="K280" i="7"/>
  <c r="L279" i="7" l="1"/>
  <c r="J279" i="7"/>
  <c r="G280" i="7" s="1"/>
  <c r="I280" i="7"/>
  <c r="F281" i="7"/>
  <c r="H281" i="7"/>
  <c r="K281" i="7"/>
  <c r="F282" i="7" l="1"/>
  <c r="I281" i="7"/>
  <c r="L280" i="7"/>
  <c r="J280" i="7"/>
  <c r="G281" i="7" s="1"/>
  <c r="H282" i="7"/>
  <c r="K282" i="7"/>
  <c r="L281" i="7" l="1"/>
  <c r="J281" i="7"/>
  <c r="G282" i="7" s="1"/>
  <c r="I282" i="7"/>
  <c r="F283" i="7"/>
  <c r="H283" i="7"/>
  <c r="K283" i="7"/>
  <c r="I283" i="7" l="1"/>
  <c r="F284" i="7"/>
  <c r="L282" i="7"/>
  <c r="J282" i="7"/>
  <c r="G283" i="7" s="1"/>
  <c r="H284" i="7"/>
  <c r="K284" i="7"/>
  <c r="L283" i="7" l="1"/>
  <c r="J283" i="7"/>
  <c r="G284" i="7" s="1"/>
  <c r="F285" i="7"/>
  <c r="I284" i="7"/>
  <c r="H285" i="7"/>
  <c r="K285" i="7"/>
  <c r="L284" i="7" l="1"/>
  <c r="J284" i="7"/>
  <c r="G285" i="7" s="1"/>
  <c r="I285" i="7"/>
  <c r="F286" i="7"/>
  <c r="H286" i="7"/>
  <c r="K286" i="7"/>
  <c r="F287" i="7" l="1"/>
  <c r="I286" i="7"/>
  <c r="L285" i="7"/>
  <c r="J285" i="7"/>
  <c r="G286" i="7" s="1"/>
  <c r="H287" i="7"/>
  <c r="K287" i="7"/>
  <c r="L286" i="7" l="1"/>
  <c r="J286" i="7"/>
  <c r="G287" i="7" s="1"/>
  <c r="I287" i="7"/>
  <c r="F288" i="7"/>
  <c r="H288" i="7"/>
  <c r="K288" i="7"/>
  <c r="I288" i="7" l="1"/>
  <c r="F289" i="7"/>
  <c r="L287" i="7"/>
  <c r="J287" i="7"/>
  <c r="G288" i="7" s="1"/>
  <c r="H289" i="7"/>
  <c r="K289" i="7"/>
  <c r="L288" i="7" l="1"/>
  <c r="J288" i="7"/>
  <c r="G289" i="7" s="1"/>
  <c r="I289" i="7"/>
  <c r="F290" i="7"/>
  <c r="H290" i="7"/>
  <c r="K290" i="7"/>
  <c r="I290" i="7" l="1"/>
  <c r="F291" i="7"/>
  <c r="L289" i="7"/>
  <c r="J289" i="7"/>
  <c r="G290" i="7" s="1"/>
  <c r="H291" i="7"/>
  <c r="K291" i="7"/>
  <c r="L290" i="7" l="1"/>
  <c r="J290" i="7"/>
  <c r="G291" i="7" s="1"/>
  <c r="F292" i="7"/>
  <c r="I291" i="7"/>
  <c r="H292" i="7"/>
  <c r="K292" i="7"/>
  <c r="I292" i="7" l="1"/>
  <c r="F293" i="7"/>
  <c r="L291" i="7"/>
  <c r="J291" i="7"/>
  <c r="G292" i="7" s="1"/>
  <c r="H293" i="7"/>
  <c r="K293" i="7"/>
  <c r="L292" i="7" l="1"/>
  <c r="J292" i="7"/>
  <c r="G293" i="7" s="1"/>
  <c r="F294" i="7"/>
  <c r="I293" i="7"/>
  <c r="H294" i="7"/>
  <c r="K294" i="7"/>
  <c r="I294" i="7" l="1"/>
  <c r="F295" i="7"/>
  <c r="L293" i="7"/>
  <c r="J293" i="7"/>
  <c r="G294" i="7" s="1"/>
  <c r="H295" i="7"/>
  <c r="K295" i="7"/>
  <c r="L294" i="7" l="1"/>
  <c r="J294" i="7"/>
  <c r="G295" i="7" s="1"/>
  <c r="I295" i="7"/>
  <c r="F296" i="7"/>
  <c r="H296" i="7"/>
  <c r="K296" i="7"/>
  <c r="F297" i="7" l="1"/>
  <c r="I296" i="7"/>
  <c r="L295" i="7"/>
  <c r="J295" i="7"/>
  <c r="G296" i="7" s="1"/>
  <c r="H297" i="7"/>
  <c r="K297" i="7"/>
  <c r="L296" i="7" l="1"/>
  <c r="J296" i="7"/>
  <c r="G297" i="7" s="1"/>
  <c r="F298" i="7"/>
  <c r="I297" i="7"/>
  <c r="H298" i="7"/>
  <c r="K298" i="7"/>
  <c r="I298" i="7" l="1"/>
  <c r="F299" i="7"/>
  <c r="L297" i="7"/>
  <c r="J297" i="7"/>
  <c r="G298" i="7" s="1"/>
  <c r="H299" i="7"/>
  <c r="K299" i="7"/>
  <c r="L298" i="7" l="1"/>
  <c r="J298" i="7"/>
  <c r="G299" i="7" s="1"/>
  <c r="F300" i="7"/>
  <c r="I299" i="7"/>
  <c r="H300" i="7"/>
  <c r="K300" i="7"/>
  <c r="L299" i="7" l="1"/>
  <c r="J299" i="7"/>
  <c r="G300" i="7" s="1"/>
  <c r="I300" i="7"/>
  <c r="F301" i="7"/>
  <c r="H301" i="7"/>
  <c r="K301" i="7"/>
  <c r="F302" i="7" l="1"/>
  <c r="I301" i="7"/>
  <c r="L300" i="7"/>
  <c r="J300" i="7"/>
  <c r="G301" i="7" s="1"/>
  <c r="H302" i="7"/>
  <c r="K302" i="7"/>
  <c r="L301" i="7" l="1"/>
  <c r="J301" i="7"/>
  <c r="G302" i="7" s="1"/>
  <c r="F303" i="7"/>
  <c r="I302" i="7"/>
  <c r="H303" i="7"/>
  <c r="K303" i="7"/>
  <c r="I303" i="7" l="1"/>
  <c r="F304" i="7"/>
  <c r="L302" i="7"/>
  <c r="J302" i="7"/>
  <c r="G303" i="7" s="1"/>
  <c r="H304" i="7"/>
  <c r="K304" i="7"/>
  <c r="L303" i="7" l="1"/>
  <c r="J303" i="7"/>
  <c r="G304" i="7" s="1"/>
  <c r="I304" i="7"/>
  <c r="F305" i="7"/>
  <c r="H305" i="7"/>
  <c r="K305" i="7"/>
  <c r="I305" i="7" l="1"/>
  <c r="F306" i="7"/>
  <c r="L304" i="7"/>
  <c r="J304" i="7"/>
  <c r="G305" i="7" s="1"/>
  <c r="H306" i="7"/>
  <c r="K306" i="7"/>
  <c r="L305" i="7" l="1"/>
  <c r="J305" i="7"/>
  <c r="G306" i="7" s="1"/>
  <c r="I306" i="7"/>
  <c r="F307" i="7"/>
  <c r="K307" i="7"/>
  <c r="H307" i="7"/>
  <c r="I307" i="7" l="1"/>
  <c r="F308" i="7"/>
  <c r="L306" i="7"/>
  <c r="J306" i="7"/>
  <c r="G307" i="7" s="1"/>
  <c r="K308" i="7"/>
  <c r="H308" i="7"/>
  <c r="L307" i="7" l="1"/>
  <c r="J307" i="7"/>
  <c r="G308" i="7" s="1"/>
  <c r="F309" i="7"/>
  <c r="I308" i="7"/>
  <c r="K309" i="7"/>
  <c r="H309" i="7"/>
  <c r="I309" i="7" l="1"/>
  <c r="F310" i="7"/>
  <c r="L308" i="7"/>
  <c r="J308" i="7"/>
  <c r="G309" i="7" s="1"/>
  <c r="H310" i="7"/>
  <c r="K310" i="7"/>
  <c r="L309" i="7" l="1"/>
  <c r="J309" i="7"/>
  <c r="G310" i="7" s="1"/>
  <c r="I310" i="7"/>
  <c r="F311" i="7"/>
  <c r="K311" i="7"/>
  <c r="H311" i="7"/>
  <c r="I311" i="7" l="1"/>
  <c r="F312" i="7"/>
  <c r="L310" i="7"/>
  <c r="J310" i="7"/>
  <c r="G311" i="7" s="1"/>
  <c r="H312" i="7"/>
  <c r="K312" i="7"/>
  <c r="L311" i="7" l="1"/>
  <c r="J311" i="7"/>
  <c r="G312" i="7" s="1"/>
  <c r="I312" i="7"/>
  <c r="F313" i="7"/>
  <c r="H313" i="7"/>
  <c r="K313" i="7"/>
  <c r="I313" i="7" l="1"/>
  <c r="F314" i="7"/>
  <c r="L312" i="7"/>
  <c r="J312" i="7"/>
  <c r="G313" i="7" s="1"/>
  <c r="H314" i="7"/>
  <c r="K314" i="7"/>
  <c r="L313" i="7" l="1"/>
  <c r="J313" i="7"/>
  <c r="G314" i="7" s="1"/>
  <c r="I314" i="7"/>
  <c r="F315" i="7"/>
  <c r="H315" i="7"/>
  <c r="K315" i="7"/>
  <c r="I315" i="7" l="1"/>
  <c r="F316" i="7"/>
  <c r="L314" i="7"/>
  <c r="J314" i="7"/>
  <c r="G315" i="7" s="1"/>
  <c r="H316" i="7"/>
  <c r="K316" i="7"/>
  <c r="L315" i="7" l="1"/>
  <c r="J315" i="7"/>
  <c r="G316" i="7" s="1"/>
  <c r="F317" i="7"/>
  <c r="I316" i="7"/>
  <c r="H317" i="7"/>
  <c r="K317" i="7"/>
  <c r="L316" i="7" l="1"/>
  <c r="J316" i="7"/>
  <c r="G317" i="7" s="1"/>
  <c r="F318" i="7"/>
  <c r="I317" i="7"/>
  <c r="H318" i="7"/>
  <c r="K318" i="7"/>
  <c r="F319" i="7" l="1"/>
  <c r="I318" i="7"/>
  <c r="L317" i="7"/>
  <c r="J317" i="7"/>
  <c r="G318" i="7" s="1"/>
  <c r="H319" i="7"/>
  <c r="K319" i="7"/>
  <c r="L318" i="7" l="1"/>
  <c r="J318" i="7"/>
  <c r="G319" i="7" s="1"/>
  <c r="I319" i="7"/>
  <c r="F320" i="7"/>
  <c r="H320" i="7"/>
  <c r="K320" i="7"/>
  <c r="I320" i="7" l="1"/>
  <c r="F321" i="7"/>
  <c r="L319" i="7"/>
  <c r="J319" i="7"/>
  <c r="G320" i="7" s="1"/>
  <c r="H321" i="7"/>
  <c r="K321" i="7"/>
  <c r="L320" i="7" l="1"/>
  <c r="J320" i="7"/>
  <c r="G321" i="7" s="1"/>
  <c r="I321" i="7"/>
  <c r="F322" i="7"/>
  <c r="H322" i="7"/>
  <c r="K322" i="7"/>
  <c r="I322" i="7" l="1"/>
  <c r="F323" i="7"/>
  <c r="L321" i="7"/>
  <c r="J321" i="7"/>
  <c r="G322" i="7" s="1"/>
  <c r="H323" i="7"/>
  <c r="K323" i="7"/>
  <c r="L322" i="7" l="1"/>
  <c r="J322" i="7"/>
  <c r="G323" i="7" s="1"/>
  <c r="F324" i="7"/>
  <c r="I323" i="7"/>
  <c r="H324" i="7"/>
  <c r="K324" i="7"/>
  <c r="I324" i="7" l="1"/>
  <c r="F325" i="7"/>
  <c r="L323" i="7"/>
  <c r="J323" i="7"/>
  <c r="G324" i="7" s="1"/>
  <c r="H325" i="7"/>
  <c r="K325" i="7"/>
  <c r="L324" i="7" l="1"/>
  <c r="J324" i="7"/>
  <c r="G325" i="7" s="1"/>
  <c r="I325" i="7"/>
  <c r="F326" i="7"/>
  <c r="H326" i="7"/>
  <c r="K326" i="7"/>
  <c r="L325" i="7" l="1"/>
  <c r="J325" i="7"/>
  <c r="G326" i="7" s="1"/>
  <c r="I326" i="7"/>
  <c r="F327" i="7"/>
  <c r="H327" i="7"/>
  <c r="K327" i="7"/>
  <c r="F328" i="7" l="1"/>
  <c r="I327" i="7"/>
  <c r="L326" i="7"/>
  <c r="J326" i="7"/>
  <c r="G327" i="7" s="1"/>
  <c r="H328" i="7"/>
  <c r="K328" i="7"/>
  <c r="L327" i="7" l="1"/>
  <c r="J327" i="7"/>
  <c r="G328" i="7" s="1"/>
  <c r="I328" i="7"/>
  <c r="F329" i="7"/>
  <c r="H329" i="7"/>
  <c r="K329" i="7"/>
  <c r="I329" i="7" l="1"/>
  <c r="F330" i="7"/>
  <c r="L328" i="7"/>
  <c r="J328" i="7"/>
  <c r="G329" i="7" s="1"/>
  <c r="H330" i="7"/>
  <c r="K330" i="7"/>
  <c r="L329" i="7" l="1"/>
  <c r="J329" i="7"/>
  <c r="G330" i="7" s="1"/>
  <c r="F331" i="7"/>
  <c r="I330" i="7"/>
  <c r="H331" i="7"/>
  <c r="K331" i="7"/>
  <c r="L330" i="7" l="1"/>
  <c r="J330" i="7"/>
  <c r="G331" i="7" s="1"/>
  <c r="I331" i="7"/>
  <c r="F332" i="7"/>
  <c r="H332" i="7"/>
  <c r="K332" i="7"/>
  <c r="I332" i="7" l="1"/>
  <c r="F333" i="7"/>
  <c r="L331" i="7"/>
  <c r="J331" i="7"/>
  <c r="G332" i="7" s="1"/>
  <c r="H333" i="7"/>
  <c r="K333" i="7"/>
  <c r="L332" i="7" l="1"/>
  <c r="J332" i="7"/>
  <c r="G333" i="7" s="1"/>
  <c r="I333" i="7"/>
  <c r="F334" i="7"/>
  <c r="H334" i="7"/>
  <c r="K334" i="7"/>
  <c r="I334" i="7" l="1"/>
  <c r="F335" i="7"/>
  <c r="L333" i="7"/>
  <c r="J333" i="7"/>
  <c r="G334" i="7" s="1"/>
  <c r="H335" i="7"/>
  <c r="K335" i="7"/>
  <c r="L334" i="7" l="1"/>
  <c r="J334" i="7"/>
  <c r="G335" i="7" s="1"/>
  <c r="F336" i="7"/>
  <c r="I335" i="7"/>
  <c r="H336" i="7"/>
  <c r="K336" i="7"/>
  <c r="I336" i="7" l="1"/>
  <c r="F337" i="7"/>
  <c r="L335" i="7"/>
  <c r="J335" i="7"/>
  <c r="G336" i="7" s="1"/>
  <c r="H337" i="7"/>
  <c r="K337" i="7"/>
  <c r="F338" i="7" l="1"/>
  <c r="I337" i="7"/>
  <c r="L336" i="7"/>
  <c r="J336" i="7"/>
  <c r="G337" i="7" s="1"/>
  <c r="H338" i="7"/>
  <c r="K338" i="7"/>
  <c r="L337" i="7" l="1"/>
  <c r="J337" i="7"/>
  <c r="G338" i="7" s="1"/>
  <c r="F339" i="7"/>
  <c r="I338" i="7"/>
  <c r="H339" i="7"/>
  <c r="K339" i="7"/>
  <c r="F340" i="7" l="1"/>
  <c r="I339" i="7"/>
  <c r="L338" i="7"/>
  <c r="J338" i="7"/>
  <c r="G339" i="7" s="1"/>
  <c r="H340" i="7"/>
  <c r="K340" i="7"/>
  <c r="L339" i="7" l="1"/>
  <c r="J339" i="7"/>
  <c r="G340" i="7" s="1"/>
  <c r="I340" i="7"/>
  <c r="F341" i="7"/>
  <c r="K341" i="7"/>
  <c r="H341" i="7"/>
  <c r="I341" i="7" l="1"/>
  <c r="F342" i="7"/>
  <c r="L340" i="7"/>
  <c r="J340" i="7"/>
  <c r="G341" i="7" s="1"/>
  <c r="K342" i="7"/>
  <c r="H342" i="7"/>
  <c r="L341" i="7" l="1"/>
  <c r="J341" i="7"/>
  <c r="G342" i="7" s="1"/>
  <c r="I342" i="7"/>
  <c r="F343" i="7"/>
  <c r="H343" i="7"/>
  <c r="K343" i="7"/>
  <c r="I343" i="7" l="1"/>
  <c r="F344" i="7"/>
  <c r="L342" i="7"/>
  <c r="J342" i="7"/>
  <c r="G343" i="7" s="1"/>
  <c r="H344" i="7"/>
  <c r="K344" i="7"/>
  <c r="L343" i="7" l="1"/>
  <c r="J343" i="7"/>
  <c r="G344" i="7" s="1"/>
  <c r="I344" i="7"/>
  <c r="F345" i="7"/>
  <c r="H345" i="7"/>
  <c r="K345" i="7"/>
  <c r="I345" i="7" l="1"/>
  <c r="F346" i="7"/>
  <c r="L344" i="7"/>
  <c r="J344" i="7"/>
  <c r="G345" i="7" s="1"/>
  <c r="H346" i="7"/>
  <c r="K346" i="7"/>
  <c r="L345" i="7" l="1"/>
  <c r="J345" i="7"/>
  <c r="G346" i="7" s="1"/>
  <c r="F347" i="7"/>
  <c r="I346" i="7"/>
  <c r="H347" i="7"/>
  <c r="K347" i="7"/>
  <c r="L346" i="7" l="1"/>
  <c r="J346" i="7"/>
  <c r="G347" i="7" s="1"/>
  <c r="I347" i="7"/>
  <c r="F348" i="7"/>
  <c r="H348" i="7"/>
  <c r="K348" i="7"/>
  <c r="F349" i="7" l="1"/>
  <c r="I348" i="7"/>
  <c r="L347" i="7"/>
  <c r="J347" i="7"/>
  <c r="G348" i="7" s="1"/>
  <c r="K349" i="7"/>
  <c r="H349" i="7"/>
  <c r="L348" i="7" l="1"/>
  <c r="J348" i="7"/>
  <c r="G349" i="7" s="1"/>
  <c r="F350" i="7"/>
  <c r="I349" i="7"/>
  <c r="H350" i="7"/>
  <c r="K350" i="7"/>
  <c r="L349" i="7" l="1"/>
  <c r="J349" i="7"/>
  <c r="G350" i="7" s="1"/>
  <c r="I350" i="7"/>
  <c r="F351" i="7"/>
  <c r="H351" i="7"/>
  <c r="K351" i="7"/>
  <c r="F352" i="7" l="1"/>
  <c r="I351" i="7"/>
  <c r="L350" i="7"/>
  <c r="J350" i="7"/>
  <c r="G351" i="7" s="1"/>
  <c r="K352" i="7"/>
  <c r="H352" i="7"/>
  <c r="L351" i="7" l="1"/>
  <c r="J351" i="7"/>
  <c r="G352" i="7" s="1"/>
  <c r="I352" i="7"/>
  <c r="F353" i="7"/>
  <c r="K353" i="7"/>
  <c r="H353" i="7"/>
  <c r="L352" i="7" l="1"/>
  <c r="J352" i="7"/>
  <c r="G353" i="7" s="1"/>
  <c r="I353" i="7"/>
  <c r="F354" i="7"/>
  <c r="H354" i="7"/>
  <c r="K354" i="7"/>
  <c r="I354" i="7" l="1"/>
  <c r="F355" i="7"/>
  <c r="L353" i="7"/>
  <c r="J353" i="7"/>
  <c r="G354" i="7" s="1"/>
  <c r="H355" i="7"/>
  <c r="K355" i="7"/>
  <c r="L354" i="7" l="1"/>
  <c r="J354" i="7"/>
  <c r="G355" i="7" s="1"/>
  <c r="I355" i="7"/>
  <c r="F356" i="7"/>
  <c r="H356" i="7"/>
  <c r="K356" i="7"/>
  <c r="I356" i="7" l="1"/>
  <c r="F357" i="7"/>
  <c r="L355" i="7"/>
  <c r="J355" i="7"/>
  <c r="G356" i="7" s="1"/>
  <c r="H357" i="7"/>
  <c r="K357" i="7"/>
  <c r="L356" i="7" l="1"/>
  <c r="J356" i="7"/>
  <c r="G357" i="7" s="1"/>
  <c r="I357" i="7"/>
  <c r="F358" i="7"/>
  <c r="H358" i="7"/>
  <c r="K358" i="7"/>
  <c r="L357" i="7" l="1"/>
  <c r="J357" i="7"/>
  <c r="G358" i="7" s="1"/>
  <c r="I358" i="7"/>
  <c r="F359" i="7"/>
  <c r="H359" i="7"/>
  <c r="K359" i="7"/>
  <c r="I359" i="7" l="1"/>
  <c r="F360" i="7"/>
  <c r="L358" i="7"/>
  <c r="J358" i="7"/>
  <c r="G359" i="7" s="1"/>
  <c r="H360" i="7"/>
  <c r="K360" i="7"/>
  <c r="L359" i="7" l="1"/>
  <c r="J359" i="7"/>
  <c r="G360" i="7" s="1"/>
  <c r="F361" i="7"/>
  <c r="I360" i="7"/>
  <c r="H361" i="7"/>
  <c r="K361" i="7"/>
  <c r="L360" i="7" l="1"/>
  <c r="J360" i="7"/>
  <c r="G361" i="7" s="1"/>
  <c r="I361" i="7"/>
  <c r="F362" i="7"/>
  <c r="H362" i="7"/>
  <c r="K362" i="7"/>
  <c r="L361" i="7" l="1"/>
  <c r="J361" i="7"/>
  <c r="G362" i="7" s="1"/>
  <c r="F363" i="7"/>
  <c r="I362" i="7"/>
  <c r="H363" i="7"/>
  <c r="K363" i="7"/>
  <c r="L362" i="7" l="1"/>
  <c r="J362" i="7"/>
  <c r="G363" i="7" s="1"/>
  <c r="F364" i="7"/>
  <c r="I363" i="7"/>
  <c r="H364" i="7"/>
  <c r="K364" i="7"/>
  <c r="L363" i="7" l="1"/>
  <c r="J363" i="7"/>
  <c r="G364" i="7" s="1"/>
  <c r="I364" i="7"/>
  <c r="F365" i="7"/>
  <c r="H365" i="7"/>
  <c r="K365" i="7"/>
  <c r="I365" i="7" l="1"/>
  <c r="F366" i="7"/>
  <c r="L364" i="7"/>
  <c r="J364" i="7"/>
  <c r="G365" i="7" s="1"/>
  <c r="H366" i="7"/>
  <c r="K366" i="7"/>
  <c r="I366" i="7" l="1"/>
  <c r="F367" i="7"/>
  <c r="L365" i="7"/>
  <c r="J365" i="7"/>
  <c r="G366" i="7" s="1"/>
  <c r="H367" i="7"/>
  <c r="K367" i="7"/>
  <c r="L366" i="7" l="1"/>
  <c r="J366" i="7"/>
  <c r="G367" i="7" s="1"/>
  <c r="I367" i="7"/>
  <c r="F368" i="7"/>
  <c r="H368" i="7"/>
  <c r="K368" i="7"/>
  <c r="L367" i="7" l="1"/>
  <c r="J367" i="7"/>
  <c r="G368" i="7" s="1"/>
  <c r="I368" i="7"/>
  <c r="F369" i="7"/>
  <c r="K369" i="7"/>
  <c r="H369" i="7"/>
  <c r="I369" i="7" l="1"/>
  <c r="F370" i="7"/>
  <c r="L368" i="7"/>
  <c r="J368" i="7"/>
  <c r="G369" i="7" s="1"/>
  <c r="H370" i="7"/>
  <c r="K370" i="7"/>
  <c r="L369" i="7" l="1"/>
  <c r="J369" i="7"/>
  <c r="G370" i="7" s="1"/>
  <c r="I370" i="7"/>
  <c r="F371" i="7"/>
  <c r="H371" i="7"/>
  <c r="K371" i="7"/>
  <c r="I371" i="7" l="1"/>
  <c r="F372" i="7"/>
  <c r="L370" i="7"/>
  <c r="J370" i="7"/>
  <c r="G371" i="7" s="1"/>
  <c r="K372" i="7"/>
  <c r="H372" i="7"/>
  <c r="L371" i="7" l="1"/>
  <c r="J371" i="7"/>
  <c r="G372" i="7" s="1"/>
  <c r="F373" i="7"/>
  <c r="I372" i="7"/>
  <c r="H373" i="7"/>
  <c r="K373" i="7"/>
  <c r="I373" i="7" l="1"/>
  <c r="F374" i="7"/>
  <c r="L372" i="7"/>
  <c r="J372" i="7"/>
  <c r="G373" i="7" s="1"/>
  <c r="H374" i="7"/>
  <c r="K374" i="7"/>
  <c r="I374" i="7" l="1"/>
  <c r="F375" i="7"/>
  <c r="L373" i="7"/>
  <c r="J373" i="7"/>
  <c r="G374" i="7" s="1"/>
  <c r="H375" i="7"/>
  <c r="K375" i="7"/>
  <c r="L374" i="7" l="1"/>
  <c r="J374" i="7"/>
  <c r="G375" i="7" s="1"/>
  <c r="F376" i="7"/>
  <c r="I375" i="7"/>
  <c r="H376" i="7"/>
  <c r="K376" i="7"/>
  <c r="I376" i="7" l="1"/>
  <c r="F377" i="7"/>
  <c r="L375" i="7"/>
  <c r="J375" i="7"/>
  <c r="G376" i="7" s="1"/>
  <c r="H377" i="7"/>
  <c r="K377" i="7"/>
  <c r="L376" i="7" l="1"/>
  <c r="J376" i="7"/>
  <c r="G377" i="7" s="1"/>
  <c r="F378" i="7"/>
  <c r="I377" i="7"/>
  <c r="H378" i="7"/>
  <c r="K378" i="7"/>
  <c r="L377" i="7" l="1"/>
  <c r="J377" i="7"/>
  <c r="G378" i="7" s="1"/>
  <c r="F379" i="7"/>
  <c r="I378" i="7"/>
  <c r="H379" i="7"/>
  <c r="K379" i="7"/>
  <c r="I379" i="7" l="1"/>
  <c r="F380" i="7"/>
  <c r="L378" i="7"/>
  <c r="J378" i="7"/>
  <c r="G379" i="7" s="1"/>
  <c r="H380" i="7"/>
  <c r="K380" i="7"/>
  <c r="L379" i="7" l="1"/>
  <c r="J379" i="7"/>
  <c r="G380" i="7" s="1"/>
  <c r="I380" i="7"/>
  <c r="F381" i="7"/>
  <c r="H381" i="7"/>
  <c r="K381" i="7"/>
  <c r="I381" i="7" l="1"/>
  <c r="F382" i="7"/>
  <c r="L380" i="7"/>
  <c r="J380" i="7"/>
  <c r="G381" i="7" s="1"/>
  <c r="H382" i="7"/>
  <c r="K382" i="7"/>
  <c r="L381" i="7" l="1"/>
  <c r="J381" i="7"/>
  <c r="G382" i="7" s="1"/>
  <c r="I382" i="7"/>
  <c r="F383" i="7"/>
  <c r="H383" i="7"/>
  <c r="K383" i="7"/>
  <c r="F384" i="7" l="1"/>
  <c r="I383" i="7"/>
  <c r="L382" i="7"/>
  <c r="J382" i="7"/>
  <c r="G383" i="7" s="1"/>
  <c r="H384" i="7"/>
  <c r="K384" i="7"/>
  <c r="L383" i="7" l="1"/>
  <c r="J383" i="7"/>
  <c r="G384" i="7" s="1"/>
  <c r="I384" i="7"/>
  <c r="F385" i="7"/>
  <c r="H385" i="7"/>
  <c r="K385" i="7"/>
  <c r="F386" i="7" l="1"/>
  <c r="I385" i="7"/>
  <c r="L384" i="7"/>
  <c r="J384" i="7"/>
  <c r="G385" i="7" s="1"/>
  <c r="H386" i="7"/>
  <c r="K386" i="7"/>
  <c r="L385" i="7" l="1"/>
  <c r="J385" i="7"/>
  <c r="G386" i="7" s="1"/>
  <c r="I386" i="7"/>
  <c r="F387" i="7"/>
  <c r="H387" i="7"/>
  <c r="K387" i="7"/>
  <c r="F388" i="7" l="1"/>
  <c r="I387" i="7"/>
  <c r="L386" i="7"/>
  <c r="J386" i="7"/>
  <c r="G387" i="7" s="1"/>
  <c r="H388" i="7"/>
  <c r="K388" i="7"/>
  <c r="L387" i="7" l="1"/>
  <c r="J387" i="7"/>
  <c r="G388" i="7" s="1"/>
  <c r="I388" i="7"/>
  <c r="F389" i="7"/>
  <c r="H389" i="7"/>
  <c r="K389" i="7"/>
  <c r="I389" i="7" l="1"/>
  <c r="F390" i="7"/>
  <c r="L388" i="7"/>
  <c r="J388" i="7"/>
  <c r="G389" i="7" s="1"/>
  <c r="K390" i="7"/>
  <c r="H390" i="7"/>
  <c r="F391" i="7" l="1"/>
  <c r="I390" i="7"/>
  <c r="L389" i="7"/>
  <c r="J389" i="7"/>
  <c r="G390" i="7" s="1"/>
  <c r="K391" i="7"/>
  <c r="H391" i="7"/>
  <c r="L390" i="7" l="1"/>
  <c r="J390" i="7"/>
  <c r="G391" i="7" s="1"/>
  <c r="I391" i="7"/>
  <c r="F392" i="7"/>
  <c r="K392" i="7"/>
  <c r="H392" i="7"/>
  <c r="I392" i="7" l="1"/>
  <c r="F393" i="7"/>
  <c r="L391" i="7"/>
  <c r="J391" i="7"/>
  <c r="G392" i="7" s="1"/>
  <c r="K393" i="7"/>
  <c r="H393" i="7"/>
  <c r="L392" i="7" l="1"/>
  <c r="J392" i="7"/>
  <c r="G393" i="7" s="1"/>
  <c r="I393" i="7"/>
  <c r="F394" i="7"/>
  <c r="K394" i="7"/>
  <c r="H394" i="7"/>
  <c r="L393" i="7" l="1"/>
  <c r="J393" i="7"/>
  <c r="G394" i="7" s="1"/>
  <c r="I394" i="7"/>
  <c r="F395" i="7"/>
  <c r="K395" i="7"/>
  <c r="H395" i="7"/>
  <c r="F396" i="7" l="1"/>
  <c r="I395" i="7"/>
  <c r="L394" i="7"/>
  <c r="J394" i="7"/>
  <c r="G395" i="7" s="1"/>
  <c r="K396" i="7"/>
  <c r="H396" i="7"/>
  <c r="L395" i="7" l="1"/>
  <c r="J395" i="7"/>
  <c r="G396" i="7" s="1"/>
  <c r="I396" i="7"/>
  <c r="F397" i="7"/>
  <c r="K397" i="7"/>
  <c r="H397" i="7"/>
  <c r="I397" i="7" l="1"/>
  <c r="F398" i="7"/>
  <c r="L396" i="7"/>
  <c r="J396" i="7"/>
  <c r="G397" i="7" s="1"/>
  <c r="H398" i="7"/>
  <c r="K398" i="7"/>
  <c r="L397" i="7" l="1"/>
  <c r="J397" i="7"/>
  <c r="G398" i="7" s="1"/>
  <c r="I398" i="7"/>
  <c r="F399" i="7"/>
  <c r="H399" i="7"/>
  <c r="K399" i="7"/>
  <c r="I399" i="7" l="1"/>
  <c r="F400" i="7"/>
  <c r="L398" i="7"/>
  <c r="J398" i="7"/>
  <c r="G399" i="7" s="1"/>
  <c r="H400" i="7"/>
  <c r="K400" i="7"/>
  <c r="L399" i="7" l="1"/>
  <c r="J399" i="7"/>
  <c r="G400" i="7" s="1"/>
  <c r="I400" i="7"/>
  <c r="F401" i="7"/>
  <c r="H401" i="7"/>
  <c r="K401" i="7"/>
  <c r="L400" i="7" l="1"/>
  <c r="J400" i="7"/>
  <c r="G401" i="7" s="1"/>
  <c r="I401" i="7"/>
  <c r="F402" i="7"/>
  <c r="H402" i="7"/>
  <c r="K402" i="7"/>
  <c r="I402" i="7" l="1"/>
  <c r="F403" i="7"/>
  <c r="L401" i="7"/>
  <c r="J401" i="7"/>
  <c r="G402" i="7" s="1"/>
  <c r="H403" i="7"/>
  <c r="K403" i="7"/>
  <c r="L402" i="7" l="1"/>
  <c r="J402" i="7"/>
  <c r="G403" i="7" s="1"/>
  <c r="F404" i="7"/>
  <c r="I403" i="7"/>
  <c r="H404" i="7"/>
  <c r="K404" i="7"/>
  <c r="L403" i="7" l="1"/>
  <c r="J403" i="7"/>
  <c r="G404" i="7" s="1"/>
  <c r="I404" i="7"/>
  <c r="F405" i="7"/>
  <c r="H405" i="7"/>
  <c r="K405" i="7"/>
  <c r="I405" i="7" l="1"/>
  <c r="F406" i="7"/>
  <c r="L404" i="7"/>
  <c r="J404" i="7"/>
  <c r="G405" i="7" s="1"/>
  <c r="H406" i="7"/>
  <c r="K406" i="7"/>
  <c r="L405" i="7" l="1"/>
  <c r="J405" i="7"/>
  <c r="G406" i="7" s="1"/>
  <c r="I406" i="7"/>
  <c r="F407" i="7"/>
  <c r="H407" i="7"/>
  <c r="K407" i="7"/>
  <c r="I407" i="7" l="1"/>
  <c r="F408" i="7"/>
  <c r="L406" i="7"/>
  <c r="J406" i="7"/>
  <c r="G407" i="7" s="1"/>
  <c r="H408" i="7"/>
  <c r="K408" i="7"/>
  <c r="L407" i="7" l="1"/>
  <c r="J407" i="7"/>
  <c r="G408" i="7" s="1"/>
  <c r="F409" i="7"/>
  <c r="I408" i="7"/>
  <c r="H409" i="7"/>
  <c r="K409" i="7"/>
  <c r="I409" i="7" l="1"/>
  <c r="F410" i="7"/>
  <c r="L408" i="7"/>
  <c r="J408" i="7"/>
  <c r="G409" i="7" s="1"/>
  <c r="H410" i="7"/>
  <c r="K410" i="7"/>
  <c r="L409" i="7" l="1"/>
  <c r="J409" i="7"/>
  <c r="G410" i="7" s="1"/>
  <c r="I410" i="7"/>
  <c r="F411" i="7"/>
  <c r="H411" i="7"/>
  <c r="K411" i="7"/>
  <c r="I411" i="7" l="1"/>
  <c r="F412" i="7"/>
  <c r="L410" i="7"/>
  <c r="J410" i="7"/>
  <c r="G411" i="7" s="1"/>
  <c r="H412" i="7"/>
  <c r="K412" i="7"/>
  <c r="L411" i="7" l="1"/>
  <c r="J411" i="7"/>
  <c r="G412" i="7" s="1"/>
  <c r="I412" i="7"/>
  <c r="F413" i="7"/>
  <c r="H413" i="7"/>
  <c r="K413" i="7"/>
  <c r="I413" i="7" l="1"/>
  <c r="F414" i="7"/>
  <c r="L412" i="7"/>
  <c r="J412" i="7"/>
  <c r="G413" i="7" s="1"/>
  <c r="H414" i="7"/>
  <c r="K414" i="7"/>
  <c r="L413" i="7" l="1"/>
  <c r="J413" i="7"/>
  <c r="G414" i="7" s="1"/>
  <c r="I414" i="7"/>
  <c r="F415" i="7"/>
  <c r="H415" i="7"/>
  <c r="K415" i="7"/>
  <c r="I415" i="7" l="1"/>
  <c r="F416" i="7"/>
  <c r="L414" i="7"/>
  <c r="J414" i="7"/>
  <c r="G415" i="7" s="1"/>
  <c r="H416" i="7"/>
  <c r="K416" i="7"/>
  <c r="I416" i="7" l="1"/>
  <c r="F417" i="7"/>
  <c r="L415" i="7"/>
  <c r="J415" i="7"/>
  <c r="G416" i="7" s="1"/>
  <c r="H417" i="7"/>
  <c r="K417" i="7"/>
  <c r="L416" i="7" l="1"/>
  <c r="J416" i="7"/>
  <c r="G417" i="7" s="1"/>
  <c r="I417" i="7"/>
  <c r="F418" i="7"/>
  <c r="H418" i="7"/>
  <c r="K418" i="7"/>
  <c r="F419" i="7" l="1"/>
  <c r="I418" i="7"/>
  <c r="L417" i="7"/>
  <c r="J417" i="7"/>
  <c r="G418" i="7" s="1"/>
  <c r="H419" i="7"/>
  <c r="K419" i="7"/>
  <c r="L418" i="7" l="1"/>
  <c r="J418" i="7"/>
  <c r="G419" i="7" s="1"/>
  <c r="F420" i="7"/>
  <c r="I419" i="7"/>
  <c r="H420" i="7"/>
  <c r="K420" i="7"/>
  <c r="L419" i="7" l="1"/>
  <c r="J419" i="7"/>
  <c r="G420" i="7" s="1"/>
  <c r="I420" i="7"/>
  <c r="F421" i="7"/>
  <c r="H421" i="7"/>
  <c r="K421" i="7"/>
  <c r="I421" i="7" l="1"/>
  <c r="F422" i="7"/>
  <c r="L420" i="7"/>
  <c r="J420" i="7"/>
  <c r="G421" i="7" s="1"/>
  <c r="H422" i="7"/>
  <c r="K422" i="7"/>
  <c r="L421" i="7" l="1"/>
  <c r="J421" i="7"/>
  <c r="G422" i="7" s="1"/>
  <c r="F423" i="7"/>
  <c r="I422" i="7"/>
  <c r="H423" i="7"/>
  <c r="K423" i="7"/>
  <c r="I423" i="7" l="1"/>
  <c r="F424" i="7"/>
  <c r="L422" i="7"/>
  <c r="J422" i="7"/>
  <c r="G423" i="7" s="1"/>
  <c r="H424" i="7"/>
  <c r="K424" i="7"/>
  <c r="L423" i="7" l="1"/>
  <c r="J423" i="7"/>
  <c r="G424" i="7" s="1"/>
  <c r="F425" i="7"/>
  <c r="I424" i="7"/>
  <c r="H425" i="7"/>
  <c r="K425" i="7"/>
  <c r="L424" i="7" l="1"/>
  <c r="J424" i="7"/>
  <c r="G425" i="7" s="1"/>
  <c r="F426" i="7"/>
  <c r="I425" i="7"/>
  <c r="H426" i="7"/>
  <c r="K426" i="7"/>
  <c r="I426" i="7" l="1"/>
  <c r="F427" i="7"/>
  <c r="L425" i="7"/>
  <c r="J425" i="7"/>
  <c r="G426" i="7" s="1"/>
  <c r="H427" i="7"/>
  <c r="K427" i="7"/>
  <c r="I427" i="7" l="1"/>
  <c r="F428" i="7"/>
  <c r="L426" i="7"/>
  <c r="J426" i="7"/>
  <c r="G427" i="7" s="1"/>
  <c r="H428" i="7"/>
  <c r="K428" i="7"/>
  <c r="L427" i="7" l="1"/>
  <c r="J427" i="7"/>
  <c r="G428" i="7" s="1"/>
  <c r="I428" i="7"/>
  <c r="F429" i="7"/>
  <c r="H429" i="7"/>
  <c r="K429" i="7"/>
  <c r="I429" i="7" l="1"/>
  <c r="F430" i="7"/>
  <c r="L428" i="7"/>
  <c r="J428" i="7"/>
  <c r="G429" i="7" s="1"/>
  <c r="H430" i="7"/>
  <c r="K430" i="7"/>
  <c r="L429" i="7" l="1"/>
  <c r="J429" i="7"/>
  <c r="G430" i="7" s="1"/>
  <c r="F431" i="7"/>
  <c r="I430" i="7"/>
  <c r="H431" i="7"/>
  <c r="K431" i="7"/>
  <c r="L430" i="7" l="1"/>
  <c r="J430" i="7"/>
  <c r="G431" i="7" s="1"/>
  <c r="I431" i="7"/>
  <c r="F432" i="7"/>
  <c r="H432" i="7"/>
  <c r="K432" i="7"/>
  <c r="F433" i="7" l="1"/>
  <c r="I432" i="7"/>
  <c r="L431" i="7"/>
  <c r="J431" i="7"/>
  <c r="G432" i="7" s="1"/>
  <c r="H433" i="7"/>
  <c r="K433" i="7"/>
  <c r="L432" i="7" l="1"/>
  <c r="J432" i="7"/>
  <c r="G433" i="7" s="1"/>
  <c r="F434" i="7"/>
  <c r="I433" i="7"/>
  <c r="H434" i="7"/>
  <c r="K434" i="7"/>
  <c r="L433" i="7" l="1"/>
  <c r="J433" i="7"/>
  <c r="G434" i="7" s="1"/>
  <c r="I434" i="7"/>
  <c r="F435" i="7"/>
  <c r="H435" i="7"/>
  <c r="K435" i="7"/>
  <c r="F436" i="7" l="1"/>
  <c r="I435" i="7"/>
  <c r="L434" i="7"/>
  <c r="J434" i="7"/>
  <c r="G435" i="7" s="1"/>
  <c r="H436" i="7"/>
  <c r="K436" i="7"/>
  <c r="L435" i="7" l="1"/>
  <c r="J435" i="7"/>
  <c r="G436" i="7" s="1"/>
  <c r="F437" i="7"/>
  <c r="I436" i="7"/>
  <c r="H437" i="7"/>
  <c r="K437" i="7"/>
  <c r="I437" i="7" l="1"/>
  <c r="F438" i="7"/>
  <c r="L436" i="7"/>
  <c r="J436" i="7"/>
  <c r="G437" i="7" s="1"/>
  <c r="H438" i="7"/>
  <c r="K438" i="7"/>
  <c r="L437" i="7" l="1"/>
  <c r="J437" i="7"/>
  <c r="G438" i="7" s="1"/>
  <c r="I438" i="7"/>
  <c r="F439" i="7"/>
  <c r="H439" i="7"/>
  <c r="K439" i="7"/>
  <c r="I439" i="7" l="1"/>
  <c r="F440" i="7"/>
  <c r="L438" i="7"/>
  <c r="J438" i="7"/>
  <c r="G439" i="7" s="1"/>
  <c r="H440" i="7"/>
  <c r="K440" i="7"/>
  <c r="L439" i="7" l="1"/>
  <c r="J439" i="7"/>
  <c r="G440" i="7" s="1"/>
  <c r="I440" i="7"/>
  <c r="F441" i="7"/>
  <c r="H441" i="7"/>
  <c r="K441" i="7"/>
  <c r="I441" i="7" l="1"/>
  <c r="F442" i="7"/>
  <c r="L440" i="7"/>
  <c r="J440" i="7"/>
  <c r="G441" i="7" s="1"/>
  <c r="H442" i="7"/>
  <c r="K442" i="7"/>
  <c r="L441" i="7" l="1"/>
  <c r="J441" i="7"/>
  <c r="G442" i="7" s="1"/>
  <c r="I442" i="7"/>
  <c r="F443" i="7"/>
  <c r="H443" i="7"/>
  <c r="K443" i="7"/>
  <c r="I443" i="7" l="1"/>
  <c r="F444" i="7"/>
  <c r="L442" i="7"/>
  <c r="J442" i="7"/>
  <c r="G443" i="7" s="1"/>
  <c r="H444" i="7"/>
  <c r="K444" i="7"/>
  <c r="L443" i="7" l="1"/>
  <c r="J443" i="7"/>
  <c r="G444" i="7" s="1"/>
  <c r="F445" i="7"/>
  <c r="I444" i="7"/>
  <c r="H445" i="7"/>
  <c r="K445" i="7"/>
  <c r="L444" i="7" l="1"/>
  <c r="J444" i="7"/>
  <c r="G445" i="7" s="1"/>
  <c r="I445" i="7"/>
  <c r="F446" i="7"/>
  <c r="H446" i="7"/>
  <c r="K446" i="7"/>
  <c r="I446" i="7" l="1"/>
  <c r="F447" i="7"/>
  <c r="L445" i="7"/>
  <c r="J445" i="7"/>
  <c r="G446" i="7" s="1"/>
  <c r="H447" i="7"/>
  <c r="K447" i="7"/>
  <c r="L446" i="7" l="1"/>
  <c r="J446" i="7"/>
  <c r="G447" i="7" s="1"/>
  <c r="I447" i="7"/>
  <c r="F448" i="7"/>
  <c r="H448" i="7"/>
  <c r="K448" i="7"/>
  <c r="L447" i="7" l="1"/>
  <c r="J447" i="7"/>
  <c r="G448" i="7" s="1"/>
  <c r="I448" i="7"/>
  <c r="F449" i="7"/>
  <c r="H449" i="7"/>
  <c r="K449" i="7"/>
  <c r="I449" i="7" l="1"/>
  <c r="F450" i="7"/>
  <c r="L448" i="7"/>
  <c r="J448" i="7"/>
  <c r="G449" i="7" s="1"/>
  <c r="H450" i="7"/>
  <c r="K450" i="7"/>
  <c r="L449" i="7" l="1"/>
  <c r="J449" i="7"/>
  <c r="G450" i="7" s="1"/>
  <c r="I450" i="7"/>
  <c r="F451" i="7"/>
  <c r="H451" i="7"/>
  <c r="K451" i="7"/>
  <c r="I451" i="7" l="1"/>
  <c r="F452" i="7"/>
  <c r="L450" i="7"/>
  <c r="J450" i="7"/>
  <c r="G451" i="7" s="1"/>
  <c r="H452" i="7"/>
  <c r="K452" i="7"/>
  <c r="L451" i="7" l="1"/>
  <c r="J451" i="7"/>
  <c r="G452" i="7" s="1"/>
  <c r="I452" i="7"/>
  <c r="F453" i="7"/>
  <c r="H453" i="7"/>
  <c r="K453" i="7"/>
  <c r="I453" i="7" l="1"/>
  <c r="F454" i="7"/>
  <c r="L452" i="7"/>
  <c r="J452" i="7"/>
  <c r="G453" i="7" s="1"/>
  <c r="H454" i="7"/>
  <c r="K454" i="7"/>
  <c r="L453" i="7" l="1"/>
  <c r="J453" i="7"/>
  <c r="G454" i="7" s="1"/>
  <c r="I454" i="7"/>
  <c r="F455" i="7"/>
  <c r="H455" i="7"/>
  <c r="K455" i="7"/>
  <c r="L454" i="7" l="1"/>
  <c r="J454" i="7"/>
  <c r="G455" i="7" s="1"/>
  <c r="I455" i="7"/>
  <c r="F456" i="7"/>
  <c r="H456" i="7"/>
  <c r="K456" i="7"/>
  <c r="I456" i="7" l="1"/>
  <c r="F457" i="7"/>
  <c r="L455" i="7"/>
  <c r="J455" i="7"/>
  <c r="G456" i="7" s="1"/>
  <c r="H457" i="7"/>
  <c r="K457" i="7"/>
  <c r="L456" i="7" l="1"/>
  <c r="J456" i="7"/>
  <c r="G457" i="7" s="1"/>
  <c r="I457" i="7"/>
  <c r="F458" i="7"/>
  <c r="H458" i="7"/>
  <c r="K458" i="7"/>
  <c r="I458" i="7" l="1"/>
  <c r="F459" i="7"/>
  <c r="L457" i="7"/>
  <c r="J457" i="7"/>
  <c r="G458" i="7" s="1"/>
  <c r="H459" i="7"/>
  <c r="K459" i="7"/>
  <c r="L458" i="7" l="1"/>
  <c r="J458" i="7"/>
  <c r="G459" i="7" s="1"/>
  <c r="I459" i="7"/>
  <c r="F460" i="7"/>
  <c r="H460" i="7"/>
  <c r="K460" i="7"/>
  <c r="I460" i="7" l="1"/>
  <c r="F461" i="7"/>
  <c r="L459" i="7"/>
  <c r="J459" i="7"/>
  <c r="G460" i="7" s="1"/>
  <c r="H461" i="7"/>
  <c r="K461" i="7"/>
  <c r="L460" i="7" l="1"/>
  <c r="J460" i="7"/>
  <c r="G461" i="7" s="1"/>
  <c r="I461" i="7"/>
  <c r="F462" i="7"/>
  <c r="H462" i="7"/>
  <c r="K462" i="7"/>
  <c r="I462" i="7" l="1"/>
  <c r="F463" i="7"/>
  <c r="L461" i="7"/>
  <c r="J461" i="7"/>
  <c r="G462" i="7" s="1"/>
  <c r="H463" i="7"/>
  <c r="K463" i="7"/>
  <c r="L462" i="7" l="1"/>
  <c r="J462" i="7"/>
  <c r="G463" i="7" s="1"/>
  <c r="F464" i="7"/>
  <c r="I463" i="7"/>
  <c r="H464" i="7"/>
  <c r="K464" i="7"/>
  <c r="F465" i="7" l="1"/>
  <c r="I464" i="7"/>
  <c r="L463" i="7"/>
  <c r="J463" i="7"/>
  <c r="G464" i="7" s="1"/>
  <c r="K465" i="7"/>
  <c r="H465" i="7"/>
  <c r="I465" i="7" l="1"/>
  <c r="F466" i="7"/>
  <c r="L464" i="7"/>
  <c r="J464" i="7"/>
  <c r="G465" i="7" s="1"/>
  <c r="H466" i="7"/>
  <c r="K466" i="7"/>
  <c r="L465" i="7" l="1"/>
  <c r="J465" i="7"/>
  <c r="G466" i="7" s="1"/>
  <c r="I466" i="7"/>
  <c r="F467" i="7"/>
  <c r="H467" i="7"/>
  <c r="K467" i="7"/>
  <c r="L466" i="7" l="1"/>
  <c r="J466" i="7"/>
  <c r="G467" i="7" s="1"/>
  <c r="I467" i="7"/>
  <c r="F468" i="7"/>
  <c r="H468" i="7"/>
  <c r="K468" i="7"/>
  <c r="L467" i="7" l="1"/>
  <c r="J467" i="7"/>
  <c r="G468" i="7" s="1"/>
  <c r="I468" i="7"/>
  <c r="F469" i="7"/>
  <c r="H469" i="7"/>
  <c r="K469" i="7"/>
  <c r="L468" i="7" l="1"/>
  <c r="J468" i="7"/>
  <c r="G469" i="7" s="1"/>
  <c r="F470" i="7"/>
  <c r="I469" i="7"/>
  <c r="H470" i="7"/>
  <c r="K470" i="7"/>
  <c r="I470" i="7" l="1"/>
  <c r="F471" i="7"/>
  <c r="L469" i="7"/>
  <c r="J469" i="7"/>
  <c r="G470" i="7" s="1"/>
  <c r="H471" i="7"/>
  <c r="K471" i="7"/>
  <c r="L470" i="7" l="1"/>
  <c r="J470" i="7"/>
  <c r="G471" i="7" s="1"/>
  <c r="I471" i="7"/>
  <c r="F472" i="7"/>
  <c r="H472" i="7"/>
  <c r="K472" i="7"/>
  <c r="I472" i="7" l="1"/>
  <c r="F473" i="7"/>
  <c r="L471" i="7"/>
  <c r="J471" i="7"/>
  <c r="G472" i="7" s="1"/>
  <c r="H473" i="7"/>
  <c r="K473" i="7"/>
  <c r="L472" i="7" l="1"/>
  <c r="J472" i="7"/>
  <c r="G473" i="7" s="1"/>
  <c r="I473" i="7"/>
  <c r="F474" i="7"/>
  <c r="H474" i="7"/>
  <c r="K474" i="7"/>
  <c r="I474" i="7" l="1"/>
  <c r="F475" i="7"/>
  <c r="L473" i="7"/>
  <c r="J473" i="7"/>
  <c r="G474" i="7" s="1"/>
  <c r="H475" i="7"/>
  <c r="K475" i="7"/>
  <c r="L474" i="7" l="1"/>
  <c r="J474" i="7"/>
  <c r="G475" i="7" s="1"/>
  <c r="I475" i="7"/>
  <c r="F476" i="7"/>
  <c r="H476" i="7"/>
  <c r="K476" i="7"/>
  <c r="L475" i="7" l="1"/>
  <c r="J475" i="7"/>
  <c r="G476" i="7" s="1"/>
  <c r="I476" i="7"/>
  <c r="F477" i="7"/>
  <c r="H477" i="7"/>
  <c r="K477" i="7"/>
  <c r="I477" i="7" l="1"/>
  <c r="F478" i="7"/>
  <c r="L476" i="7"/>
  <c r="J476" i="7"/>
  <c r="G477" i="7" s="1"/>
  <c r="H478" i="7"/>
  <c r="K478" i="7"/>
  <c r="L477" i="7" l="1"/>
  <c r="J477" i="7"/>
  <c r="G478" i="7" s="1"/>
  <c r="I478" i="7"/>
  <c r="F479" i="7"/>
  <c r="H479" i="7"/>
  <c r="K479" i="7"/>
  <c r="F480" i="7" l="1"/>
  <c r="I479" i="7"/>
  <c r="L478" i="7"/>
  <c r="J478" i="7"/>
  <c r="G479" i="7" s="1"/>
  <c r="H480" i="7"/>
  <c r="K480" i="7"/>
  <c r="L479" i="7" l="1"/>
  <c r="J479" i="7"/>
  <c r="G480" i="7" s="1"/>
  <c r="I480" i="7"/>
  <c r="F481" i="7"/>
  <c r="H481" i="7"/>
  <c r="K481" i="7"/>
  <c r="I481" i="7" l="1"/>
  <c r="F482" i="7"/>
  <c r="L480" i="7"/>
  <c r="J480" i="7"/>
  <c r="G481" i="7" s="1"/>
  <c r="H482" i="7"/>
  <c r="K482" i="7"/>
  <c r="L481" i="7" l="1"/>
  <c r="J481" i="7"/>
  <c r="G482" i="7" s="1"/>
  <c r="F483" i="7"/>
  <c r="I482" i="7"/>
  <c r="H483" i="7"/>
  <c r="K483" i="7"/>
  <c r="I483" i="7" l="1"/>
  <c r="F484" i="7"/>
  <c r="L482" i="7"/>
  <c r="J482" i="7"/>
  <c r="G483" i="7" s="1"/>
  <c r="H484" i="7"/>
  <c r="K484" i="7"/>
  <c r="L483" i="7" l="1"/>
  <c r="J483" i="7"/>
  <c r="G484" i="7" s="1"/>
  <c r="F485" i="7"/>
  <c r="I484" i="7"/>
  <c r="H485" i="7"/>
  <c r="K485" i="7"/>
  <c r="I485" i="7" l="1"/>
  <c r="F486" i="7"/>
  <c r="L484" i="7"/>
  <c r="J484" i="7"/>
  <c r="G485" i="7" s="1"/>
  <c r="H486" i="7"/>
  <c r="K486" i="7"/>
  <c r="L485" i="7" l="1"/>
  <c r="J485" i="7"/>
  <c r="G486" i="7" s="1"/>
  <c r="I486" i="7"/>
  <c r="F487" i="7"/>
  <c r="H487" i="7"/>
  <c r="K487" i="7"/>
  <c r="I487" i="7" l="1"/>
  <c r="F488" i="7"/>
  <c r="L486" i="7"/>
  <c r="J486" i="7"/>
  <c r="G487" i="7" s="1"/>
  <c r="H488" i="7"/>
  <c r="K488" i="7"/>
  <c r="L487" i="7" l="1"/>
  <c r="J487" i="7"/>
  <c r="G488" i="7" s="1"/>
  <c r="I488" i="7"/>
  <c r="F489" i="7"/>
  <c r="H489" i="7"/>
  <c r="K489" i="7"/>
  <c r="I489" i="7" l="1"/>
  <c r="F490" i="7"/>
  <c r="L488" i="7"/>
  <c r="J488" i="7"/>
  <c r="G489" i="7" s="1"/>
  <c r="H490" i="7"/>
  <c r="K490" i="7"/>
  <c r="L489" i="7" l="1"/>
  <c r="J489" i="7"/>
  <c r="G490" i="7" s="1"/>
  <c r="F491" i="7"/>
  <c r="I490" i="7"/>
  <c r="H491" i="7"/>
  <c r="K491" i="7"/>
  <c r="L490" i="7" l="1"/>
  <c r="J490" i="7"/>
  <c r="G491" i="7" s="1"/>
  <c r="I491" i="7"/>
  <c r="F492" i="7"/>
  <c r="H492" i="7"/>
  <c r="K492" i="7"/>
  <c r="I492" i="7" l="1"/>
  <c r="F493" i="7"/>
  <c r="L491" i="7"/>
  <c r="J491" i="7"/>
  <c r="G492" i="7" s="1"/>
  <c r="H493" i="7"/>
  <c r="K493" i="7"/>
  <c r="L492" i="7" l="1"/>
  <c r="J492" i="7"/>
  <c r="G493" i="7" s="1"/>
  <c r="I493" i="7"/>
  <c r="F494" i="7"/>
  <c r="H494" i="7"/>
  <c r="K494" i="7"/>
  <c r="I494" i="7" l="1"/>
  <c r="F495" i="7"/>
  <c r="L493" i="7"/>
  <c r="J493" i="7"/>
  <c r="G494" i="7" s="1"/>
  <c r="H495" i="7"/>
  <c r="K495" i="7"/>
  <c r="L494" i="7" l="1"/>
  <c r="J494" i="7"/>
  <c r="G495" i="7" s="1"/>
  <c r="I495" i="7"/>
  <c r="F496" i="7"/>
  <c r="H496" i="7"/>
  <c r="K496" i="7"/>
  <c r="I496" i="7" l="1"/>
  <c r="F497" i="7"/>
  <c r="L495" i="7"/>
  <c r="J495" i="7"/>
  <c r="G496" i="7" s="1"/>
  <c r="H497" i="7"/>
  <c r="K497" i="7"/>
  <c r="L496" i="7" l="1"/>
  <c r="J496" i="7"/>
  <c r="G497" i="7" s="1"/>
  <c r="F498" i="7"/>
  <c r="I497" i="7"/>
  <c r="H498" i="7"/>
  <c r="K498" i="7"/>
  <c r="L497" i="7" l="1"/>
  <c r="J497" i="7"/>
  <c r="G498" i="7" s="1"/>
  <c r="I498" i="7"/>
  <c r="F499" i="7"/>
  <c r="H499" i="7"/>
  <c r="K499" i="7"/>
  <c r="L498" i="7" l="1"/>
  <c r="J498" i="7"/>
  <c r="G499" i="7" s="1"/>
  <c r="I499" i="7"/>
  <c r="F500" i="7"/>
  <c r="H500" i="7"/>
  <c r="K500" i="7"/>
  <c r="L499" i="7" l="1"/>
  <c r="J499" i="7"/>
  <c r="G500" i="7" s="1"/>
  <c r="I500" i="7"/>
  <c r="F501" i="7"/>
  <c r="H501" i="7"/>
  <c r="K501" i="7"/>
  <c r="I501" i="7" l="1"/>
  <c r="F502" i="7"/>
  <c r="L500" i="7"/>
  <c r="J500" i="7"/>
  <c r="G501" i="7" s="1"/>
  <c r="H502" i="7"/>
  <c r="K502" i="7"/>
  <c r="L501" i="7" l="1"/>
  <c r="J501" i="7"/>
  <c r="G502" i="7" s="1"/>
  <c r="F503" i="7"/>
  <c r="I502" i="7"/>
  <c r="H503" i="7"/>
  <c r="K503" i="7"/>
  <c r="I503" i="7" l="1"/>
  <c r="F504" i="7"/>
  <c r="L502" i="7"/>
  <c r="J502" i="7"/>
  <c r="G503" i="7" s="1"/>
  <c r="H504" i="7"/>
  <c r="K504" i="7"/>
  <c r="L503" i="7" l="1"/>
  <c r="J503" i="7"/>
  <c r="G504" i="7" s="1"/>
  <c r="F505" i="7"/>
  <c r="I504" i="7"/>
  <c r="H505" i="7"/>
  <c r="K505" i="7"/>
  <c r="L504" i="7" l="1"/>
  <c r="J504" i="7"/>
  <c r="G505" i="7" s="1"/>
  <c r="F506" i="7"/>
  <c r="I505" i="7"/>
  <c r="H506" i="7"/>
  <c r="K506" i="7"/>
  <c r="I506" i="7" l="1"/>
  <c r="F507" i="7"/>
  <c r="L505" i="7"/>
  <c r="J505" i="7"/>
  <c r="G506" i="7" s="1"/>
  <c r="H507" i="7"/>
  <c r="K507" i="7"/>
  <c r="L506" i="7" l="1"/>
  <c r="J506" i="7"/>
  <c r="G507" i="7" s="1"/>
  <c r="I507" i="7"/>
  <c r="F508" i="7"/>
  <c r="H508" i="7"/>
  <c r="K508" i="7"/>
  <c r="I508" i="7" l="1"/>
  <c r="F509" i="7"/>
  <c r="L507" i="7"/>
  <c r="J507" i="7"/>
  <c r="G508" i="7" s="1"/>
  <c r="K509" i="7"/>
  <c r="H509" i="7"/>
  <c r="L508" i="7" l="1"/>
  <c r="J508" i="7"/>
  <c r="G509" i="7" s="1"/>
  <c r="I509" i="7"/>
  <c r="F510" i="7"/>
  <c r="H510" i="7"/>
  <c r="K510" i="7"/>
  <c r="I510" i="7" l="1"/>
  <c r="F511" i="7"/>
  <c r="L509" i="7"/>
  <c r="J509" i="7"/>
  <c r="G510" i="7" s="1"/>
  <c r="H511" i="7"/>
  <c r="K511" i="7"/>
  <c r="L510" i="7" l="1"/>
  <c r="J510" i="7"/>
  <c r="G511" i="7" s="1"/>
  <c r="F512" i="7"/>
  <c r="I511" i="7"/>
  <c r="H512" i="7"/>
  <c r="K512" i="7"/>
  <c r="L511" i="7" l="1"/>
  <c r="J511" i="7"/>
  <c r="G512" i="7" s="1"/>
  <c r="I512" i="7"/>
  <c r="F513" i="7"/>
  <c r="H513" i="7"/>
  <c r="K513" i="7"/>
  <c r="L512" i="7" l="1"/>
  <c r="J512" i="7"/>
  <c r="G513" i="7" s="1"/>
  <c r="F514" i="7"/>
  <c r="I513" i="7"/>
  <c r="H514" i="7"/>
  <c r="K514" i="7"/>
  <c r="L513" i="7" l="1"/>
  <c r="J513" i="7"/>
  <c r="G514" i="7" s="1"/>
  <c r="F515" i="7"/>
  <c r="I514" i="7"/>
  <c r="H515" i="7"/>
  <c r="K515" i="7"/>
  <c r="F516" i="7" l="1"/>
  <c r="I515" i="7"/>
  <c r="L514" i="7"/>
  <c r="J514" i="7"/>
  <c r="G515" i="7" s="1"/>
  <c r="H516" i="7"/>
  <c r="K516" i="7"/>
  <c r="L515" i="7" l="1"/>
  <c r="J515" i="7"/>
  <c r="G516" i="7" s="1"/>
  <c r="I516" i="7"/>
  <c r="F517" i="7"/>
  <c r="H517" i="7"/>
  <c r="K517" i="7"/>
  <c r="F518" i="7" l="1"/>
  <c r="I517" i="7"/>
  <c r="L516" i="7"/>
  <c r="J516" i="7"/>
  <c r="G517" i="7" s="1"/>
  <c r="H518" i="7"/>
  <c r="K518" i="7"/>
  <c r="L517" i="7" l="1"/>
  <c r="J517" i="7"/>
  <c r="G518" i="7" s="1"/>
  <c r="F519" i="7"/>
  <c r="I518" i="7"/>
  <c r="H519" i="7"/>
  <c r="K519" i="7"/>
  <c r="L518" i="7" l="1"/>
  <c r="J518" i="7"/>
  <c r="G519" i="7" s="1"/>
  <c r="F520" i="7"/>
  <c r="I519" i="7"/>
  <c r="K520" i="7"/>
  <c r="H520" i="7"/>
  <c r="F521" i="7" l="1"/>
  <c r="I520" i="7"/>
  <c r="L519" i="7"/>
  <c r="J519" i="7"/>
  <c r="G520" i="7" s="1"/>
  <c r="K521" i="7"/>
  <c r="H521" i="7"/>
  <c r="L520" i="7" l="1"/>
  <c r="J520" i="7"/>
  <c r="G521" i="7" s="1"/>
  <c r="F522" i="7"/>
  <c r="I521" i="7"/>
  <c r="H522" i="7"/>
  <c r="K522" i="7"/>
  <c r="I522" i="7" l="1"/>
  <c r="F523" i="7"/>
  <c r="L521" i="7"/>
  <c r="J521" i="7"/>
  <c r="G522" i="7" s="1"/>
  <c r="H523" i="7"/>
  <c r="K523" i="7"/>
  <c r="L522" i="7" l="1"/>
  <c r="J522" i="7"/>
  <c r="G523" i="7" s="1"/>
  <c r="F524" i="7"/>
  <c r="I523" i="7"/>
  <c r="H524" i="7"/>
  <c r="K524" i="7"/>
  <c r="L523" i="7" l="1"/>
  <c r="J523" i="7"/>
  <c r="G524" i="7" s="1"/>
  <c r="I524" i="7"/>
  <c r="F525" i="7"/>
  <c r="H525" i="7"/>
  <c r="K525" i="7"/>
  <c r="L524" i="7" l="1"/>
  <c r="J524" i="7"/>
  <c r="G525" i="7" s="1"/>
  <c r="I525" i="7"/>
  <c r="F526" i="7"/>
  <c r="H526" i="7"/>
  <c r="K526" i="7"/>
  <c r="F527" i="7" l="1"/>
  <c r="I526" i="7"/>
  <c r="L525" i="7"/>
  <c r="J525" i="7"/>
  <c r="G526" i="7" s="1"/>
  <c r="H527" i="7"/>
  <c r="K527" i="7"/>
  <c r="L526" i="7" l="1"/>
  <c r="J526" i="7"/>
  <c r="G527" i="7" s="1"/>
  <c r="I527" i="7"/>
  <c r="F528" i="7"/>
  <c r="H528" i="7"/>
  <c r="K528" i="7"/>
  <c r="I528" i="7" l="1"/>
  <c r="F529" i="7"/>
  <c r="L527" i="7"/>
  <c r="J527" i="7"/>
  <c r="G528" i="7" s="1"/>
  <c r="H529" i="7"/>
  <c r="K529" i="7"/>
  <c r="F530" i="7" l="1"/>
  <c r="I529" i="7"/>
  <c r="L528" i="7"/>
  <c r="J528" i="7"/>
  <c r="G529" i="7" s="1"/>
  <c r="H530" i="7"/>
  <c r="K530" i="7"/>
  <c r="L529" i="7" l="1"/>
  <c r="J529" i="7"/>
  <c r="G530" i="7" s="1"/>
  <c r="F531" i="7"/>
  <c r="I530" i="7"/>
  <c r="H531" i="7"/>
  <c r="K531" i="7"/>
  <c r="L530" i="7" l="1"/>
  <c r="J530" i="7"/>
  <c r="G531" i="7" s="1"/>
  <c r="F532" i="7"/>
  <c r="I531" i="7"/>
  <c r="H532" i="7"/>
  <c r="K532" i="7"/>
  <c r="I532" i="7" l="1"/>
  <c r="F533" i="7"/>
  <c r="L531" i="7"/>
  <c r="J531" i="7"/>
  <c r="G532" i="7" s="1"/>
  <c r="H533" i="7"/>
  <c r="K533" i="7"/>
  <c r="L532" i="7" l="1"/>
  <c r="J532" i="7"/>
  <c r="G533" i="7" s="1"/>
  <c r="F534" i="7"/>
  <c r="I533" i="7"/>
  <c r="H534" i="7"/>
  <c r="K534" i="7"/>
  <c r="L533" i="7" l="1"/>
  <c r="J533" i="7"/>
  <c r="G534" i="7" s="1"/>
  <c r="F535" i="7"/>
  <c r="I534" i="7"/>
  <c r="H535" i="7"/>
  <c r="K535" i="7"/>
  <c r="I535" i="7" l="1"/>
  <c r="F536" i="7"/>
  <c r="L534" i="7"/>
  <c r="J534" i="7"/>
  <c r="G535" i="7" s="1"/>
  <c r="H536" i="7"/>
  <c r="K536" i="7"/>
  <c r="L535" i="7" l="1"/>
  <c r="J535" i="7"/>
  <c r="G536" i="7" s="1"/>
  <c r="I536" i="7"/>
  <c r="F537" i="7"/>
  <c r="H537" i="7"/>
  <c r="K537" i="7"/>
  <c r="I537" i="7" l="1"/>
  <c r="F538" i="7"/>
  <c r="L536" i="7"/>
  <c r="J536" i="7"/>
  <c r="G537" i="7" s="1"/>
  <c r="H538" i="7"/>
  <c r="K538" i="7"/>
  <c r="L537" i="7" l="1"/>
  <c r="J537" i="7"/>
  <c r="G538" i="7" s="1"/>
  <c r="I538" i="7"/>
  <c r="F539" i="7"/>
  <c r="H539" i="7"/>
  <c r="K539" i="7"/>
  <c r="I539" i="7" l="1"/>
  <c r="F540" i="7"/>
  <c r="L538" i="7"/>
  <c r="J538" i="7"/>
  <c r="G539" i="7" s="1"/>
  <c r="H540" i="7"/>
  <c r="K540" i="7"/>
  <c r="L539" i="7" l="1"/>
  <c r="J539" i="7"/>
  <c r="G540" i="7" s="1"/>
  <c r="I540" i="7"/>
  <c r="F541" i="7"/>
  <c r="H541" i="7"/>
  <c r="K541" i="7"/>
  <c r="L540" i="7" l="1"/>
  <c r="J540" i="7"/>
  <c r="G541" i="7" s="1"/>
  <c r="I541" i="7"/>
  <c r="F542" i="7"/>
  <c r="H542" i="7"/>
  <c r="K542" i="7"/>
  <c r="I542" i="7" l="1"/>
  <c r="F543" i="7"/>
  <c r="L541" i="7"/>
  <c r="J541" i="7"/>
  <c r="G542" i="7" s="1"/>
  <c r="H543" i="7"/>
  <c r="K543" i="7"/>
  <c r="L542" i="7" l="1"/>
  <c r="J542" i="7"/>
  <c r="G543" i="7" s="1"/>
  <c r="I543" i="7"/>
  <c r="F544" i="7"/>
  <c r="H544" i="7"/>
  <c r="K544" i="7"/>
  <c r="I544" i="7" l="1"/>
  <c r="F545" i="7"/>
  <c r="L543" i="7"/>
  <c r="J543" i="7"/>
  <c r="G544" i="7" s="1"/>
  <c r="H545" i="7"/>
  <c r="K545" i="7"/>
  <c r="I545" i="7" l="1"/>
  <c r="F546" i="7"/>
  <c r="L544" i="7"/>
  <c r="J544" i="7"/>
  <c r="G545" i="7" s="1"/>
  <c r="H546" i="7"/>
  <c r="K546" i="7"/>
  <c r="L545" i="7" l="1"/>
  <c r="J545" i="7"/>
  <c r="G546" i="7" s="1"/>
  <c r="I546" i="7"/>
  <c r="F547" i="7"/>
  <c r="H547" i="7"/>
  <c r="K547" i="7"/>
  <c r="L546" i="7" l="1"/>
  <c r="J546" i="7"/>
  <c r="G547" i="7" s="1"/>
  <c r="F548" i="7"/>
  <c r="I547" i="7"/>
  <c r="H548" i="7"/>
  <c r="K548" i="7"/>
  <c r="F549" i="7" l="1"/>
  <c r="I548" i="7"/>
  <c r="L547" i="7"/>
  <c r="J547" i="7"/>
  <c r="G548" i="7" s="1"/>
  <c r="H549" i="7"/>
  <c r="K549" i="7"/>
  <c r="L548" i="7" l="1"/>
  <c r="J548" i="7"/>
  <c r="G549" i="7" s="1"/>
  <c r="F550" i="7"/>
  <c r="I549" i="7"/>
  <c r="H550" i="7"/>
  <c r="K550" i="7"/>
  <c r="L549" i="7" l="1"/>
  <c r="J549" i="7"/>
  <c r="G550" i="7" s="1"/>
  <c r="I550" i="7"/>
  <c r="F551" i="7"/>
  <c r="H551" i="7"/>
  <c r="K551" i="7"/>
  <c r="I551" i="7" l="1"/>
  <c r="F552" i="7"/>
  <c r="L550" i="7"/>
  <c r="J550" i="7"/>
  <c r="G551" i="7" s="1"/>
  <c r="H552" i="7"/>
  <c r="K552" i="7"/>
  <c r="I552" i="7" l="1"/>
  <c r="F553" i="7"/>
  <c r="L551" i="7"/>
  <c r="J551" i="7"/>
  <c r="G552" i="7" s="1"/>
  <c r="H553" i="7"/>
  <c r="K553" i="7"/>
  <c r="L552" i="7" l="1"/>
  <c r="J552" i="7"/>
  <c r="G553" i="7" s="1"/>
  <c r="I553" i="7"/>
  <c r="F554" i="7"/>
  <c r="H554" i="7"/>
  <c r="K554" i="7"/>
  <c r="I554" i="7" l="1"/>
  <c r="F555" i="7"/>
  <c r="L553" i="7"/>
  <c r="J553" i="7"/>
  <c r="G554" i="7" s="1"/>
  <c r="H555" i="7"/>
  <c r="K555" i="7"/>
  <c r="F556" i="7" l="1"/>
  <c r="I555" i="7"/>
  <c r="L554" i="7"/>
  <c r="J554" i="7"/>
  <c r="G555" i="7" s="1"/>
  <c r="H556" i="7"/>
  <c r="K556" i="7"/>
  <c r="I556" i="7" l="1"/>
  <c r="F557" i="7"/>
  <c r="L555" i="7"/>
  <c r="J555" i="7"/>
  <c r="G556" i="7" s="1"/>
  <c r="H557" i="7"/>
  <c r="K557" i="7"/>
  <c r="L556" i="7" l="1"/>
  <c r="J556" i="7"/>
  <c r="G557" i="7" s="1"/>
  <c r="F558" i="7"/>
  <c r="I557" i="7"/>
  <c r="H558" i="7"/>
  <c r="K558" i="7"/>
  <c r="L557" i="7" l="1"/>
  <c r="J557" i="7"/>
  <c r="G558" i="7" s="1"/>
  <c r="F559" i="7"/>
  <c r="I558" i="7"/>
  <c r="H559" i="7"/>
  <c r="K559" i="7"/>
  <c r="I559" i="7" l="1"/>
  <c r="F560" i="7"/>
  <c r="L558" i="7"/>
  <c r="J558" i="7"/>
  <c r="G559" i="7" s="1"/>
  <c r="H560" i="7"/>
  <c r="K560" i="7"/>
  <c r="L559" i="7" l="1"/>
  <c r="J559" i="7"/>
  <c r="G560" i="7" s="1"/>
  <c r="I560" i="7"/>
  <c r="F561" i="7"/>
  <c r="H561" i="7"/>
  <c r="K561" i="7"/>
  <c r="L560" i="7" l="1"/>
  <c r="J560" i="7"/>
  <c r="G561" i="7" s="1"/>
  <c r="I561" i="7"/>
  <c r="F562" i="7"/>
  <c r="H562" i="7"/>
  <c r="K562" i="7"/>
  <c r="I562" i="7" l="1"/>
  <c r="F563" i="7"/>
  <c r="L561" i="7"/>
  <c r="J561" i="7"/>
  <c r="G562" i="7" s="1"/>
  <c r="H563" i="7"/>
  <c r="K563" i="7"/>
  <c r="L562" i="7" l="1"/>
  <c r="J562" i="7"/>
  <c r="G563" i="7" s="1"/>
  <c r="I563" i="7"/>
  <c r="F564" i="7"/>
  <c r="H564" i="7"/>
  <c r="K564" i="7"/>
  <c r="I564" i="7" l="1"/>
  <c r="F565" i="7"/>
  <c r="L563" i="7"/>
  <c r="J563" i="7"/>
  <c r="G564" i="7" s="1"/>
  <c r="H565" i="7"/>
  <c r="K565" i="7"/>
  <c r="L564" i="7" l="1"/>
  <c r="J564" i="7"/>
  <c r="G565" i="7" s="1"/>
  <c r="I565" i="7"/>
  <c r="F566" i="7"/>
  <c r="H566" i="7"/>
  <c r="K566" i="7"/>
  <c r="I566" i="7" l="1"/>
  <c r="F567" i="7"/>
  <c r="L565" i="7"/>
  <c r="J565" i="7"/>
  <c r="G566" i="7" s="1"/>
  <c r="H567" i="7"/>
  <c r="K567" i="7"/>
  <c r="L566" i="7" l="1"/>
  <c r="J566" i="7"/>
  <c r="G567" i="7" s="1"/>
  <c r="I567" i="7"/>
  <c r="F568" i="7"/>
  <c r="H568" i="7"/>
  <c r="K568" i="7"/>
  <c r="F569" i="7" l="1"/>
  <c r="I568" i="7"/>
  <c r="L567" i="7"/>
  <c r="J567" i="7"/>
  <c r="G568" i="7" s="1"/>
  <c r="H569" i="7"/>
  <c r="K569" i="7"/>
  <c r="L568" i="7" l="1"/>
  <c r="J568" i="7"/>
  <c r="G569" i="7" s="1"/>
  <c r="F570" i="7"/>
  <c r="I569" i="7"/>
  <c r="H570" i="7"/>
  <c r="K570" i="7"/>
  <c r="L569" i="7" l="1"/>
  <c r="J569" i="7"/>
  <c r="G570" i="7" s="1"/>
  <c r="I570" i="7"/>
  <c r="F571" i="7"/>
  <c r="H571" i="7"/>
  <c r="K571" i="7"/>
  <c r="I571" i="7" l="1"/>
  <c r="F572" i="7"/>
  <c r="L570" i="7"/>
  <c r="J570" i="7"/>
  <c r="G571" i="7" s="1"/>
  <c r="H572" i="7"/>
  <c r="K572" i="7"/>
  <c r="L571" i="7" l="1"/>
  <c r="J571" i="7"/>
  <c r="G572" i="7" s="1"/>
  <c r="I572" i="7"/>
  <c r="F573" i="7"/>
  <c r="H573" i="7"/>
  <c r="K573" i="7"/>
  <c r="I573" i="7" l="1"/>
  <c r="F574" i="7"/>
  <c r="L572" i="7"/>
  <c r="J572" i="7"/>
  <c r="G573" i="7" s="1"/>
  <c r="H574" i="7"/>
  <c r="K574" i="7"/>
  <c r="L573" i="7" l="1"/>
  <c r="J573" i="7"/>
  <c r="G574" i="7" s="1"/>
  <c r="I574" i="7"/>
  <c r="F575" i="7"/>
  <c r="H575" i="7"/>
  <c r="K575" i="7"/>
  <c r="L574" i="7" l="1"/>
  <c r="J574" i="7"/>
  <c r="G575" i="7" s="1"/>
  <c r="I575" i="7"/>
  <c r="F576" i="7"/>
  <c r="H576" i="7"/>
  <c r="K576" i="7"/>
  <c r="I576" i="7" l="1"/>
  <c r="F577" i="7"/>
  <c r="L575" i="7"/>
  <c r="J575" i="7"/>
  <c r="G576" i="7" s="1"/>
  <c r="K577" i="7"/>
  <c r="H577" i="7"/>
  <c r="L576" i="7" l="1"/>
  <c r="J576" i="7"/>
  <c r="G577" i="7" s="1"/>
  <c r="F578" i="7"/>
  <c r="I577" i="7"/>
  <c r="K578" i="7"/>
  <c r="H578" i="7"/>
  <c r="I578" i="7" l="1"/>
  <c r="F579" i="7"/>
  <c r="L577" i="7"/>
  <c r="J577" i="7"/>
  <c r="G578" i="7" s="1"/>
  <c r="K579" i="7"/>
  <c r="H579" i="7"/>
  <c r="L578" i="7" l="1"/>
  <c r="J578" i="7"/>
  <c r="G579" i="7" s="1"/>
  <c r="I579" i="7"/>
  <c r="F580" i="7"/>
  <c r="H580" i="7"/>
  <c r="K580" i="7"/>
  <c r="F581" i="7" l="1"/>
  <c r="I580" i="7"/>
  <c r="L579" i="7"/>
  <c r="J579" i="7"/>
  <c r="G580" i="7" s="1"/>
  <c r="H581" i="7"/>
  <c r="K581" i="7"/>
  <c r="L580" i="7" l="1"/>
  <c r="J580" i="7"/>
  <c r="G581" i="7" s="1"/>
  <c r="I581" i="7"/>
  <c r="F582" i="7"/>
  <c r="H582" i="7"/>
  <c r="K582" i="7"/>
  <c r="I582" i="7" l="1"/>
  <c r="F583" i="7"/>
  <c r="L581" i="7"/>
  <c r="J581" i="7"/>
  <c r="G582" i="7" s="1"/>
  <c r="H583" i="7"/>
  <c r="K583" i="7"/>
  <c r="L582" i="7" l="1"/>
  <c r="J582" i="7"/>
  <c r="G583" i="7" s="1"/>
  <c r="F584" i="7"/>
  <c r="I583" i="7"/>
  <c r="H584" i="7"/>
  <c r="K584" i="7"/>
  <c r="F585" i="7" l="1"/>
  <c r="I584" i="7"/>
  <c r="L583" i="7"/>
  <c r="J583" i="7"/>
  <c r="G584" i="7" s="1"/>
  <c r="H585" i="7"/>
  <c r="K585" i="7"/>
  <c r="L584" i="7" l="1"/>
  <c r="J584" i="7"/>
  <c r="G585" i="7" s="1"/>
  <c r="I585" i="7"/>
  <c r="F586" i="7"/>
  <c r="H586" i="7"/>
  <c r="K586" i="7"/>
  <c r="L585" i="7" l="1"/>
  <c r="J585" i="7"/>
  <c r="G586" i="7" s="1"/>
  <c r="F587" i="7"/>
  <c r="I586" i="7"/>
  <c r="K587" i="7"/>
  <c r="H587" i="7"/>
  <c r="L586" i="7" l="1"/>
  <c r="J586" i="7"/>
  <c r="G587" i="7" s="1"/>
  <c r="F588" i="7"/>
  <c r="I587" i="7"/>
  <c r="H588" i="7"/>
  <c r="K588" i="7"/>
  <c r="I588" i="7" l="1"/>
  <c r="F589" i="7"/>
  <c r="L587" i="7"/>
  <c r="J587" i="7"/>
  <c r="G588" i="7" s="1"/>
  <c r="H589" i="7"/>
  <c r="K589" i="7"/>
  <c r="F590" i="7" l="1"/>
  <c r="I589" i="7"/>
  <c r="L588" i="7"/>
  <c r="J588" i="7"/>
  <c r="G589" i="7" s="1"/>
  <c r="H590" i="7"/>
  <c r="K590" i="7"/>
  <c r="L589" i="7" l="1"/>
  <c r="J589" i="7"/>
  <c r="G590" i="7" s="1"/>
  <c r="F591" i="7"/>
  <c r="I590" i="7"/>
  <c r="H591" i="7"/>
  <c r="K591" i="7"/>
  <c r="F592" i="7" l="1"/>
  <c r="I591" i="7"/>
  <c r="L590" i="7"/>
  <c r="J590" i="7"/>
  <c r="G591" i="7" s="1"/>
  <c r="H592" i="7"/>
  <c r="K592" i="7"/>
  <c r="L591" i="7" l="1"/>
  <c r="J591" i="7"/>
  <c r="G592" i="7" s="1"/>
  <c r="I592" i="7"/>
  <c r="F593" i="7"/>
  <c r="H593" i="7"/>
  <c r="K593" i="7"/>
  <c r="I593" i="7" l="1"/>
  <c r="F594" i="7"/>
  <c r="L592" i="7"/>
  <c r="J592" i="7"/>
  <c r="G593" i="7" s="1"/>
  <c r="H594" i="7"/>
  <c r="K594" i="7"/>
  <c r="L593" i="7" l="1"/>
  <c r="J593" i="7"/>
  <c r="G594" i="7" s="1"/>
  <c r="F595" i="7"/>
  <c r="I594" i="7"/>
  <c r="H595" i="7"/>
  <c r="K595" i="7"/>
  <c r="F596" i="7" l="1"/>
  <c r="I595" i="7"/>
  <c r="L594" i="7"/>
  <c r="J594" i="7"/>
  <c r="G595" i="7" s="1"/>
  <c r="H596" i="7"/>
  <c r="K596" i="7"/>
  <c r="L595" i="7" l="1"/>
  <c r="J595" i="7"/>
  <c r="G596" i="7" s="1"/>
  <c r="I596" i="7"/>
  <c r="F597" i="7"/>
  <c r="H597" i="7"/>
  <c r="K597" i="7"/>
  <c r="L596" i="7" l="1"/>
  <c r="J596" i="7"/>
  <c r="G597" i="7" s="1"/>
  <c r="F598" i="7"/>
  <c r="I597" i="7"/>
  <c r="H598" i="7"/>
  <c r="K598" i="7"/>
  <c r="I598" i="7" l="1"/>
  <c r="F599" i="7"/>
  <c r="L597" i="7"/>
  <c r="J597" i="7"/>
  <c r="G598" i="7" s="1"/>
  <c r="H599" i="7"/>
  <c r="K599" i="7"/>
  <c r="L598" i="7" l="1"/>
  <c r="J598" i="7"/>
  <c r="G599" i="7" s="1"/>
  <c r="I599" i="7"/>
  <c r="F600" i="7"/>
  <c r="H600" i="7"/>
  <c r="K600" i="7"/>
  <c r="I600" i="7" l="1"/>
  <c r="F601" i="7"/>
  <c r="L599" i="7"/>
  <c r="J599" i="7"/>
  <c r="G600" i="7" s="1"/>
  <c r="H601" i="7"/>
  <c r="K601" i="7"/>
  <c r="L600" i="7" l="1"/>
  <c r="J600" i="7"/>
  <c r="G601" i="7" s="1"/>
  <c r="I601" i="7"/>
  <c r="F602" i="7"/>
  <c r="H602" i="7"/>
  <c r="K602" i="7"/>
  <c r="I602" i="7" l="1"/>
  <c r="F603" i="7"/>
  <c r="L601" i="7"/>
  <c r="J601" i="7"/>
  <c r="G602" i="7" s="1"/>
  <c r="H603" i="7"/>
  <c r="K603" i="7"/>
  <c r="L602" i="7" l="1"/>
  <c r="J602" i="7"/>
  <c r="G603" i="7" s="1"/>
  <c r="F604" i="7"/>
  <c r="I603" i="7"/>
  <c r="H604" i="7"/>
  <c r="K604" i="7"/>
  <c r="I604" i="7" l="1"/>
  <c r="F605" i="7"/>
  <c r="L603" i="7"/>
  <c r="J603" i="7"/>
  <c r="G604" i="7" s="1"/>
  <c r="H605" i="7"/>
  <c r="K605" i="7"/>
  <c r="L604" i="7" l="1"/>
  <c r="J604" i="7"/>
  <c r="G605" i="7" s="1"/>
  <c r="I605" i="7"/>
  <c r="F606" i="7"/>
  <c r="H606" i="7"/>
  <c r="K606" i="7"/>
  <c r="I606" i="7" l="1"/>
  <c r="F607" i="7"/>
  <c r="L605" i="7"/>
  <c r="J605" i="7"/>
  <c r="G606" i="7" s="1"/>
  <c r="H607" i="7"/>
  <c r="K607" i="7"/>
  <c r="L606" i="7" l="1"/>
  <c r="J606" i="7"/>
  <c r="G607" i="7" s="1"/>
  <c r="I607" i="7"/>
  <c r="F608" i="7"/>
  <c r="H608" i="7"/>
  <c r="K608" i="7"/>
  <c r="I608" i="7" l="1"/>
  <c r="F609" i="7"/>
  <c r="L607" i="7"/>
  <c r="J607" i="7"/>
  <c r="G608" i="7" s="1"/>
  <c r="H609" i="7"/>
  <c r="K609" i="7"/>
  <c r="L608" i="7" l="1"/>
  <c r="J608" i="7"/>
  <c r="G609" i="7" s="1"/>
  <c r="I609" i="7"/>
  <c r="F610" i="7"/>
  <c r="H610" i="7"/>
  <c r="K610" i="7"/>
  <c r="L609" i="7" l="1"/>
  <c r="J609" i="7"/>
  <c r="G610" i="7" s="1"/>
  <c r="I610" i="7"/>
  <c r="F611" i="7"/>
  <c r="H611" i="7"/>
  <c r="K611" i="7"/>
  <c r="F612" i="7" l="1"/>
  <c r="I611" i="7"/>
  <c r="L610" i="7"/>
  <c r="J610" i="7"/>
  <c r="G611" i="7" s="1"/>
  <c r="H612" i="7"/>
  <c r="K612" i="7"/>
  <c r="F613" i="7" l="1"/>
  <c r="I612" i="7"/>
  <c r="L611" i="7"/>
  <c r="J611" i="7"/>
  <c r="G612" i="7" s="1"/>
  <c r="H613" i="7"/>
  <c r="K613" i="7"/>
  <c r="L612" i="7" l="1"/>
  <c r="J612" i="7"/>
  <c r="G613" i="7" s="1"/>
  <c r="I613" i="7"/>
  <c r="F614" i="7"/>
  <c r="H614" i="7"/>
  <c r="K614" i="7"/>
  <c r="I614" i="7" l="1"/>
  <c r="F615" i="7"/>
  <c r="L613" i="7"/>
  <c r="J613" i="7"/>
  <c r="G614" i="7" s="1"/>
  <c r="H615" i="7"/>
  <c r="K615" i="7"/>
  <c r="L614" i="7" l="1"/>
  <c r="J614" i="7"/>
  <c r="G615" i="7" s="1"/>
  <c r="I615" i="7"/>
  <c r="F616" i="7"/>
  <c r="H616" i="7"/>
  <c r="K616" i="7"/>
  <c r="I616" i="7" l="1"/>
  <c r="F617" i="7"/>
  <c r="L615" i="7"/>
  <c r="J615" i="7"/>
  <c r="G616" i="7" s="1"/>
  <c r="H617" i="7"/>
  <c r="K617" i="7"/>
  <c r="L616" i="7" l="1"/>
  <c r="J616" i="7"/>
  <c r="G617" i="7" s="1"/>
  <c r="F618" i="7"/>
  <c r="I617" i="7"/>
  <c r="K618" i="7"/>
  <c r="H618" i="7"/>
  <c r="I618" i="7" l="1"/>
  <c r="F619" i="7"/>
  <c r="L617" i="7"/>
  <c r="J617" i="7"/>
  <c r="G618" i="7" s="1"/>
  <c r="K619" i="7"/>
  <c r="H619" i="7"/>
  <c r="L618" i="7" l="1"/>
  <c r="J618" i="7"/>
  <c r="G619" i="7" s="1"/>
  <c r="F620" i="7"/>
  <c r="I619" i="7"/>
  <c r="H620" i="7"/>
  <c r="K620" i="7"/>
  <c r="L619" i="7" l="1"/>
  <c r="J619" i="7"/>
  <c r="G620" i="7" s="1"/>
  <c r="F621" i="7"/>
  <c r="I620" i="7"/>
  <c r="H621" i="7"/>
  <c r="K621" i="7"/>
  <c r="I621" i="7" l="1"/>
  <c r="F622" i="7"/>
  <c r="L620" i="7"/>
  <c r="J620" i="7"/>
  <c r="G621" i="7" s="1"/>
  <c r="H622" i="7"/>
  <c r="K622" i="7"/>
  <c r="I622" i="7" l="1"/>
  <c r="F623" i="7"/>
  <c r="L621" i="7"/>
  <c r="J621" i="7"/>
  <c r="G622" i="7" s="1"/>
  <c r="H623" i="7"/>
  <c r="K623" i="7"/>
  <c r="L622" i="7" l="1"/>
  <c r="J622" i="7"/>
  <c r="G623" i="7" s="1"/>
  <c r="I623" i="7"/>
  <c r="F624" i="7"/>
  <c r="H624" i="7"/>
  <c r="K624" i="7"/>
  <c r="I624" i="7" l="1"/>
  <c r="F625" i="7"/>
  <c r="L623" i="7"/>
  <c r="J623" i="7"/>
  <c r="G624" i="7" s="1"/>
  <c r="H625" i="7"/>
  <c r="K625" i="7"/>
  <c r="L624" i="7" l="1"/>
  <c r="J624" i="7"/>
  <c r="G625" i="7" s="1"/>
  <c r="F626" i="7"/>
  <c r="I625" i="7"/>
  <c r="H626" i="7"/>
  <c r="K626" i="7"/>
  <c r="L625" i="7" l="1"/>
  <c r="J625" i="7"/>
  <c r="G626" i="7" s="1"/>
  <c r="I626" i="7"/>
  <c r="F627" i="7"/>
  <c r="H627" i="7"/>
  <c r="K627" i="7"/>
  <c r="I627" i="7" l="1"/>
  <c r="F628" i="7"/>
  <c r="L626" i="7"/>
  <c r="J626" i="7"/>
  <c r="G627" i="7" s="1"/>
  <c r="H628" i="7"/>
  <c r="K628" i="7"/>
  <c r="L627" i="7" l="1"/>
  <c r="J627" i="7"/>
  <c r="G628" i="7" s="1"/>
  <c r="I628" i="7"/>
  <c r="F629" i="7"/>
  <c r="H629" i="7"/>
  <c r="K629" i="7"/>
  <c r="I629" i="7" l="1"/>
  <c r="F630" i="7"/>
  <c r="L628" i="7"/>
  <c r="J628" i="7"/>
  <c r="G629" i="7" s="1"/>
  <c r="H630" i="7"/>
  <c r="K630" i="7"/>
  <c r="L629" i="7" l="1"/>
  <c r="J629" i="7"/>
  <c r="G630" i="7" s="1"/>
  <c r="I630" i="7"/>
  <c r="F631" i="7"/>
  <c r="H631" i="7"/>
  <c r="K631" i="7"/>
  <c r="I631" i="7" l="1"/>
  <c r="F632" i="7"/>
  <c r="L630" i="7"/>
  <c r="J630" i="7"/>
  <c r="G631" i="7" s="1"/>
  <c r="H632" i="7"/>
  <c r="K632" i="7"/>
  <c r="L631" i="7" l="1"/>
  <c r="J631" i="7"/>
  <c r="G632" i="7" s="1"/>
  <c r="I632" i="7"/>
  <c r="F633" i="7"/>
  <c r="H633" i="7"/>
  <c r="K633" i="7"/>
  <c r="L632" i="7" l="1"/>
  <c r="J632" i="7"/>
  <c r="G633" i="7" s="1"/>
  <c r="I633" i="7"/>
  <c r="F634" i="7"/>
  <c r="K634" i="7"/>
  <c r="H634" i="7"/>
  <c r="F635" i="7" l="1"/>
  <c r="I634" i="7"/>
  <c r="L633" i="7"/>
  <c r="J633" i="7"/>
  <c r="G634" i="7" s="1"/>
  <c r="K635" i="7"/>
  <c r="H635" i="7"/>
  <c r="I635" i="7" l="1"/>
  <c r="F636" i="7"/>
  <c r="L634" i="7"/>
  <c r="J634" i="7"/>
  <c r="G635" i="7" s="1"/>
  <c r="H636" i="7"/>
  <c r="K636" i="7"/>
  <c r="L635" i="7" l="1"/>
  <c r="J635" i="7"/>
  <c r="G636" i="7" s="1"/>
  <c r="I636" i="7"/>
  <c r="F637" i="7"/>
  <c r="H637" i="7"/>
  <c r="K637" i="7"/>
  <c r="F638" i="7" l="1"/>
  <c r="I637" i="7"/>
  <c r="L636" i="7"/>
  <c r="J636" i="7"/>
  <c r="G637" i="7" s="1"/>
  <c r="H638" i="7"/>
  <c r="K638" i="7"/>
  <c r="L637" i="7" l="1"/>
  <c r="J637" i="7"/>
  <c r="G638" i="7" s="1"/>
  <c r="F639" i="7"/>
  <c r="I638" i="7"/>
  <c r="H639" i="7"/>
  <c r="K639" i="7"/>
  <c r="L638" i="7" l="1"/>
  <c r="J638" i="7"/>
  <c r="G639" i="7" s="1"/>
  <c r="F640" i="7"/>
  <c r="I639" i="7"/>
  <c r="H640" i="7"/>
  <c r="K640" i="7"/>
  <c r="F641" i="7" l="1"/>
  <c r="I640" i="7"/>
  <c r="L639" i="7"/>
  <c r="J639" i="7"/>
  <c r="G640" i="7" s="1"/>
  <c r="H641" i="7"/>
  <c r="K641" i="7"/>
  <c r="L640" i="7" l="1"/>
  <c r="J640" i="7"/>
  <c r="G641" i="7" s="1"/>
  <c r="I641" i="7"/>
  <c r="F642" i="7"/>
  <c r="H642" i="7"/>
  <c r="K642" i="7"/>
  <c r="F643" i="7" l="1"/>
  <c r="I642" i="7"/>
  <c r="L641" i="7"/>
  <c r="J641" i="7"/>
  <c r="G642" i="7" s="1"/>
  <c r="H643" i="7"/>
  <c r="K643" i="7"/>
  <c r="F644" i="7" l="1"/>
  <c r="I643" i="7"/>
  <c r="L642" i="7"/>
  <c r="J642" i="7"/>
  <c r="G643" i="7" s="1"/>
  <c r="H644" i="7"/>
  <c r="K644" i="7"/>
  <c r="L643" i="7" l="1"/>
  <c r="J643" i="7"/>
  <c r="G644" i="7" s="1"/>
  <c r="I644" i="7"/>
  <c r="F645" i="7"/>
  <c r="H645" i="7"/>
  <c r="K645" i="7"/>
  <c r="I645" i="7" l="1"/>
  <c r="F646" i="7"/>
  <c r="L644" i="7"/>
  <c r="J644" i="7"/>
  <c r="G645" i="7" s="1"/>
  <c r="H646" i="7"/>
  <c r="K646" i="7"/>
  <c r="L645" i="7" l="1"/>
  <c r="J645" i="7"/>
  <c r="G646" i="7" s="1"/>
  <c r="I646" i="7"/>
  <c r="F647" i="7"/>
  <c r="H647" i="7"/>
  <c r="K647" i="7"/>
  <c r="I647" i="7" l="1"/>
  <c r="F648" i="7"/>
  <c r="L646" i="7"/>
  <c r="J646" i="7"/>
  <c r="G647" i="7" s="1"/>
  <c r="H648" i="7"/>
  <c r="K648" i="7"/>
  <c r="L647" i="7" l="1"/>
  <c r="J647" i="7"/>
  <c r="G648" i="7" s="1"/>
  <c r="I648" i="7"/>
  <c r="F649" i="7"/>
  <c r="H649" i="7"/>
  <c r="K649" i="7"/>
  <c r="I649" i="7" l="1"/>
  <c r="F650" i="7"/>
  <c r="L648" i="7"/>
  <c r="J648" i="7"/>
  <c r="G649" i="7" s="1"/>
  <c r="H650" i="7"/>
  <c r="K650" i="7"/>
  <c r="L649" i="7" l="1"/>
  <c r="J649" i="7"/>
  <c r="G650" i="7" s="1"/>
  <c r="I650" i="7"/>
  <c r="F651" i="7"/>
  <c r="H651" i="7"/>
  <c r="K651" i="7"/>
  <c r="I651" i="7" l="1"/>
  <c r="F652" i="7"/>
  <c r="L650" i="7"/>
  <c r="J650" i="7"/>
  <c r="G651" i="7" s="1"/>
  <c r="H652" i="7"/>
  <c r="K652" i="7"/>
  <c r="L651" i="7" l="1"/>
  <c r="J651" i="7"/>
  <c r="G652" i="7" s="1"/>
  <c r="F653" i="7"/>
  <c r="I652" i="7"/>
  <c r="H653" i="7"/>
  <c r="K653" i="7"/>
  <c r="I653" i="7" l="1"/>
  <c r="F654" i="7"/>
  <c r="L652" i="7"/>
  <c r="J652" i="7"/>
  <c r="G653" i="7" s="1"/>
  <c r="H654" i="7"/>
  <c r="K654" i="7"/>
  <c r="L653" i="7" l="1"/>
  <c r="J653" i="7"/>
  <c r="G654" i="7" s="1"/>
  <c r="I654" i="7"/>
  <c r="F655" i="7"/>
  <c r="H655" i="7"/>
  <c r="K655" i="7"/>
  <c r="I655" i="7" l="1"/>
  <c r="F656" i="7"/>
  <c r="L654" i="7"/>
  <c r="J654" i="7"/>
  <c r="G655" i="7" s="1"/>
  <c r="H656" i="7"/>
  <c r="K656" i="7"/>
  <c r="L655" i="7" l="1"/>
  <c r="J655" i="7"/>
  <c r="G656" i="7" s="1"/>
  <c r="I656" i="7"/>
  <c r="F657" i="7"/>
  <c r="H657" i="7"/>
  <c r="K657" i="7"/>
  <c r="L656" i="7" l="1"/>
  <c r="J656" i="7"/>
  <c r="G657" i="7" s="1"/>
  <c r="I657" i="7"/>
  <c r="F658" i="7"/>
  <c r="H658" i="7"/>
  <c r="K658" i="7"/>
  <c r="F659" i="7" l="1"/>
  <c r="I658" i="7"/>
  <c r="L657" i="7"/>
  <c r="J657" i="7"/>
  <c r="G658" i="7" s="1"/>
  <c r="H659" i="7"/>
  <c r="K659" i="7"/>
  <c r="I659" i="7" l="1"/>
  <c r="F660" i="7"/>
  <c r="L658" i="7"/>
  <c r="J658" i="7"/>
  <c r="G659" i="7" s="1"/>
  <c r="H660" i="7"/>
  <c r="K660" i="7"/>
  <c r="L659" i="7" l="1"/>
  <c r="J659" i="7"/>
  <c r="G660" i="7" s="1"/>
  <c r="I660" i="7"/>
  <c r="F661" i="7"/>
  <c r="H661" i="7"/>
  <c r="K661" i="7"/>
  <c r="F662" i="7" l="1"/>
  <c r="I661" i="7"/>
  <c r="L660" i="7"/>
  <c r="J660" i="7"/>
  <c r="G661" i="7" s="1"/>
  <c r="H662" i="7"/>
  <c r="K662" i="7"/>
  <c r="L661" i="7" l="1"/>
  <c r="J661" i="7"/>
  <c r="G662" i="7" s="1"/>
  <c r="I662" i="7"/>
  <c r="F663" i="7"/>
  <c r="K663" i="7"/>
  <c r="H663" i="7"/>
  <c r="I663" i="7" l="1"/>
  <c r="F664" i="7"/>
  <c r="L662" i="7"/>
  <c r="J662" i="7"/>
  <c r="G663" i="7" s="1"/>
  <c r="K664" i="7"/>
  <c r="H664" i="7"/>
  <c r="L663" i="7" l="1"/>
  <c r="J663" i="7"/>
  <c r="G664" i="7" s="1"/>
  <c r="I664" i="7"/>
  <c r="F665" i="7"/>
  <c r="H665" i="7"/>
  <c r="K665" i="7"/>
  <c r="F666" i="7" l="1"/>
  <c r="I665" i="7"/>
  <c r="L664" i="7"/>
  <c r="J664" i="7"/>
  <c r="G665" i="7" s="1"/>
  <c r="H666" i="7"/>
  <c r="K666" i="7"/>
  <c r="L665" i="7" l="1"/>
  <c r="J665" i="7"/>
  <c r="G666" i="7" s="1"/>
  <c r="I666" i="7"/>
  <c r="F667" i="7"/>
  <c r="H667" i="7"/>
  <c r="K667" i="7"/>
  <c r="I667" i="7" l="1"/>
  <c r="F668" i="7"/>
  <c r="L666" i="7"/>
  <c r="J666" i="7"/>
  <c r="G667" i="7" s="1"/>
  <c r="H668" i="7"/>
  <c r="K668" i="7"/>
  <c r="L667" i="7" l="1"/>
  <c r="J667" i="7"/>
  <c r="G668" i="7" s="1"/>
  <c r="I668" i="7"/>
  <c r="F669" i="7"/>
  <c r="H669" i="7"/>
  <c r="K669" i="7"/>
  <c r="I669" i="7" l="1"/>
  <c r="F670" i="7"/>
  <c r="L668" i="7"/>
  <c r="J668" i="7"/>
  <c r="G669" i="7" s="1"/>
  <c r="H670" i="7"/>
  <c r="K670" i="7"/>
  <c r="L669" i="7" l="1"/>
  <c r="J669" i="7"/>
  <c r="G670" i="7" s="1"/>
  <c r="I670" i="7"/>
  <c r="F671" i="7"/>
  <c r="H671" i="7"/>
  <c r="K671" i="7"/>
  <c r="I671" i="7" l="1"/>
  <c r="F672" i="7"/>
  <c r="L670" i="7"/>
  <c r="J670" i="7"/>
  <c r="G671" i="7" s="1"/>
  <c r="H672" i="7"/>
  <c r="K672" i="7"/>
  <c r="L671" i="7" l="1"/>
  <c r="J671" i="7"/>
  <c r="G672" i="7" s="1"/>
  <c r="I672" i="7"/>
  <c r="F673" i="7"/>
  <c r="H673" i="7"/>
  <c r="K673" i="7"/>
  <c r="I673" i="7" l="1"/>
  <c r="F674" i="7"/>
  <c r="L672" i="7"/>
  <c r="J672" i="7"/>
  <c r="G673" i="7" s="1"/>
  <c r="H674" i="7"/>
  <c r="K674" i="7"/>
  <c r="L673" i="7" l="1"/>
  <c r="J673" i="7"/>
  <c r="G674" i="7" s="1"/>
  <c r="I674" i="7"/>
  <c r="F675" i="7"/>
  <c r="H675" i="7"/>
  <c r="K675" i="7"/>
  <c r="I675" i="7" l="1"/>
  <c r="F676" i="7"/>
  <c r="L674" i="7"/>
  <c r="J674" i="7"/>
  <c r="G675" i="7" s="1"/>
  <c r="H676" i="7"/>
  <c r="K676" i="7"/>
  <c r="I676" i="7" l="1"/>
  <c r="F677" i="7"/>
  <c r="L675" i="7"/>
  <c r="J675" i="7"/>
  <c r="G676" i="7" s="1"/>
  <c r="H677" i="7"/>
  <c r="K677" i="7"/>
  <c r="L676" i="7" l="1"/>
  <c r="J676" i="7"/>
  <c r="G677" i="7" s="1"/>
  <c r="I677" i="7"/>
  <c r="F678" i="7"/>
  <c r="H678" i="7"/>
  <c r="K678" i="7"/>
  <c r="L677" i="7" l="1"/>
  <c r="J677" i="7"/>
  <c r="G678" i="7" s="1"/>
  <c r="I678" i="7"/>
  <c r="F679" i="7"/>
  <c r="H679" i="7"/>
  <c r="K679" i="7"/>
  <c r="F680" i="7" l="1"/>
  <c r="I679" i="7"/>
  <c r="L678" i="7"/>
  <c r="J678" i="7"/>
  <c r="G679" i="7" s="1"/>
  <c r="H680" i="7"/>
  <c r="K680" i="7"/>
  <c r="L679" i="7" l="1"/>
  <c r="J679" i="7"/>
  <c r="G680" i="7" s="1"/>
  <c r="F681" i="7"/>
  <c r="I680" i="7"/>
  <c r="H681" i="7"/>
  <c r="K681" i="7"/>
  <c r="L680" i="7" l="1"/>
  <c r="J680" i="7"/>
  <c r="G681" i="7" s="1"/>
  <c r="I681" i="7"/>
  <c r="F682" i="7"/>
  <c r="H682" i="7"/>
  <c r="K682" i="7"/>
  <c r="F683" i="7" l="1"/>
  <c r="I682" i="7"/>
  <c r="L681" i="7"/>
  <c r="J681" i="7"/>
  <c r="G682" i="7" s="1"/>
  <c r="K683" i="7"/>
  <c r="H683" i="7"/>
  <c r="L682" i="7" l="1"/>
  <c r="J682" i="7"/>
  <c r="G683" i="7" s="1"/>
  <c r="F684" i="7"/>
  <c r="I683" i="7"/>
  <c r="K684" i="7"/>
  <c r="H684" i="7"/>
  <c r="F685" i="7" l="1"/>
  <c r="I684" i="7"/>
  <c r="L683" i="7"/>
  <c r="J683" i="7"/>
  <c r="G684" i="7" s="1"/>
  <c r="K685" i="7"/>
  <c r="H685" i="7"/>
  <c r="I685" i="7" l="1"/>
  <c r="F686" i="7"/>
  <c r="L684" i="7"/>
  <c r="J684" i="7"/>
  <c r="G685" i="7" s="1"/>
  <c r="H686" i="7"/>
  <c r="K686" i="7"/>
  <c r="I686" i="7" l="1"/>
  <c r="F687" i="7"/>
  <c r="L685" i="7"/>
  <c r="J685" i="7"/>
  <c r="G686" i="7" s="1"/>
  <c r="H687" i="7"/>
  <c r="K687" i="7"/>
  <c r="L686" i="7" l="1"/>
  <c r="J686" i="7"/>
  <c r="G687" i="7" s="1"/>
  <c r="I687" i="7"/>
  <c r="F688" i="7"/>
  <c r="H688" i="7"/>
  <c r="K688" i="7"/>
  <c r="F689" i="7" l="1"/>
  <c r="I688" i="7"/>
  <c r="L687" i="7"/>
  <c r="J687" i="7"/>
  <c r="G688" i="7" s="1"/>
  <c r="H689" i="7"/>
  <c r="K689" i="7"/>
  <c r="L688" i="7" l="1"/>
  <c r="J688" i="7"/>
  <c r="G689" i="7" s="1"/>
  <c r="I689" i="7"/>
  <c r="F690" i="7"/>
  <c r="H690" i="7"/>
  <c r="K690" i="7"/>
  <c r="L689" i="7" l="1"/>
  <c r="J689" i="7"/>
  <c r="G690" i="7" s="1"/>
  <c r="F691" i="7"/>
  <c r="I690" i="7"/>
  <c r="H691" i="7"/>
  <c r="K691" i="7"/>
  <c r="L690" i="7" l="1"/>
  <c r="J690" i="7"/>
  <c r="G691" i="7" s="1"/>
  <c r="F692" i="7"/>
  <c r="I691" i="7"/>
  <c r="H692" i="7"/>
  <c r="K692" i="7"/>
  <c r="F693" i="7" l="1"/>
  <c r="I692" i="7"/>
  <c r="L691" i="7"/>
  <c r="J691" i="7"/>
  <c r="G692" i="7" s="1"/>
  <c r="H693" i="7"/>
  <c r="K693" i="7"/>
  <c r="L692" i="7" l="1"/>
  <c r="J692" i="7"/>
  <c r="G693" i="7" s="1"/>
  <c r="I693" i="7"/>
  <c r="F694" i="7"/>
  <c r="H694" i="7"/>
  <c r="K694" i="7"/>
  <c r="L693" i="7" l="1"/>
  <c r="J693" i="7"/>
  <c r="G694" i="7" s="1"/>
  <c r="I694" i="7"/>
  <c r="F695" i="7"/>
  <c r="H695" i="7"/>
  <c r="K695" i="7"/>
  <c r="I695" i="7" l="1"/>
  <c r="F696" i="7"/>
  <c r="L694" i="7"/>
  <c r="J694" i="7"/>
  <c r="G695" i="7" s="1"/>
  <c r="H696" i="7"/>
  <c r="K696" i="7"/>
  <c r="L695" i="7" l="1"/>
  <c r="J695" i="7"/>
  <c r="G696" i="7" s="1"/>
  <c r="F697" i="7"/>
  <c r="I696" i="7"/>
  <c r="K697" i="7"/>
  <c r="H697" i="7"/>
  <c r="I697" i="7" l="1"/>
  <c r="F698" i="7"/>
  <c r="L696" i="7"/>
  <c r="J696" i="7"/>
  <c r="G697" i="7" s="1"/>
  <c r="H698" i="7"/>
  <c r="K698" i="7"/>
  <c r="L697" i="7" l="1"/>
  <c r="J697" i="7"/>
  <c r="G698" i="7" s="1"/>
  <c r="F699" i="7"/>
  <c r="I698" i="7"/>
  <c r="H699" i="7"/>
  <c r="K699" i="7"/>
  <c r="I699" i="7" l="1"/>
  <c r="F700" i="7"/>
  <c r="L698" i="7"/>
  <c r="J698" i="7"/>
  <c r="G699" i="7" s="1"/>
  <c r="H700" i="7"/>
  <c r="K700" i="7"/>
  <c r="I700" i="7" l="1"/>
  <c r="F701" i="7"/>
  <c r="L699" i="7"/>
  <c r="J699" i="7"/>
  <c r="G700" i="7" s="1"/>
  <c r="H701" i="7"/>
  <c r="K701" i="7"/>
  <c r="L700" i="7" l="1"/>
  <c r="J700" i="7"/>
  <c r="G701" i="7" s="1"/>
  <c r="I701" i="7"/>
  <c r="F702" i="7"/>
  <c r="H702" i="7"/>
  <c r="K702" i="7"/>
  <c r="I702" i="7" l="1"/>
  <c r="F703" i="7"/>
  <c r="L701" i="7"/>
  <c r="J701" i="7"/>
  <c r="G702" i="7" s="1"/>
  <c r="H703" i="7"/>
  <c r="K703" i="7"/>
  <c r="L702" i="7" l="1"/>
  <c r="J702" i="7"/>
  <c r="G703" i="7" s="1"/>
  <c r="F704" i="7"/>
  <c r="I703" i="7"/>
  <c r="H704" i="7"/>
  <c r="K704" i="7"/>
  <c r="L703" i="7" l="1"/>
  <c r="J703" i="7"/>
  <c r="G704" i="7" s="1"/>
  <c r="F705" i="7"/>
  <c r="I704" i="7"/>
  <c r="H705" i="7"/>
  <c r="K705" i="7"/>
  <c r="I705" i="7" l="1"/>
  <c r="F706" i="7"/>
  <c r="L704" i="7"/>
  <c r="J704" i="7"/>
  <c r="G705" i="7" s="1"/>
  <c r="H706" i="7"/>
  <c r="K706" i="7"/>
  <c r="L705" i="7" l="1"/>
  <c r="J705" i="7"/>
  <c r="G706" i="7" s="1"/>
  <c r="I706" i="7"/>
  <c r="F707" i="7"/>
  <c r="H707" i="7"/>
  <c r="K707" i="7"/>
  <c r="I707" i="7" l="1"/>
  <c r="F708" i="7"/>
  <c r="L706" i="7"/>
  <c r="J706" i="7"/>
  <c r="G707" i="7" s="1"/>
  <c r="H708" i="7"/>
  <c r="K708" i="7"/>
  <c r="L707" i="7" l="1"/>
  <c r="J707" i="7"/>
  <c r="G708" i="7" s="1"/>
  <c r="I708" i="7"/>
  <c r="F709" i="7"/>
  <c r="H709" i="7"/>
  <c r="K709" i="7"/>
  <c r="I709" i="7" l="1"/>
  <c r="F710" i="7"/>
  <c r="L708" i="7"/>
  <c r="J708" i="7"/>
  <c r="G709" i="7" s="1"/>
  <c r="H710" i="7"/>
  <c r="K710" i="7"/>
  <c r="F711" i="7" l="1"/>
  <c r="I710" i="7"/>
  <c r="L709" i="7"/>
  <c r="J709" i="7"/>
  <c r="G710" i="7" s="1"/>
  <c r="H711" i="7"/>
  <c r="K711" i="7"/>
  <c r="L710" i="7" l="1"/>
  <c r="J710" i="7"/>
  <c r="G711" i="7" s="1"/>
  <c r="I711" i="7"/>
  <c r="F712" i="7"/>
  <c r="H712" i="7"/>
  <c r="K712" i="7"/>
  <c r="I712" i="7" l="1"/>
  <c r="F713" i="7"/>
  <c r="L711" i="7"/>
  <c r="J711" i="7"/>
  <c r="G712" i="7" s="1"/>
  <c r="H713" i="7"/>
  <c r="K713" i="7"/>
  <c r="L712" i="7" l="1"/>
  <c r="J712" i="7"/>
  <c r="G713" i="7" s="1"/>
  <c r="I713" i="7"/>
  <c r="F714" i="7"/>
  <c r="H714" i="7"/>
  <c r="K714" i="7"/>
  <c r="I714" i="7" l="1"/>
  <c r="F715" i="7"/>
  <c r="L713" i="7"/>
  <c r="J713" i="7"/>
  <c r="G714" i="7" s="1"/>
  <c r="H715" i="7"/>
  <c r="K715" i="7"/>
  <c r="L714" i="7" l="1"/>
  <c r="J714" i="7"/>
  <c r="G715" i="7" s="1"/>
  <c r="F716" i="7"/>
  <c r="I715" i="7"/>
  <c r="H716" i="7"/>
  <c r="K716" i="7"/>
  <c r="I716" i="7" l="1"/>
  <c r="F717" i="7"/>
  <c r="L715" i="7"/>
  <c r="J715" i="7"/>
  <c r="G716" i="7" s="1"/>
  <c r="H717" i="7"/>
  <c r="K717" i="7"/>
  <c r="L716" i="7" l="1"/>
  <c r="J716" i="7"/>
  <c r="G717" i="7" s="1"/>
  <c r="I717" i="7"/>
  <c r="F718" i="7"/>
  <c r="H718" i="7"/>
  <c r="K718" i="7"/>
  <c r="L717" i="7" l="1"/>
  <c r="J717" i="7"/>
  <c r="G718" i="7" s="1"/>
  <c r="I718" i="7"/>
  <c r="F719" i="7"/>
  <c r="H719" i="7"/>
  <c r="K719" i="7"/>
  <c r="I719" i="7" l="1"/>
  <c r="F720" i="7"/>
  <c r="L718" i="7"/>
  <c r="J718" i="7"/>
  <c r="G719" i="7" s="1"/>
  <c r="H720" i="7"/>
  <c r="K720" i="7"/>
  <c r="I720" i="7" l="1"/>
  <c r="F721" i="7"/>
  <c r="L719" i="7"/>
  <c r="J719" i="7"/>
  <c r="G720" i="7" s="1"/>
  <c r="H721" i="7"/>
  <c r="K721" i="7"/>
  <c r="L720" i="7" l="1"/>
  <c r="J720" i="7"/>
  <c r="G721" i="7" s="1"/>
  <c r="I721" i="7"/>
  <c r="L721" i="7" l="1"/>
  <c r="J721" i="7"/>
  <c r="G722"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<sst xmlns="http://schemas.openxmlformats.org/spreadsheetml/2006/main" count="347" uniqueCount="126">
  <si>
    <t>Spot</t>
  </si>
  <si>
    <t>Strike call</t>
  </si>
  <si>
    <t>Strike Put</t>
  </si>
  <si>
    <t>Vol</t>
  </si>
  <si>
    <t>Expiry Call</t>
  </si>
  <si>
    <t>Expiry Put</t>
  </si>
  <si>
    <t>Risk free rate</t>
  </si>
  <si>
    <t>Delta</t>
  </si>
  <si>
    <t>Gamma</t>
  </si>
  <si>
    <t>Vega</t>
  </si>
  <si>
    <t>Theta</t>
  </si>
  <si>
    <t>DATA RR</t>
  </si>
  <si>
    <t>DATA</t>
  </si>
  <si>
    <t>Strike put</t>
  </si>
  <si>
    <t>expiry put</t>
  </si>
  <si>
    <t>expiry call</t>
  </si>
  <si>
    <t>Delta Call</t>
  </si>
  <si>
    <t>Delta Put</t>
  </si>
  <si>
    <t>Delta RR</t>
  </si>
  <si>
    <t>Gamma Call</t>
  </si>
  <si>
    <t>Gamma Put</t>
  </si>
  <si>
    <t>Gamma RR</t>
  </si>
  <si>
    <t>Vega Call</t>
  </si>
  <si>
    <t>Vega Put</t>
  </si>
  <si>
    <t>Vega RR</t>
  </si>
  <si>
    <t>Time</t>
  </si>
  <si>
    <t>Replicating portfolio value</t>
  </si>
  <si>
    <t>Amount in stokc</t>
  </si>
  <si>
    <t>Amount at the bank</t>
  </si>
  <si>
    <t>PnL</t>
  </si>
  <si>
    <t>Steps (daily)</t>
  </si>
  <si>
    <t>Expiry (constant)</t>
  </si>
  <si>
    <t xml:space="preserve">Gamma option 2 </t>
  </si>
  <si>
    <t>Amount of option 2</t>
  </si>
  <si>
    <t>Amount to invest in stock</t>
  </si>
  <si>
    <t>Strategy price</t>
  </si>
  <si>
    <t>Amount in bank</t>
  </si>
  <si>
    <t>Pnl</t>
  </si>
  <si>
    <t xml:space="preserve">Time </t>
  </si>
  <si>
    <t>Gamma/Theta PnL</t>
  </si>
  <si>
    <t>Gamma/Theta ratio</t>
  </si>
  <si>
    <t>Time 20: crash</t>
  </si>
  <si>
    <t>Amount in option 2</t>
  </si>
  <si>
    <t>Time 20 Spot</t>
  </si>
  <si>
    <t>Time 21 Spot</t>
  </si>
  <si>
    <t xml:space="preserve">Time 22 Spot </t>
  </si>
  <si>
    <t xml:space="preserve">Rates </t>
  </si>
  <si>
    <t>Call price</t>
  </si>
  <si>
    <t>Steps 2</t>
  </si>
  <si>
    <t>Steps 1</t>
  </si>
  <si>
    <t>Min</t>
  </si>
  <si>
    <t>Max</t>
  </si>
  <si>
    <t>Mean</t>
  </si>
  <si>
    <t>Stdev</t>
  </si>
  <si>
    <t>Hedging frequency 1</t>
  </si>
  <si>
    <t>Hedging frequency 2</t>
  </si>
  <si>
    <t>Final PnL (30 simulations)</t>
  </si>
  <si>
    <t>Trend (% per day)</t>
  </si>
  <si>
    <t>Lower bound</t>
  </si>
  <si>
    <t>Upper bound</t>
  </si>
  <si>
    <t>Transaction costs</t>
  </si>
  <si>
    <t>% of variation in positions</t>
  </si>
  <si>
    <t>Pnl without transaction costs</t>
  </si>
  <si>
    <t>PnL with transaction costs</t>
  </si>
  <si>
    <t>Final Pnl</t>
  </si>
  <si>
    <t>100% gamma</t>
  </si>
  <si>
    <t>80% gamma</t>
  </si>
  <si>
    <t>Final PnL</t>
  </si>
  <si>
    <t>DATA Strategy</t>
  </si>
  <si>
    <t>Amount in stock</t>
  </si>
  <si>
    <t>DATA Call 2</t>
  </si>
  <si>
    <t>Quantity of Call 2</t>
  </si>
  <si>
    <t>Amount in Call 2</t>
  </si>
  <si>
    <t xml:space="preserve">Gamma Call 2 </t>
  </si>
  <si>
    <t>Time (years)</t>
  </si>
  <si>
    <t>Strategy</t>
  </si>
  <si>
    <t>Risk reversal on BNPP. According to Equity Research, the recommendation regarding BNPP is BUY, with a target price of E78 (at 6 February 2018). The current weakness based on “missed” Q42017 results represents an interesting entry point. Since the research article was written, BNPP price continued falling, thus strengthening our bullish view. Downwards-sloping short-term vol structure -&gt; Sell Apr 54 (actively traded) Buy 67 (90%-110%). Risky investment but strike relatively low compared to TP.</t>
  </si>
  <si>
    <t>For simpliciy purposes, we'll consider a 1M put expiry and a 3M call expiry</t>
  </si>
  <si>
    <t>Put 54</t>
  </si>
  <si>
    <t>Call 67</t>
  </si>
  <si>
    <t>payoff</t>
  </si>
  <si>
    <t xml:space="preserve">Call </t>
  </si>
  <si>
    <t>Put</t>
  </si>
  <si>
    <t>strike call</t>
  </si>
  <si>
    <t>Final PnL 1</t>
  </si>
  <si>
    <t>Final PnL 2</t>
  </si>
  <si>
    <t>Final PnL 3</t>
  </si>
  <si>
    <t>Final PnL 4</t>
  </si>
  <si>
    <t>Final PnL 5</t>
  </si>
  <si>
    <t>Final PnL 6</t>
  </si>
  <si>
    <t>Final PnL 7</t>
  </si>
  <si>
    <t>Final PnL 8</t>
  </si>
  <si>
    <t>Final PnL 9</t>
  </si>
  <si>
    <t>Final PnL 10</t>
  </si>
  <si>
    <t>Final PnL 11</t>
  </si>
  <si>
    <t>Final PnL 12</t>
  </si>
  <si>
    <t>Final PnL 13</t>
  </si>
  <si>
    <t>Final PnL 14</t>
  </si>
  <si>
    <t>Final PnL 15</t>
  </si>
  <si>
    <t>Final PnL 16</t>
  </si>
  <si>
    <t>Final PnL 17</t>
  </si>
  <si>
    <t>Final PnL 18</t>
  </si>
  <si>
    <t>Final PnL 19</t>
  </si>
  <si>
    <t>Final PnL 20</t>
  </si>
  <si>
    <t>Final PnL 21</t>
  </si>
  <si>
    <t>Final PnL 22</t>
  </si>
  <si>
    <t>Final PnL 23</t>
  </si>
  <si>
    <t>Final PnL 24</t>
  </si>
  <si>
    <t>Final PnL 25</t>
  </si>
  <si>
    <t>Final PnL 26</t>
  </si>
  <si>
    <t>Final PnL 27</t>
  </si>
  <si>
    <t>Final PnL 28</t>
  </si>
  <si>
    <t>Final PnL 29</t>
  </si>
  <si>
    <t>Final PnL 30</t>
  </si>
  <si>
    <t>Standard deviation</t>
  </si>
  <si>
    <t>Trendy (up) scenario</t>
  </si>
  <si>
    <t>Rangy scenario</t>
  </si>
  <si>
    <t>Theta Call</t>
  </si>
  <si>
    <t>Theta Put</t>
  </si>
  <si>
    <t>Theta RR</t>
  </si>
  <si>
    <t>DATA Call 3</t>
  </si>
  <si>
    <t>Gamma option 3</t>
  </si>
  <si>
    <t>Quantity of Call 3</t>
  </si>
  <si>
    <t>Amount in Call 3</t>
  </si>
  <si>
    <t xml:space="preserve">Vega option 2 </t>
  </si>
  <si>
    <t>Vega option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</si>
</sst>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8" x14ac:knownFonts="1">
    <font>
      <sz val="11"/>
      <color theme="1"/>
      <name val="Calibri"/>
      <family val="2"/>
      <scheme val="minor"/>
    </font>
    <font>
      <b/>
      <sz val="12"/>
      <color theme="0"/>
      <name val="Calibri"/>
      <family val="2"/>
      <scheme val="minor"/>
    </font>
    <font>
      <sz val="11"/>
      <color rgb="FF000000"/>
      <name val="Calibri"/>
      <family val="2"/>
    </font>
    <font>
      <b/>
      <sz val="11"/>
      <color theme="0"/>
      <name val="Calibri"/>
      <family val="2"/>
      <scheme val="minor"/>
    </font>
    <font>
      <b/>
      <sz val="14"/>
      <color theme="0"/>
      <name val="Calibri"/>
      <family val="2"/>
      <scheme val="minor"/>
    </font>
    <font>
      <sz val="12"/>
      <color rgb="FF000080"/>
      <name val="Calibri"/>
      <family val="2"/>
    </font>
    <font>
      <sz val="12"/>
      <color rgb="FF003366"/>
      <name val="Calibri"/>
      <family val="2"/>
    </font>
    <font>
      <sz val="8"/>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2" tint="-9.9978637043366805E-2"/>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5">
    <xf numFmtId="0" fontId="0" fillId="0" borderId="0" xfId="0"/>
    <xf numFmtId="0" fontId="0" fillId="0" borderId="1" xfId="0" applyBorder="1"/>
    <xf numFmtId="0" fontId="0" fillId="0" borderId="2" xfId="0" applyBorder="1"/>
    <xf numFmtId="0" fontId="1" fillId="2" borderId="0" xfId="0" applyFont="1" applyFill="1" applyAlignment="1">
      <alignment horizontal="center" vertical="center" wrapText="1"/>
    </xf>
    <xf numFmtId="0" fontId="0" fillId="0" borderId="5" xfId="0" applyBorder="1"/>
    <xf numFmtId="0" fontId="0" fillId="0" borderId="9" xfId="0" applyBorder="1"/>
    <xf numFmtId="0" fontId="0" fillId="0" borderId="10" xfId="0" applyBorder="1"/>
    <xf numFmtId="0" fontId="1" fillId="2" borderId="6"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0" fillId="0" borderId="12" xfId="0" applyBorder="1"/>
    <xf numFmtId="164" fontId="0" fillId="0" borderId="0" xfId="0" applyNumberFormat="1" applyBorder="1"/>
    <xf numFmtId="164" fontId="0" fillId="0" borderId="8" xfId="0" applyNumberFormat="1" applyBorder="1"/>
    <xf numFmtId="164" fontId="0" fillId="0" borderId="12" xfId="0" applyNumberFormat="1" applyBorder="1"/>
    <xf numFmtId="164" fontId="0" fillId="0" borderId="10" xfId="0" applyNumberFormat="1" applyBorder="1"/>
    <xf numFmtId="164" fontId="0" fillId="0" borderId="0" xfId="0" applyNumberFormat="1"/>
    <xf numFmtId="0" fontId="0" fillId="0" borderId="2" xfId="0" applyFill="1" applyBorder="1"/>
    <xf numFmtId="0" fontId="1" fillId="2" borderId="11" xfId="0" quotePrefix="1" applyFont="1" applyFill="1" applyBorder="1" applyAlignment="1">
      <alignment horizontal="center" vertical="center" wrapText="1"/>
    </xf>
    <xf numFmtId="0" fontId="0" fillId="0" borderId="1" xfId="0" applyBorder="1" applyAlignment="1">
      <alignment horizontal="center"/>
    </xf>
    <xf numFmtId="0" fontId="1" fillId="2" borderId="1" xfId="0" applyFont="1" applyFill="1" applyBorder="1" applyAlignment="1">
      <alignment horizontal="center" vertical="center" wrapText="1"/>
    </xf>
    <xf numFmtId="164" fontId="0" fillId="3" borderId="8" xfId="0" applyNumberFormat="1" applyFill="1" applyBorder="1"/>
    <xf numFmtId="164" fontId="0" fillId="3" borderId="10" xfId="0" applyNumberFormat="1" applyFill="1" applyBorder="1"/>
    <xf numFmtId="164" fontId="0" fillId="3" borderId="5" xfId="0" applyNumberFormat="1" applyFill="1" applyBorder="1"/>
    <xf numFmtId="164" fontId="0" fillId="3" borderId="9" xfId="0" applyNumberFormat="1" applyFill="1" applyBorder="1"/>
    <xf numFmtId="0" fontId="0" fillId="0" borderId="1" xfId="0" applyBorder="1" applyAlignment="1">
      <alignment vertical="center"/>
    </xf>
    <xf numFmtId="0" fontId="0" fillId="0" borderId="1" xfId="0" applyFill="1" applyBorder="1"/>
    <xf numFmtId="164" fontId="0" fillId="3" borderId="0" xfId="0" applyNumberFormat="1" applyFill="1"/>
    <xf numFmtId="164" fontId="0" fillId="0" borderId="1" xfId="0" applyNumberFormat="1" applyBorder="1"/>
    <xf numFmtId="9" fontId="0" fillId="0" borderId="1" xfId="0" applyNumberFormat="1" applyBorder="1"/>
    <xf numFmtId="0" fontId="0" fillId="0" borderId="2" xfId="0" applyBorder="1" applyAlignment="1">
      <alignment wrapText="1"/>
    </xf>
    <xf numFmtId="9" fontId="0" fillId="0" borderId="2" xfId="0" applyNumberFormat="1" applyBorder="1" applyAlignment="1">
      <alignment wrapText="1"/>
    </xf>
    <xf numFmtId="0" fontId="0" fillId="0" borderId="0" xfId="0" applyAlignment="1">
      <alignment horizontal="left" vertical="top" wrapText="1"/>
    </xf>
    <xf numFmtId="0" fontId="3" fillId="2" borderId="6" xfId="0" applyFont="1" applyFill="1" applyBorder="1"/>
    <xf numFmtId="0" fontId="3" fillId="2" borderId="11" xfId="0" applyFont="1" applyFill="1" applyBorder="1"/>
    <xf numFmtId="0" fontId="3" fillId="2" borderId="7" xfId="0" applyFont="1" applyFill="1" applyBorder="1"/>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0" fillId="0" borderId="1" xfId="0" applyBorder="1" applyAlignment="1">
      <alignment horizontal="center"/>
    </xf>
    <xf numFmtId="0" fontId="0" fillId="4" borderId="0" xfId="0" applyFill="1" applyBorder="1"/>
    <xf numFmtId="164" fontId="0" fillId="4" borderId="0" xfId="0" applyNumberFormat="1" applyFill="1" applyBorder="1"/>
    <xf numFmtId="0" fontId="0" fillId="0" borderId="0" xfId="0" applyBorder="1"/>
    <xf numFmtId="0" fontId="1" fillId="2" borderId="0" xfId="0" applyFont="1" applyFill="1" applyAlignment="1">
      <alignment wrapText="1"/>
    </xf>
    <xf numFmtId="164" fontId="1" fillId="2" borderId="0" xfId="0" applyNumberFormat="1" applyFont="1" applyFill="1" applyAlignment="1">
      <alignment horizontal="center" vertical="center" wrapText="1"/>
    </xf>
    <xf numFmtId="0" fontId="0" fillId="0" borderId="1" xfId="0" applyBorder="1" applyAlignment="1">
      <alignment wrapText="1"/>
    </xf>
    <xf numFmtId="164" fontId="0" fillId="0" borderId="1" xfId="0" applyNumberFormat="1" applyBorder="1" applyAlignment="1">
      <alignment wrapText="1"/>
    </xf>
    <xf numFmtId="0" fontId="1" fillId="2" borderId="0" xfId="0" applyFont="1" applyFill="1" applyAlignment="1">
      <alignment horizontal="center" vertical="center"/>
    </xf>
    <xf numFmtId="0" fontId="4" fillId="2" borderId="0" xfId="0" applyFont="1" applyFill="1" applyAlignment="1">
      <alignment horizontal="center" vertical="center"/>
    </xf>
    <xf numFmtId="0" fontId="0" fillId="0" borderId="6" xfId="0" applyBorder="1" applyAlignment="1">
      <alignment horizontal="center" vertical="top" wrapText="1"/>
    </xf>
    <xf numFmtId="0" fontId="0" fillId="0" borderId="11" xfId="0" applyBorder="1" applyAlignment="1">
      <alignment horizontal="center" vertical="top" wrapText="1"/>
    </xf>
    <xf numFmtId="0" fontId="0" fillId="0" borderId="7"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horizontal="center" vertical="top" wrapText="1"/>
    </xf>
    <xf numFmtId="0" fontId="0" fillId="0" borderId="8" xfId="0" applyBorder="1" applyAlignment="1">
      <alignment horizontal="center" vertical="top" wrapText="1"/>
    </xf>
    <xf numFmtId="0" fontId="0" fillId="0" borderId="9" xfId="0" applyBorder="1" applyAlignment="1">
      <alignment horizontal="center" vertical="top" wrapText="1"/>
    </xf>
    <xf numFmtId="0" fontId="0" fillId="0" borderId="12" xfId="0" applyBorder="1" applyAlignment="1">
      <alignment horizontal="center" vertical="top" wrapText="1"/>
    </xf>
    <xf numFmtId="0" fontId="0" fillId="0" borderId="10" xfId="0" applyBorder="1" applyAlignment="1">
      <alignment horizontal="center" vertical="top" wrapText="1"/>
    </xf>
    <xf numFmtId="0" fontId="3" fillId="2" borderId="1" xfId="0" applyFont="1" applyFill="1" applyBorder="1" applyAlignment="1">
      <alignment horizontal="center"/>
    </xf>
    <xf numFmtId="0" fontId="0" fillId="0" borderId="1" xfId="0" applyBorder="1" applyAlignment="1">
      <alignment horizontal="center"/>
    </xf>
    <xf numFmtId="164" fontId="0" fillId="0" borderId="1" xfId="0" applyNumberFormat="1" applyBorder="1" applyAlignment="1">
      <alignment horizontal="center"/>
    </xf>
    <xf numFmtId="0" fontId="1" fillId="2" borderId="1" xfId="0" applyFont="1" applyFill="1" applyBorder="1" applyAlignment="1">
      <alignment horizontal="center"/>
    </xf>
    <xf numFmtId="0" fontId="1" fillId="2" borderId="1" xfId="0" applyFont="1" applyFill="1" applyBorder="1" applyAlignment="1">
      <alignment horizontal="center" vertical="center"/>
    </xf>
    <xf numFmtId="0" fontId="1" fillId="2" borderId="6" xfId="0" applyFont="1" applyFill="1" applyBorder="1" applyAlignment="1">
      <alignment horizontal="center"/>
    </xf>
    <xf numFmtId="0" fontId="1" fillId="2" borderId="7" xfId="0" applyFont="1" applyFill="1" applyBorder="1" applyAlignment="1">
      <alignment horizontal="center"/>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1"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13" xfId="0" applyFont="1" applyFill="1" applyBorder="1" applyAlignment="1">
      <alignment horizontal="center"/>
    </xf>
    <xf numFmtId="0" fontId="1" fillId="2" borderId="14" xfId="0" applyFont="1" applyFill="1" applyBorder="1" applyAlignment="1">
      <alignment horizontal="center"/>
    </xf>
  </cellXfs>
  <cellStyles count="1">
    <cellStyle name="Normal" xfId="0" builtinId="0"/>
  </cellStyles>
  <dxfs count="0"/>
  <tableStyles count="1" defaultTableStyle="TableStyleMedium2" defaultPivotStyle="PivotStyleLight16">
    <tableStyle name="Invisible" pivot="0" table="0" count="0" xr9:uid="{A61A2B56-D8B8-4E36-98B3-658C5179100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Payoff Risk</a:t>
            </a:r>
            <a:r>
              <a:rPr lang="en-US" baseline="0"/>
              <a:t> Reversal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Strategy!$H$13</c:f>
              <c:strCache>
                <c:ptCount val="1"/>
                <c:pt idx="0">
                  <c:v>payoff</c:v>
                </c:pt>
              </c:strCache>
            </c:strRef>
          </c:tx>
          <c:spPr>
            <a:ln w="28575" cap="rnd">
              <a:solidFill>
                <a:schemeClr val="accent1"/>
              </a:solidFill>
              <a:round/>
            </a:ln>
            <a:effectLst/>
          </c:spPr>
          <c:marker>
            <c:symbol val="none"/>
          </c:marker>
          <c:cat>
            <c:numRef>
              <c:f>Strategy!$E$14:$E$54</c:f>
              <c:numCache>
                <c:formatCode>General</c:formatCode>
                <c:ptCount val="41"/>
                <c:pt idx="0">
                  <c:v>40</c:v>
                </c:pt>
                <c:pt idx="1">
                  <c:v>41</c:v>
                </c:pt>
                <c:pt idx="2">
                  <c:v>42</c:v>
                </c:pt>
                <c:pt idx="3">
                  <c:v>43</c:v>
                </c:pt>
                <c:pt idx="4">
                  <c:v>44</c:v>
                </c:pt>
                <c:pt idx="5">
                  <c:v>45</c:v>
                </c:pt>
                <c:pt idx="6">
                  <c:v>46</c:v>
                </c:pt>
                <c:pt idx="7">
                  <c:v>47</c:v>
                </c:pt>
                <c:pt idx="8">
                  <c:v>48</c:v>
                </c:pt>
                <c:pt idx="9">
                  <c:v>49</c:v>
                </c:pt>
                <c:pt idx="10">
                  <c:v>50</c:v>
                </c:pt>
                <c:pt idx="11">
                  <c:v>51</c:v>
                </c:pt>
                <c:pt idx="12">
                  <c:v>52</c:v>
                </c:pt>
                <c:pt idx="13">
                  <c:v>53</c:v>
                </c:pt>
                <c:pt idx="14">
                  <c:v>54</c:v>
                </c:pt>
                <c:pt idx="15">
                  <c:v>55</c:v>
                </c:pt>
                <c:pt idx="16">
                  <c:v>56</c:v>
                </c:pt>
                <c:pt idx="17">
                  <c:v>57</c:v>
                </c:pt>
                <c:pt idx="18">
                  <c:v>58</c:v>
                </c:pt>
                <c:pt idx="19">
                  <c:v>59</c:v>
                </c:pt>
                <c:pt idx="20">
                  <c:v>60</c:v>
                </c:pt>
                <c:pt idx="21">
                  <c:v>61</c:v>
                </c:pt>
                <c:pt idx="22">
                  <c:v>62</c:v>
                </c:pt>
                <c:pt idx="23">
                  <c:v>63</c:v>
                </c:pt>
                <c:pt idx="24">
                  <c:v>64</c:v>
                </c:pt>
                <c:pt idx="25">
                  <c:v>65</c:v>
                </c:pt>
                <c:pt idx="26">
                  <c:v>66</c:v>
                </c:pt>
                <c:pt idx="27">
                  <c:v>67</c:v>
                </c:pt>
                <c:pt idx="28">
                  <c:v>68</c:v>
                </c:pt>
                <c:pt idx="29">
                  <c:v>69</c:v>
                </c:pt>
                <c:pt idx="30">
                  <c:v>70</c:v>
                </c:pt>
                <c:pt idx="31">
                  <c:v>71</c:v>
                </c:pt>
                <c:pt idx="32">
                  <c:v>72</c:v>
                </c:pt>
                <c:pt idx="33">
                  <c:v>73</c:v>
                </c:pt>
                <c:pt idx="34">
                  <c:v>74</c:v>
                </c:pt>
                <c:pt idx="35">
                  <c:v>75</c:v>
                </c:pt>
                <c:pt idx="36">
                  <c:v>76</c:v>
                </c:pt>
                <c:pt idx="37">
                  <c:v>77</c:v>
                </c:pt>
                <c:pt idx="38">
                  <c:v>78</c:v>
                </c:pt>
                <c:pt idx="39">
                  <c:v>79</c:v>
                </c:pt>
                <c:pt idx="40">
                  <c:v>80</c:v>
                </c:pt>
              </c:numCache>
            </c:numRef>
          </c:cat>
          <c:val>
            <c:numRef>
              <c:f>Strategy!$H$14:$H$54</c:f>
              <c:numCache>
                <c:formatCode>0.000</c:formatCode>
                <c:ptCount val="41"/>
                <c:pt idx="0">
                  <c:v>-14.534204378765342</c:v>
                </c:pt>
                <c:pt idx="1">
                  <c:v>-13.534204378765342</c:v>
                </c:pt>
                <c:pt idx="2">
                  <c:v>-12.534204378765342</c:v>
                </c:pt>
                <c:pt idx="3">
                  <c:v>-11.534204378765342</c:v>
                </c:pt>
                <c:pt idx="4">
                  <c:v>-10.534204378765342</c:v>
                </c:pt>
                <c:pt idx="5">
                  <c:v>-9.5342043787653417</c:v>
                </c:pt>
                <c:pt idx="6">
                  <c:v>-8.5342043787653417</c:v>
                </c:pt>
                <c:pt idx="7">
                  <c:v>-7.5342043787653408</c:v>
                </c:pt>
                <c:pt idx="8">
                  <c:v>-6.5342043787653408</c:v>
                </c:pt>
                <c:pt idx="9">
                  <c:v>-5.5342043787653408</c:v>
                </c:pt>
                <c:pt idx="10">
                  <c:v>-4.5342043787653408</c:v>
                </c:pt>
                <c:pt idx="11">
                  <c:v>-3.5342043787653408</c:v>
                </c:pt>
                <c:pt idx="12">
                  <c:v>-2.5342043787653408</c:v>
                </c:pt>
                <c:pt idx="13">
                  <c:v>-1.5342043787653408</c:v>
                </c:pt>
                <c:pt idx="14">
                  <c:v>-0.53420437876534088</c:v>
                </c:pt>
                <c:pt idx="15">
                  <c:v>-0.53420437876534088</c:v>
                </c:pt>
                <c:pt idx="16">
                  <c:v>-0.53420437876534088</c:v>
                </c:pt>
                <c:pt idx="17">
                  <c:v>-0.53420437876534088</c:v>
                </c:pt>
                <c:pt idx="18">
                  <c:v>-0.53420437876534088</c:v>
                </c:pt>
                <c:pt idx="19">
                  <c:v>-0.53420437876534088</c:v>
                </c:pt>
                <c:pt idx="20">
                  <c:v>-0.53420437876534088</c:v>
                </c:pt>
                <c:pt idx="21">
                  <c:v>-0.53420437876534088</c:v>
                </c:pt>
                <c:pt idx="22">
                  <c:v>-0.53420437876534088</c:v>
                </c:pt>
                <c:pt idx="23">
                  <c:v>-0.53420437876534088</c:v>
                </c:pt>
                <c:pt idx="24">
                  <c:v>-0.53420437876534088</c:v>
                </c:pt>
                <c:pt idx="25">
                  <c:v>-0.53420437876534088</c:v>
                </c:pt>
                <c:pt idx="26">
                  <c:v>-0.53420437876534088</c:v>
                </c:pt>
                <c:pt idx="27">
                  <c:v>-0.53420437876534088</c:v>
                </c:pt>
                <c:pt idx="28">
                  <c:v>0.46579562123465912</c:v>
                </c:pt>
                <c:pt idx="29">
                  <c:v>1.4657956212346592</c:v>
                </c:pt>
                <c:pt idx="30">
                  <c:v>2.4657956212346592</c:v>
                </c:pt>
                <c:pt idx="31">
                  <c:v>3.4657956212346592</c:v>
                </c:pt>
                <c:pt idx="32">
                  <c:v>4.4657956212346592</c:v>
                </c:pt>
                <c:pt idx="33">
                  <c:v>5.4657956212346592</c:v>
                </c:pt>
                <c:pt idx="34">
                  <c:v>6.4657956212346592</c:v>
                </c:pt>
                <c:pt idx="35">
                  <c:v>7.4657956212346592</c:v>
                </c:pt>
                <c:pt idx="36">
                  <c:v>8.4657956212346583</c:v>
                </c:pt>
                <c:pt idx="37">
                  <c:v>9.4657956212346583</c:v>
                </c:pt>
                <c:pt idx="38">
                  <c:v>10.465795621234658</c:v>
                </c:pt>
                <c:pt idx="39">
                  <c:v>11.465795621234658</c:v>
                </c:pt>
                <c:pt idx="40">
                  <c:v>12.465795621234658</c:v>
                </c:pt>
              </c:numCache>
            </c:numRef>
          </c:val>
          <c:smooth val="0"/>
          <c:extLst>
            <c:ext xmlns:c16="http://schemas.microsoft.com/office/drawing/2014/chart" uri="{C3380CC4-5D6E-409C-BE32-E72D297353CC}">
              <c16:uniqueId val="{00000000-48CA-46E5-A184-A2D7E077DF77}"/>
            </c:ext>
          </c:extLst>
        </c:ser>
        <c:dLbls>
          <c:showLegendKey val="0"/>
          <c:showVal val="0"/>
          <c:showCatName val="0"/>
          <c:showSerName val="0"/>
          <c:showPercent val="0"/>
          <c:showBubbleSize val="0"/>
        </c:dLbls>
        <c:smooth val="0"/>
        <c:axId val="725020176"/>
        <c:axId val="725021160"/>
      </c:lineChart>
      <c:catAx>
        <c:axId val="72502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21160"/>
        <c:crosses val="autoZero"/>
        <c:auto val="1"/>
        <c:lblAlgn val="ctr"/>
        <c:lblOffset val="100"/>
        <c:noMultiLvlLbl val="0"/>
      </c:catAx>
      <c:valAx>
        <c:axId val="725021160"/>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2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Delta</a:t>
            </a:r>
            <a:r>
              <a:rPr lang="fr-FR" baseline="0"/>
              <a:t> VS Moneyness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'1.a) Greeks vs moneyness'!$N$9</c:f>
              <c:strCache>
                <c:ptCount val="1"/>
                <c:pt idx="0">
                  <c:v>Delta Call</c:v>
                </c:pt>
              </c:strCache>
            </c:strRef>
          </c:tx>
          <c:spPr>
            <a:ln w="28575" cap="rnd">
              <a:solidFill>
                <a:schemeClr val="accent1"/>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moneyness'!$N$10:$N$89</c:f>
              <c:numCache>
                <c:formatCode>0.000</c:formatCode>
                <c:ptCount val="80"/>
                <c:pt idx="0">
                  <c:v>5.7591343592470596E-31</c:v>
                </c:pt>
                <c:pt idx="1">
                  <c:v>1.1396227298998109E-28</c:v>
                </c:pt>
                <c:pt idx="2">
                  <c:v>1.4586233224791101E-26</c:v>
                </c:pt>
                <c:pt idx="3">
                  <c:v>1.2638526264550016E-24</c:v>
                </c:pt>
                <c:pt idx="4">
                  <c:v>7.7107714281651845E-23</c:v>
                </c:pt>
                <c:pt idx="5">
                  <c:v>3.4274276285077397E-21</c:v>
                </c:pt>
                <c:pt idx="6">
                  <c:v>1.1435132953308493E-19</c:v>
                </c:pt>
                <c:pt idx="7">
                  <c:v>2.9394078212963496E-18</c:v>
                </c:pt>
                <c:pt idx="8">
                  <c:v>5.9568870125313408E-17</c:v>
                </c:pt>
                <c:pt idx="9">
                  <c:v>9.7132701883341247E-16</c:v>
                </c:pt>
                <c:pt idx="10">
                  <c:v>1.2976524081421492E-14</c:v>
                </c:pt>
                <c:pt idx="11">
                  <c:v>1.4434746158375465E-13</c:v>
                </c:pt>
                <c:pt idx="12">
                  <c:v>1.356418648617948E-12</c:v>
                </c:pt>
                <c:pt idx="13">
                  <c:v>1.0908096465126871E-11</c:v>
                </c:pt>
                <c:pt idx="14">
                  <c:v>7.595450905622205E-11</c:v>
                </c:pt>
                <c:pt idx="15">
                  <c:v>4.6280412102343339E-10</c:v>
                </c:pt>
                <c:pt idx="16">
                  <c:v>2.4913771506837769E-9</c:v>
                </c:pt>
                <c:pt idx="17">
                  <c:v>1.1952541676541268E-8</c:v>
                </c:pt>
                <c:pt idx="18">
                  <c:v>5.1511412316519003E-8</c:v>
                </c:pt>
                <c:pt idx="19">
                  <c:v>2.0086975552729038E-7</c:v>
                </c:pt>
                <c:pt idx="20">
                  <c:v>7.1346622616544313E-7</c:v>
                </c:pt>
                <c:pt idx="21">
                  <c:v>2.3223242275621767E-6</c:v>
                </c:pt>
                <c:pt idx="22">
                  <c:v>6.9661616388803979E-6</c:v>
                </c:pt>
                <c:pt idx="23">
                  <c:v>1.9356465242336449E-5</c:v>
                </c:pt>
                <c:pt idx="24">
                  <c:v>5.0059915995467217E-5</c:v>
                </c:pt>
                <c:pt idx="25">
                  <c:v>1.2103244383277486E-4</c:v>
                </c:pt>
                <c:pt idx="26">
                  <c:v>2.7468735758546652E-4</c:v>
                </c:pt>
                <c:pt idx="27">
                  <c:v>5.8742619704867734E-4</c:v>
                </c:pt>
                <c:pt idx="28">
                  <c:v>1.1879151365435294E-3</c:v>
                </c:pt>
                <c:pt idx="29">
                  <c:v>2.2791485376917075E-3</c:v>
                </c:pt>
                <c:pt idx="30">
                  <c:v>4.1615995163171177E-3</c:v>
                </c:pt>
                <c:pt idx="31">
                  <c:v>7.2528750477451227E-3</c:v>
                </c:pt>
                <c:pt idx="32">
                  <c:v>1.20978619676034E-2</c:v>
                </c:pt>
                <c:pt idx="33">
                  <c:v>1.9363038326749661E-2</c:v>
                </c:pt>
                <c:pt idx="34">
                  <c:v>2.9809933916271653E-2</c:v>
                </c:pt>
                <c:pt idx="35">
                  <c:v>4.4245750510506353E-2</c:v>
                </c:pt>
                <c:pt idx="36">
                  <c:v>6.3453456895176619E-2</c:v>
                </c:pt>
                <c:pt idx="37">
                  <c:v>8.810833462636565E-2</c:v>
                </c:pt>
                <c:pt idx="38">
                  <c:v>0.11869180311816524</c:v>
                </c:pt>
                <c:pt idx="39">
                  <c:v>0.15541533573224398</c:v>
                </c:pt>
                <c:pt idx="40">
                  <c:v>0.1981667642454874</c:v>
                </c:pt>
                <c:pt idx="41">
                  <c:v>0.24648825940599439</c:v>
                </c:pt>
                <c:pt idx="42">
                  <c:v>0.299590399679805</c:v>
                </c:pt>
                <c:pt idx="43">
                  <c:v>0.35640106516635273</c:v>
                </c:pt>
                <c:pt idx="44">
                  <c:v>0.41564261873070607</c:v>
                </c:pt>
                <c:pt idx="45">
                  <c:v>0.47592698199285588</c:v>
                </c:pt>
                <c:pt idx="46">
                  <c:v>0.53585639258517215</c:v>
                </c:pt>
                <c:pt idx="47">
                  <c:v>0.59411795481580976</c:v>
                </c:pt>
                <c:pt idx="48">
                  <c:v>0.64956223167458349</c:v>
                </c:pt>
                <c:pt idx="49">
                  <c:v>0.70125943349878739</c:v>
                </c:pt>
                <c:pt idx="50">
                  <c:v>0.74853048857038917</c:v>
                </c:pt>
                <c:pt idx="51">
                  <c:v>0.79095375012029878</c:v>
                </c:pt>
                <c:pt idx="52">
                  <c:v>0.82835080714968368</c:v>
                </c:pt>
                <c:pt idx="53">
                  <c:v>0.86075656813896118</c:v>
                </c:pt>
                <c:pt idx="54">
                  <c:v>0.88837945200609714</c:v>
                </c:pt>
                <c:pt idx="55">
                  <c:v>0.91155730013962133</c:v>
                </c:pt>
                <c:pt idx="56">
                  <c:v>0.93071376937028349</c:v>
                </c:pt>
                <c:pt idx="57">
                  <c:v>0.94631876058274889</c:v>
                </c:pt>
                <c:pt idx="58">
                  <c:v>0.95885513723021776</c:v>
                </c:pt>
                <c:pt idx="59">
                  <c:v>0.96879278784681888</c:v>
                </c:pt>
                <c:pt idx="60">
                  <c:v>0.97657010931468746</c:v>
                </c:pt>
                <c:pt idx="61">
                  <c:v>0.98258228677865467</c:v>
                </c:pt>
                <c:pt idx="62">
                  <c:v>0.98717532072984215</c:v>
                </c:pt>
                <c:pt idx="63">
                  <c:v>0.99064456465570705</c:v>
                </c:pt>
                <c:pt idx="64">
                  <c:v>0.9932365320270915</c:v>
                </c:pt>
                <c:pt idx="65">
                  <c:v>0.9951528493305386</c:v>
                </c:pt>
                <c:pt idx="66">
                  <c:v>0.99655541801105518</c:v>
                </c:pt>
                <c:pt idx="67">
                  <c:v>0.99757205913574754</c:v>
                </c:pt>
                <c:pt idx="68">
                  <c:v>0.99830211954139925</c:v>
                </c:pt>
                <c:pt idx="69">
                  <c:v>0.99882169832466738</c:v>
                </c:pt>
                <c:pt idx="70">
                  <c:v>0.99918829870678105</c:v>
                </c:pt>
                <c:pt idx="71">
                  <c:v>0.99944482065753248</c:v>
                </c:pt>
                <c:pt idx="72">
                  <c:v>0.99962288691431433</c:v>
                </c:pt>
                <c:pt idx="73">
                  <c:v>0.99974554437936825</c:v>
                </c:pt>
                <c:pt idx="74">
                  <c:v>0.99982941040989071</c:v>
                </c:pt>
                <c:pt idx="75">
                  <c:v>0.9998863451555976</c:v>
                </c:pt>
                <c:pt idx="76">
                  <c:v>0.99992473201028764</c:v>
                </c:pt>
                <c:pt idx="77">
                  <c:v>0.99995044257430643</c:v>
                </c:pt>
                <c:pt idx="78">
                  <c:v>0.99996755337560372</c:v>
                </c:pt>
                <c:pt idx="79">
                  <c:v>0.99997887113230932</c:v>
                </c:pt>
              </c:numCache>
            </c:numRef>
          </c:val>
          <c:smooth val="0"/>
          <c:extLst>
            <c:ext xmlns:c16="http://schemas.microsoft.com/office/drawing/2014/chart" uri="{C3380CC4-5D6E-409C-BE32-E72D297353CC}">
              <c16:uniqueId val="{00000000-0C29-4CE4-842A-3B602300A2BF}"/>
            </c:ext>
          </c:extLst>
        </c:ser>
        <c:ser>
          <c:idx val="1"/>
          <c:order val="1"/>
          <c:tx>
            <c:strRef>
              <c:f>'1.a) Greeks vs moneyness'!$O$9</c:f>
              <c:strCache>
                <c:ptCount val="1"/>
                <c:pt idx="0">
                  <c:v>Delta Put</c:v>
                </c:pt>
              </c:strCache>
            </c:strRef>
          </c:tx>
          <c:spPr>
            <a:ln w="28575" cap="rnd">
              <a:solidFill>
                <a:schemeClr val="accent2"/>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moneyness'!$O$10:$O$89</c:f>
              <c:numCache>
                <c:formatCode>0.000</c:formatCode>
                <c:ptCount val="80"/>
                <c:pt idx="0">
                  <c:v>-1</c:v>
                </c:pt>
                <c:pt idx="1">
                  <c:v>-1</c:v>
                </c:pt>
                <c:pt idx="2">
                  <c:v>-1</c:v>
                </c:pt>
                <c:pt idx="3">
                  <c:v>-1</c:v>
                </c:pt>
                <c:pt idx="4">
                  <c:v>-1</c:v>
                </c:pt>
                <c:pt idx="5">
                  <c:v>-1</c:v>
                </c:pt>
                <c:pt idx="6">
                  <c:v>-1</c:v>
                </c:pt>
                <c:pt idx="7">
                  <c:v>-1</c:v>
                </c:pt>
                <c:pt idx="8">
                  <c:v>-1</c:v>
                </c:pt>
                <c:pt idx="9">
                  <c:v>-1</c:v>
                </c:pt>
                <c:pt idx="10">
                  <c:v>-1</c:v>
                </c:pt>
                <c:pt idx="11">
                  <c:v>-1</c:v>
                </c:pt>
                <c:pt idx="12">
                  <c:v>-1</c:v>
                </c:pt>
                <c:pt idx="13">
                  <c:v>-0.99999999999999911</c:v>
                </c:pt>
                <c:pt idx="14">
                  <c:v>-0.99999999999995637</c:v>
                </c:pt>
                <c:pt idx="15">
                  <c:v>-0.99999999999842537</c:v>
                </c:pt>
                <c:pt idx="16">
                  <c:v>-0.99999999995885014</c:v>
                </c:pt>
                <c:pt idx="17">
                  <c:v>-0.99999999920236837</c:v>
                </c:pt>
                <c:pt idx="18">
                  <c:v>-0.99999998828265835</c:v>
                </c:pt>
                <c:pt idx="19">
                  <c:v>-0.99999986695205656</c:v>
                </c:pt>
                <c:pt idx="20">
                  <c:v>-0.99999881096314314</c:v>
                </c:pt>
                <c:pt idx="21">
                  <c:v>-0.99999149593977343</c:v>
                </c:pt>
                <c:pt idx="22">
                  <c:v>-0.99995056978965413</c:v>
                </c:pt>
                <c:pt idx="23">
                  <c:v>-0.99976313048269172</c:v>
                </c:pt>
                <c:pt idx="24">
                  <c:v>-0.999051625525742</c:v>
                </c:pt>
                <c:pt idx="25">
                  <c:v>-0.99678740440509839</c:v>
                </c:pt>
                <c:pt idx="26">
                  <c:v>-0.99068257722540154</c:v>
                </c:pt>
                <c:pt idx="27">
                  <c:v>-0.97659971173286808</c:v>
                </c:pt>
                <c:pt idx="28">
                  <c:v>-0.94855103840034194</c:v>
                </c:pt>
                <c:pt idx="29">
                  <c:v>-0.89991068519108142</c:v>
                </c:pt>
                <c:pt idx="30">
                  <c:v>-0.8258909620224959</c:v>
                </c:pt>
                <c:pt idx="31">
                  <c:v>-0.72631977637621525</c:v>
                </c:pt>
                <c:pt idx="32">
                  <c:v>-0.60711045051396462</c:v>
                </c:pt>
                <c:pt idx="33">
                  <c:v>-0.47927967559699103</c:v>
                </c:pt>
                <c:pt idx="34">
                  <c:v>-0.35577398088307888</c:v>
                </c:pt>
                <c:pt idx="35">
                  <c:v>-0.24766133755490427</c:v>
                </c:pt>
                <c:pt idx="36">
                  <c:v>-0.16147025091452138</c:v>
                </c:pt>
                <c:pt idx="37">
                  <c:v>-9.8583135912372666E-2</c:v>
                </c:pt>
                <c:pt idx="38">
                  <c:v>-5.6397861907360292E-2</c:v>
                </c:pt>
                <c:pt idx="39">
                  <c:v>-3.0268697966583047E-2</c:v>
                </c:pt>
                <c:pt idx="40">
                  <c:v>-1.5264626391117142E-2</c:v>
                </c:pt>
                <c:pt idx="41">
                  <c:v>-7.2467132546043533E-3</c:v>
                </c:pt>
                <c:pt idx="42">
                  <c:v>-3.2450981601236384E-3</c:v>
                </c:pt>
                <c:pt idx="43">
                  <c:v>-1.3735782149469911E-3</c:v>
                </c:pt>
                <c:pt idx="44">
                  <c:v>-5.5073186817111708E-4</c:v>
                </c:pt>
                <c:pt idx="45">
                  <c:v>-2.0960937034608662E-4</c:v>
                </c:pt>
                <c:pt idx="46">
                  <c:v>-7.5888559769254904E-5</c:v>
                </c:pt>
                <c:pt idx="47">
                  <c:v>-2.6189671195497866E-5</c:v>
                </c:pt>
                <c:pt idx="48">
                  <c:v>-8.6325946956344879E-6</c:v>
                </c:pt>
                <c:pt idx="49">
                  <c:v>-2.7230327399596632E-6</c:v>
                </c:pt>
                <c:pt idx="50">
                  <c:v>-8.2352808061791904E-7</c:v>
                </c:pt>
                <c:pt idx="51">
                  <c:v>-2.3922246539243019E-7</c:v>
                </c:pt>
                <c:pt idx="52">
                  <c:v>-6.6861669534290513E-8</c:v>
                </c:pt>
                <c:pt idx="53">
                  <c:v>-1.8010580693506029E-8</c:v>
                </c:pt>
                <c:pt idx="54">
                  <c:v>-4.6832491218395944E-9</c:v>
                </c:pt>
                <c:pt idx="55">
                  <c:v>-1.1773363395306546E-9</c:v>
                </c:pt>
                <c:pt idx="56">
                  <c:v>-2.8656566009033213E-10</c:v>
                </c:pt>
                <c:pt idx="57">
                  <c:v>-6.7628125322016786E-11</c:v>
                </c:pt>
                <c:pt idx="58">
                  <c:v>-1.5495049687785922E-11</c:v>
                </c:pt>
                <c:pt idx="59">
                  <c:v>-3.4512392943497616E-12</c:v>
                </c:pt>
                <c:pt idx="60">
                  <c:v>-7.4817929629489299E-13</c:v>
                </c:pt>
                <c:pt idx="61">
                  <c:v>-1.5809575870662229E-13</c:v>
                </c:pt>
                <c:pt idx="62">
                  <c:v>-3.2529534621517087E-14</c:v>
                </c:pt>
                <c:pt idx="63">
                  <c:v>-6.5503158452884236E-15</c:v>
                </c:pt>
                <c:pt idx="64">
                  <c:v>-1.3322676295501878E-15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numCache>
            </c:numRef>
          </c:val>
          <c:smooth val="0"/>
          <c:extLst>
            <c:ext xmlns:c16="http://schemas.microsoft.com/office/drawing/2014/chart" uri="{C3380CC4-5D6E-409C-BE32-E72D297353CC}">
              <c16:uniqueId val="{00000001-0C29-4CE4-842A-3B602300A2BF}"/>
            </c:ext>
          </c:extLst>
        </c:ser>
        <c:ser>
          <c:idx val="2"/>
          <c:order val="2"/>
          <c:tx>
            <c:strRef>
              <c:f>'1.a) Greeks vs moneyness'!$P$9</c:f>
              <c:strCache>
                <c:ptCount val="1"/>
                <c:pt idx="0">
                  <c:v>Delta RR</c:v>
                </c:pt>
              </c:strCache>
            </c:strRef>
          </c:tx>
          <c:spPr>
            <a:ln w="28575" cap="rnd">
              <a:solidFill>
                <a:schemeClr val="accent3"/>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moneyness'!$P$10:$P$89</c:f>
              <c:numCache>
                <c:formatCode>0.000</c:formatCode>
                <c:ptCount val="80"/>
                <c:pt idx="0">
                  <c:v>1</c:v>
                </c:pt>
                <c:pt idx="1">
                  <c:v>1</c:v>
                </c:pt>
                <c:pt idx="2">
                  <c:v>1</c:v>
                </c:pt>
                <c:pt idx="3">
                  <c:v>1</c:v>
                </c:pt>
                <c:pt idx="4">
                  <c:v>1</c:v>
                </c:pt>
                <c:pt idx="5">
                  <c:v>1</c:v>
                </c:pt>
                <c:pt idx="6">
                  <c:v>1</c:v>
                </c:pt>
                <c:pt idx="7">
                  <c:v>1</c:v>
                </c:pt>
                <c:pt idx="8">
                  <c:v>1</c:v>
                </c:pt>
                <c:pt idx="9">
                  <c:v>1.0000000000000009</c:v>
                </c:pt>
                <c:pt idx="10">
                  <c:v>1.0000000000000129</c:v>
                </c:pt>
                <c:pt idx="11">
                  <c:v>1.0000000000001443</c:v>
                </c:pt>
                <c:pt idx="12">
                  <c:v>1.0000000000013565</c:v>
                </c:pt>
                <c:pt idx="13">
                  <c:v>1.0000000000109073</c:v>
                </c:pt>
                <c:pt idx="14">
                  <c:v>1.0000000000759108</c:v>
                </c:pt>
                <c:pt idx="15">
                  <c:v>1.0000000004612295</c:v>
                </c:pt>
                <c:pt idx="16">
                  <c:v>1.0000000024502274</c:v>
                </c:pt>
                <c:pt idx="17">
                  <c:v>1.0000000111549101</c:v>
                </c:pt>
                <c:pt idx="18">
                  <c:v>1.0000000397940707</c:v>
                </c:pt>
                <c:pt idx="19">
                  <c:v>1.0000000678218122</c:v>
                </c:pt>
                <c:pt idx="20">
                  <c:v>0.99999952442936924</c:v>
                </c:pt>
                <c:pt idx="21">
                  <c:v>0.99999381826400102</c:v>
                </c:pt>
                <c:pt idx="22">
                  <c:v>0.999957535951293</c:v>
                </c:pt>
                <c:pt idx="23">
                  <c:v>0.99978248694793403</c:v>
                </c:pt>
                <c:pt idx="24">
                  <c:v>0.99910168544173739</c:v>
                </c:pt>
                <c:pt idx="25">
                  <c:v>0.99690843684893116</c:v>
                </c:pt>
                <c:pt idx="26">
                  <c:v>0.99095726458298705</c:v>
                </c:pt>
                <c:pt idx="27">
                  <c:v>0.97718713792991685</c:v>
                </c:pt>
                <c:pt idx="28">
                  <c:v>0.94973895353688553</c:v>
                </c:pt>
                <c:pt idx="29">
                  <c:v>0.90218983372877304</c:v>
                </c:pt>
                <c:pt idx="30">
                  <c:v>0.83005256153881302</c:v>
                </c:pt>
                <c:pt idx="31">
                  <c:v>0.73357265142396044</c:v>
                </c:pt>
                <c:pt idx="32">
                  <c:v>0.61920831248156794</c:v>
                </c:pt>
                <c:pt idx="33">
                  <c:v>0.49864271392374071</c:v>
                </c:pt>
                <c:pt idx="34">
                  <c:v>0.3855839147993505</c:v>
                </c:pt>
                <c:pt idx="35">
                  <c:v>0.2919070880654106</c:v>
                </c:pt>
                <c:pt idx="36">
                  <c:v>0.224923707809698</c:v>
                </c:pt>
                <c:pt idx="37">
                  <c:v>0.1866914705387383</c:v>
                </c:pt>
                <c:pt idx="38">
                  <c:v>0.17508966502552553</c:v>
                </c:pt>
                <c:pt idx="39">
                  <c:v>0.18568403369882702</c:v>
                </c:pt>
                <c:pt idx="40">
                  <c:v>0.21343139063660455</c:v>
                </c:pt>
                <c:pt idx="41">
                  <c:v>0.25373497266059875</c:v>
                </c:pt>
                <c:pt idx="42">
                  <c:v>0.30283549783992864</c:v>
                </c:pt>
                <c:pt idx="43">
                  <c:v>0.35777464338129972</c:v>
                </c:pt>
                <c:pt idx="44">
                  <c:v>0.41619335059887719</c:v>
                </c:pt>
                <c:pt idx="45">
                  <c:v>0.47613659136320197</c:v>
                </c:pt>
                <c:pt idx="46">
                  <c:v>0.5359322811449414</c:v>
                </c:pt>
                <c:pt idx="47">
                  <c:v>0.59414414448700525</c:v>
                </c:pt>
                <c:pt idx="48">
                  <c:v>0.64957086426927912</c:v>
                </c:pt>
                <c:pt idx="49">
                  <c:v>0.70126215653152735</c:v>
                </c:pt>
                <c:pt idx="50">
                  <c:v>0.74853131209846979</c:v>
                </c:pt>
                <c:pt idx="51">
                  <c:v>0.79095398934276417</c:v>
                </c:pt>
                <c:pt idx="52">
                  <c:v>0.82835087401135321</c:v>
                </c:pt>
                <c:pt idx="53">
                  <c:v>0.86075658614954187</c:v>
                </c:pt>
                <c:pt idx="54">
                  <c:v>0.88837945668934626</c:v>
                </c:pt>
                <c:pt idx="55">
                  <c:v>0.91155730131695767</c:v>
                </c:pt>
                <c:pt idx="56">
                  <c:v>0.93071376965684915</c:v>
                </c:pt>
                <c:pt idx="57">
                  <c:v>0.94631876065037701</c:v>
                </c:pt>
                <c:pt idx="58">
                  <c:v>0.95885513724571281</c:v>
                </c:pt>
                <c:pt idx="59">
                  <c:v>0.96879278785027012</c:v>
                </c:pt>
                <c:pt idx="60">
                  <c:v>0.97657010931543564</c:v>
                </c:pt>
                <c:pt idx="61">
                  <c:v>0.98258228677881276</c:v>
                </c:pt>
                <c:pt idx="62">
                  <c:v>0.98717532072987468</c:v>
                </c:pt>
                <c:pt idx="63">
                  <c:v>0.9906445646557136</c:v>
                </c:pt>
                <c:pt idx="64">
                  <c:v>0.99323653202709283</c:v>
                </c:pt>
                <c:pt idx="65">
                  <c:v>0.99515284933053882</c:v>
                </c:pt>
                <c:pt idx="66">
                  <c:v>0.99655541801105518</c:v>
                </c:pt>
                <c:pt idx="67">
                  <c:v>0.99757205913574754</c:v>
                </c:pt>
                <c:pt idx="68">
                  <c:v>0.99830211954139925</c:v>
                </c:pt>
                <c:pt idx="69">
                  <c:v>0.99882169832466738</c:v>
                </c:pt>
                <c:pt idx="70">
                  <c:v>0.99918829870678105</c:v>
                </c:pt>
                <c:pt idx="71">
                  <c:v>0.99944482065753248</c:v>
                </c:pt>
                <c:pt idx="72">
                  <c:v>0.99962288691431433</c:v>
                </c:pt>
                <c:pt idx="73">
                  <c:v>0.99974554437936825</c:v>
                </c:pt>
                <c:pt idx="74">
                  <c:v>0.99982941040989071</c:v>
                </c:pt>
                <c:pt idx="75">
                  <c:v>0.9998863451555976</c:v>
                </c:pt>
                <c:pt idx="76">
                  <c:v>0.99992473201028764</c:v>
                </c:pt>
                <c:pt idx="77">
                  <c:v>0.99995044257430643</c:v>
                </c:pt>
                <c:pt idx="78">
                  <c:v>0.99996755337560372</c:v>
                </c:pt>
                <c:pt idx="79">
                  <c:v>0.99997887113230932</c:v>
                </c:pt>
              </c:numCache>
            </c:numRef>
          </c:val>
          <c:smooth val="0"/>
          <c:extLst>
            <c:ext xmlns:c16="http://schemas.microsoft.com/office/drawing/2014/chart" uri="{C3380CC4-5D6E-409C-BE32-E72D297353CC}">
              <c16:uniqueId val="{00000002-0C29-4CE4-842A-3B602300A2BF}"/>
            </c:ext>
          </c:extLst>
        </c:ser>
        <c:dLbls>
          <c:showLegendKey val="0"/>
          <c:showVal val="0"/>
          <c:showCatName val="0"/>
          <c:showSerName val="0"/>
          <c:showPercent val="0"/>
          <c:showBubbleSize val="0"/>
        </c:dLbls>
        <c:smooth val="0"/>
        <c:axId val="1707374576"/>
        <c:axId val="1707374992"/>
      </c:lineChart>
      <c:catAx>
        <c:axId val="170737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374992"/>
        <c:crosses val="autoZero"/>
        <c:auto val="1"/>
        <c:lblAlgn val="ctr"/>
        <c:lblOffset val="100"/>
        <c:noMultiLvlLbl val="0"/>
      </c:catAx>
      <c:valAx>
        <c:axId val="17073749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37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Gamma </a:t>
            </a:r>
            <a:r>
              <a:rPr lang="fr-FR" sz="1400" b="0" i="0" u="none" strike="noStrike" baseline="0">
                <a:effectLst/>
              </a:rPr>
              <a:t>VS Moneyness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'1.a) Greeks vs moneyness'!$Q$9</c:f>
              <c:strCache>
                <c:ptCount val="1"/>
                <c:pt idx="0">
                  <c:v>Gamma Call</c:v>
                </c:pt>
              </c:strCache>
            </c:strRef>
          </c:tx>
          <c:spPr>
            <a:ln w="28575" cap="rnd">
              <a:solidFill>
                <a:schemeClr val="accent1"/>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moneyness'!$Q$10:$Q$89</c:f>
              <c:numCache>
                <c:formatCode>0.000</c:formatCode>
                <c:ptCount val="80"/>
                <c:pt idx="0">
                  <c:v>3.1804972543595786E-30</c:v>
                </c:pt>
                <c:pt idx="1">
                  <c:v>5.7683567300123383E-28</c:v>
                </c:pt>
                <c:pt idx="2">
                  <c:v>6.7824068159081334E-26</c:v>
                </c:pt>
                <c:pt idx="3">
                  <c:v>5.4097328618391525E-24</c:v>
                </c:pt>
                <c:pt idx="4">
                  <c:v>3.0437499082458714E-22</c:v>
                </c:pt>
                <c:pt idx="5">
                  <c:v>1.2497347036118387E-20</c:v>
                </c:pt>
                <c:pt idx="6">
                  <c:v>3.8570691809072226E-19</c:v>
                </c:pt>
                <c:pt idx="7">
                  <c:v>9.1833125673201589E-18</c:v>
                </c:pt>
                <c:pt idx="8">
                  <c:v>1.7257300579050638E-16</c:v>
                </c:pt>
                <c:pt idx="9">
                  <c:v>2.611935283109956E-15</c:v>
                </c:pt>
                <c:pt idx="10">
                  <c:v>3.2416864458927056E-14</c:v>
                </c:pt>
                <c:pt idx="11">
                  <c:v>3.3523998452413933E-13</c:v>
                </c:pt>
                <c:pt idx="12">
                  <c:v>2.9304994023942328E-12</c:v>
                </c:pt>
                <c:pt idx="13">
                  <c:v>2.1933924371311165E-11</c:v>
                </c:pt>
                <c:pt idx="14">
                  <c:v>1.4220390417629947E-10</c:v>
                </c:pt>
                <c:pt idx="15">
                  <c:v>8.0699539004609789E-10</c:v>
                </c:pt>
                <c:pt idx="16">
                  <c:v>4.0467803981782001E-9</c:v>
                </c:pt>
                <c:pt idx="17">
                  <c:v>1.8086851196465372E-8</c:v>
                </c:pt>
                <c:pt idx="18">
                  <c:v>7.2615769965936311E-8</c:v>
                </c:pt>
                <c:pt idx="19">
                  <c:v>2.6376372404114276E-7</c:v>
                </c:pt>
                <c:pt idx="20">
                  <c:v>8.7247060580477225E-7</c:v>
                </c:pt>
                <c:pt idx="21">
                  <c:v>2.6438442737802003E-6</c:v>
                </c:pt>
                <c:pt idx="22">
                  <c:v>7.3799747234384001E-6</c:v>
                </c:pt>
                <c:pt idx="23">
                  <c:v>1.907220674741738E-5</c:v>
                </c:pt>
                <c:pt idx="24">
                  <c:v>4.5845293356153712E-5</c:v>
                </c:pt>
                <c:pt idx="25">
                  <c:v>1.0294405749629734E-4</c:v>
                </c:pt>
                <c:pt idx="26">
                  <c:v>2.1679269055364459E-4</c:v>
                </c:pt>
                <c:pt idx="27">
                  <c:v>4.297552703944071E-4</c:v>
                </c:pt>
                <c:pt idx="28">
                  <c:v>8.046580766050143E-4</c:v>
                </c:pt>
                <c:pt idx="29">
                  <c:v>1.4275452189264611E-3</c:v>
                </c:pt>
                <c:pt idx="30">
                  <c:v>2.4067730657878401E-3</c:v>
                </c:pt>
                <c:pt idx="31">
                  <c:v>3.8666746142071518E-3</c:v>
                </c:pt>
                <c:pt idx="32">
                  <c:v>5.9348159438166702E-3</c:v>
                </c:pt>
                <c:pt idx="33">
                  <c:v>8.7232867537443016E-3</c:v>
                </c:pt>
                <c:pt idx="34">
                  <c:v>1.2306220075030622E-2</c:v>
                </c:pt>
                <c:pt idx="35">
                  <c:v>1.6697325372654146E-2</c:v>
                </c:pt>
                <c:pt idx="36">
                  <c:v>2.183210211466937E-2</c:v>
                </c:pt>
                <c:pt idx="37">
                  <c:v>2.7559188299661256E-2</c:v>
                </c:pt>
                <c:pt idx="38">
                  <c:v>3.3643912056991049E-2</c:v>
                </c:pt>
                <c:pt idx="39">
                  <c:v>3.9784836290024266E-2</c:v>
                </c:pt>
                <c:pt idx="40">
                  <c:v>4.5641478201792506E-2</c:v>
                </c:pt>
                <c:pt idx="41">
                  <c:v>5.0869110803251884E-2</c:v>
                </c:pt>
                <c:pt idx="42">
                  <c:v>5.5155171153491063E-2</c:v>
                </c:pt>
                <c:pt idx="43">
                  <c:v>5.8251605731383681E-2</c:v>
                </c:pt>
                <c:pt idx="44">
                  <c:v>5.9998446667979349E-2</c:v>
                </c:pt>
                <c:pt idx="45">
                  <c:v>6.0335719925500748E-2</c:v>
                </c:pt>
                <c:pt idx="46">
                  <c:v>5.9302959937117657E-2</c:v>
                </c:pt>
                <c:pt idx="47">
                  <c:v>5.7027648865770643E-2</c:v>
                </c:pt>
                <c:pt idx="48">
                  <c:v>5.3705424179453766E-2</c:v>
                </c:pt>
                <c:pt idx="49">
                  <c:v>4.9575697740120293E-2</c:v>
                </c:pt>
                <c:pt idx="50">
                  <c:v>4.489638715938149E-2</c:v>
                </c:pt>
                <c:pt idx="51">
                  <c:v>3.9920913628974888E-2</c:v>
                </c:pt>
                <c:pt idx="52">
                  <c:v>3.4879695613409929E-2</c:v>
                </c:pt>
                <c:pt idx="53">
                  <c:v>2.99673091210747E-2</c:v>
                </c:pt>
                <c:pt idx="54">
                  <c:v>2.5335500791808518E-2</c:v>
                </c:pt>
                <c:pt idx="55">
                  <c:v>2.109146979217091E-2</c:v>
                </c:pt>
                <c:pt idx="56">
                  <c:v>1.7300342590899468E-2</c:v>
                </c:pt>
                <c:pt idx="57">
                  <c:v>1.3990549436740846E-2</c:v>
                </c:pt>
                <c:pt idx="58">
                  <c:v>1.1160825628206255E-2</c:v>
                </c:pt>
                <c:pt idx="59">
                  <c:v>8.7877344921895549E-3</c:v>
                </c:pt>
                <c:pt idx="60">
                  <c:v>6.8328691660138165E-3</c:v>
                </c:pt>
                <c:pt idx="61">
                  <c:v>5.2491738794616816E-3</c:v>
                </c:pt>
                <c:pt idx="62">
                  <c:v>3.9860867869680808E-3</c:v>
                </c:pt>
                <c:pt idx="63">
                  <c:v>2.9934185192002391E-3</c:v>
                </c:pt>
                <c:pt idx="64">
                  <c:v>2.2240328798466468E-3</c:v>
                </c:pt>
                <c:pt idx="65">
                  <c:v>1.635489993025004E-3</c:v>
                </c:pt>
                <c:pt idx="66">
                  <c:v>1.1908566451348369E-3</c:v>
                </c:pt>
                <c:pt idx="67">
                  <c:v>8.5889585254191373E-4</c:v>
                </c:pt>
                <c:pt idx="68">
                  <c:v>6.1383042230127088E-4</c:v>
                </c:pt>
                <c:pt idx="69">
                  <c:v>4.348444643020239E-4</c:v>
                </c:pt>
                <c:pt idx="70">
                  <c:v>3.0545096983890138E-4</c:v>
                </c:pt>
                <c:pt idx="71">
                  <c:v>2.1281853636617026E-4</c:v>
                </c:pt>
                <c:pt idx="72">
                  <c:v>1.4711955347534588E-4</c:v>
                </c:pt>
                <c:pt idx="73">
                  <c:v>1.009372618036695E-4</c:v>
                </c:pt>
                <c:pt idx="74">
                  <c:v>6.8750333210833428E-5</c:v>
                </c:pt>
                <c:pt idx="75">
                  <c:v>4.6500468374830984E-5</c:v>
                </c:pt>
                <c:pt idx="76">
                  <c:v>3.1240030835936281E-5</c:v>
                </c:pt>
                <c:pt idx="77">
                  <c:v>2.0851874238200727E-5</c:v>
                </c:pt>
                <c:pt idx="78">
                  <c:v>1.3831265350286987E-5</c:v>
                </c:pt>
                <c:pt idx="79">
                  <c:v>9.1193000701811038E-6</c:v>
                </c:pt>
              </c:numCache>
            </c:numRef>
          </c:val>
          <c:smooth val="0"/>
          <c:extLst>
            <c:ext xmlns:c16="http://schemas.microsoft.com/office/drawing/2014/chart" uri="{C3380CC4-5D6E-409C-BE32-E72D297353CC}">
              <c16:uniqueId val="{00000000-4362-40A3-960E-413C6A8CB003}"/>
            </c:ext>
          </c:extLst>
        </c:ser>
        <c:ser>
          <c:idx val="1"/>
          <c:order val="1"/>
          <c:tx>
            <c:strRef>
              <c:f>'1.a) Greeks vs moneyness'!$R$9</c:f>
              <c:strCache>
                <c:ptCount val="1"/>
                <c:pt idx="0">
                  <c:v>Gamma Put</c:v>
                </c:pt>
              </c:strCache>
            </c:strRef>
          </c:tx>
          <c:spPr>
            <a:ln w="28575" cap="rnd">
              <a:solidFill>
                <a:schemeClr val="accent2"/>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moneyness'!$R$10:$R$89</c:f>
              <c:numCache>
                <c:formatCode>0.000</c:formatCode>
                <c:ptCount val="80"/>
                <c:pt idx="0">
                  <c:v>5.9802155643803699E-59</c:v>
                </c:pt>
                <c:pt idx="1">
                  <c:v>2.0977217858268408E-53</c:v>
                </c:pt>
                <c:pt idx="2">
                  <c:v>2.2741358858284328E-48</c:v>
                </c:pt>
                <c:pt idx="3">
                  <c:v>8.6361581400486775E-44</c:v>
                </c:pt>
                <c:pt idx="4">
                  <c:v>1.2797208100168018E-39</c:v>
                </c:pt>
                <c:pt idx="5">
                  <c:v>8.1245126915501319E-36</c:v>
                </c:pt>
                <c:pt idx="6">
                  <c:v>2.3973625335132661E-32</c:v>
                </c:pt>
                <c:pt idx="7">
                  <c:v>3.5309380091186002E-29</c:v>
                </c:pt>
                <c:pt idx="8">
                  <c:v>2.7637899059631329E-26</c:v>
                </c:pt>
                <c:pt idx="9">
                  <c:v>1.2151845329397775E-23</c:v>
                </c:pt>
                <c:pt idx="10">
                  <c:v>3.1524357333386976E-21</c:v>
                </c:pt>
                <c:pt idx="11">
                  <c:v>5.0410475345423959E-19</c:v>
                </c:pt>
                <c:pt idx="12">
                  <c:v>5.1670777882050543E-17</c:v>
                </c:pt>
                <c:pt idx="13">
                  <c:v>3.5159202066809345E-15</c:v>
                </c:pt>
                <c:pt idx="14">
                  <c:v>1.6390357397444026E-13</c:v>
                </c:pt>
                <c:pt idx="15">
                  <c:v>5.3856089934427256E-12</c:v>
                </c:pt>
                <c:pt idx="16">
                  <c:v>1.2797887168677506E-10</c:v>
                </c:pt>
                <c:pt idx="17">
                  <c:v>2.2512131492965465E-9</c:v>
                </c:pt>
                <c:pt idx="18">
                  <c:v>2.9940924281364928E-8</c:v>
                </c:pt>
                <c:pt idx="19">
                  <c:v>3.0694490185458849E-7</c:v>
                </c:pt>
                <c:pt idx="20">
                  <c:v>2.4685925729113119E-6</c:v>
                </c:pt>
                <c:pt idx="21">
                  <c:v>1.5828076392604517E-5</c:v>
                </c:pt>
                <c:pt idx="22">
                  <c:v>8.211254528687875E-5</c:v>
                </c:pt>
                <c:pt idx="23">
                  <c:v>3.4936802584154594E-4</c:v>
                </c:pt>
                <c:pt idx="24">
                  <c:v>1.2344337756424817E-3</c:v>
                </c:pt>
                <c:pt idx="25">
                  <c:v>3.6640172571235263E-3</c:v>
                </c:pt>
                <c:pt idx="26">
                  <c:v>9.2334191508755617E-3</c:v>
                </c:pt>
                <c:pt idx="27">
                  <c:v>1.9950120452231452E-2</c:v>
                </c:pt>
                <c:pt idx="28">
                  <c:v>3.7295249398523314E-2</c:v>
                </c:pt>
                <c:pt idx="29">
                  <c:v>6.0834048277146141E-2</c:v>
                </c:pt>
                <c:pt idx="30">
                  <c:v>8.7261755185964351E-2</c:v>
                </c:pt>
                <c:pt idx="31">
                  <c:v>0.11087802311916217</c:v>
                </c:pt>
                <c:pt idx="32">
                  <c:v>0.12564740532830326</c:v>
                </c:pt>
                <c:pt idx="33">
                  <c:v>0.12778816557758019</c:v>
                </c:pt>
                <c:pt idx="34">
                  <c:v>0.11733193152071807</c:v>
                </c:pt>
                <c:pt idx="35">
                  <c:v>9.7796088488488878E-2</c:v>
                </c:pt>
                <c:pt idx="36">
                  <c:v>7.4377728859783443E-2</c:v>
                </c:pt>
                <c:pt idx="37">
                  <c:v>5.1865009651102245E-2</c:v>
                </c:pt>
                <c:pt idx="38">
                  <c:v>3.3310306529363183E-2</c:v>
                </c:pt>
                <c:pt idx="39">
                  <c:v>1.978775313582145E-2</c:v>
                </c:pt>
                <c:pt idx="40">
                  <c:v>1.0915831182345933E-2</c:v>
                </c:pt>
                <c:pt idx="41">
                  <c:v>5.6128627869135488E-3</c:v>
                </c:pt>
                <c:pt idx="42">
                  <c:v>2.6996518795256146E-3</c:v>
                </c:pt>
                <c:pt idx="43">
                  <c:v>1.2186130417673039E-3</c:v>
                </c:pt>
                <c:pt idx="44">
                  <c:v>5.1786252327140603E-4</c:v>
                </c:pt>
                <c:pt idx="45">
                  <c:v>2.077936856546245E-4</c:v>
                </c:pt>
                <c:pt idx="46">
                  <c:v>7.894525744319431E-5</c:v>
                </c:pt>
                <c:pt idx="47">
                  <c:v>2.8473125776247036E-5</c:v>
                </c:pt>
                <c:pt idx="48">
                  <c:v>9.7731969189836466E-6</c:v>
                </c:pt>
                <c:pt idx="49">
                  <c:v>3.1999937503466354E-6</c:v>
                </c:pt>
                <c:pt idx="50">
                  <c:v>1.0016974335516096E-6</c:v>
                </c:pt>
                <c:pt idx="51">
                  <c:v>3.0040823570940039E-7</c:v>
                </c:pt>
                <c:pt idx="52">
                  <c:v>8.6484846519749045E-8</c:v>
                </c:pt>
                <c:pt idx="53">
                  <c:v>2.3946462589496265E-8</c:v>
                </c:pt>
                <c:pt idx="54">
                  <c:v>6.388429507343412E-9</c:v>
                </c:pt>
                <c:pt idx="55">
                  <c:v>1.6448905918716645E-9</c:v>
                </c:pt>
                <c:pt idx="56">
                  <c:v>4.094226129616456E-10</c:v>
                </c:pt>
                <c:pt idx="57">
                  <c:v>9.8665525875615968E-11</c:v>
                </c:pt>
                <c:pt idx="58">
                  <c:v>2.3054302281261528E-11</c:v>
                </c:pt>
                <c:pt idx="59">
                  <c:v>5.2303983728588566E-12</c:v>
                </c:pt>
                <c:pt idx="60">
                  <c:v>1.1536870961179536E-12</c:v>
                </c:pt>
                <c:pt idx="61">
                  <c:v>2.4771861512329985E-13</c:v>
                </c:pt>
                <c:pt idx="62">
                  <c:v>5.1840313576580711E-14</c:v>
                </c:pt>
                <c:pt idx="63">
                  <c:v>1.0585505663690525E-14</c:v>
                </c:pt>
                <c:pt idx="64">
                  <c:v>2.111369416011789E-15</c:v>
                </c:pt>
                <c:pt idx="65">
                  <c:v>4.1179145040018018E-16</c:v>
                </c:pt>
                <c:pt idx="66">
                  <c:v>7.8610793634398587E-17</c:v>
                </c:pt>
                <c:pt idx="67">
                  <c:v>1.470247994115355E-17</c:v>
                </c:pt>
                <c:pt idx="68">
                  <c:v>2.6964721576517458E-18</c:v>
                </c:pt>
                <c:pt idx="69">
                  <c:v>4.8537133681097794E-19</c:v>
                </c:pt>
                <c:pt idx="70">
                  <c:v>8.5819210618738161E-20</c:v>
                </c:pt>
                <c:pt idx="71">
                  <c:v>1.4916632219596078E-20</c:v>
                </c:pt>
                <c:pt idx="72">
                  <c:v>2.5507136847743809E-21</c:v>
                </c:pt>
                <c:pt idx="73">
                  <c:v>4.2940981118782329E-22</c:v>
                </c:pt>
                <c:pt idx="74">
                  <c:v>7.1220131758731551E-23</c:v>
                </c:pt>
                <c:pt idx="75">
                  <c:v>1.1645084131611062E-23</c:v>
                </c:pt>
                <c:pt idx="76">
                  <c:v>1.8783127470784356E-24</c:v>
                </c:pt>
                <c:pt idx="77">
                  <c:v>2.9904974943376278E-25</c:v>
                </c:pt>
                <c:pt idx="78">
                  <c:v>4.7024384491587701E-26</c:v>
                </c:pt>
                <c:pt idx="79">
                  <c:v>7.3071896043491895E-27</c:v>
                </c:pt>
              </c:numCache>
            </c:numRef>
          </c:val>
          <c:smooth val="0"/>
          <c:extLst>
            <c:ext xmlns:c16="http://schemas.microsoft.com/office/drawing/2014/chart" uri="{C3380CC4-5D6E-409C-BE32-E72D297353CC}">
              <c16:uniqueId val="{00000001-4362-40A3-960E-413C6A8CB003}"/>
            </c:ext>
          </c:extLst>
        </c:ser>
        <c:ser>
          <c:idx val="2"/>
          <c:order val="2"/>
          <c:tx>
            <c:strRef>
              <c:f>'1.a) Greeks vs moneyness'!$S$9</c:f>
              <c:strCache>
                <c:ptCount val="1"/>
                <c:pt idx="0">
                  <c:v>Gamma RR</c:v>
                </c:pt>
              </c:strCache>
            </c:strRef>
          </c:tx>
          <c:spPr>
            <a:ln w="28575" cap="rnd">
              <a:solidFill>
                <a:schemeClr val="accent3"/>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moneyness'!$S$10:$S$89</c:f>
              <c:numCache>
                <c:formatCode>0.000</c:formatCode>
                <c:ptCount val="80"/>
                <c:pt idx="0">
                  <c:v>3.1804972543595786E-30</c:v>
                </c:pt>
                <c:pt idx="1">
                  <c:v>5.7683567300123383E-28</c:v>
                </c:pt>
                <c:pt idx="2">
                  <c:v>6.7824068159081334E-26</c:v>
                </c:pt>
                <c:pt idx="3">
                  <c:v>5.4097328618391525E-24</c:v>
                </c:pt>
                <c:pt idx="4">
                  <c:v>3.0437499082458714E-22</c:v>
                </c:pt>
                <c:pt idx="5">
                  <c:v>1.2497347036118379E-20</c:v>
                </c:pt>
                <c:pt idx="6">
                  <c:v>3.8570691809069828E-19</c:v>
                </c:pt>
                <c:pt idx="7">
                  <c:v>9.1833125672848482E-18</c:v>
                </c:pt>
                <c:pt idx="8">
                  <c:v>1.7257300576286847E-16</c:v>
                </c:pt>
                <c:pt idx="9">
                  <c:v>2.6119352709581107E-15</c:v>
                </c:pt>
                <c:pt idx="10">
                  <c:v>3.2416861306491324E-14</c:v>
                </c:pt>
                <c:pt idx="11">
                  <c:v>3.3523948041938591E-13</c:v>
                </c:pt>
                <c:pt idx="12">
                  <c:v>2.9304477316163505E-12</c:v>
                </c:pt>
                <c:pt idx="13">
                  <c:v>2.1930408451104484E-11</c:v>
                </c:pt>
                <c:pt idx="14">
                  <c:v>1.4204000060232504E-10</c:v>
                </c:pt>
                <c:pt idx="15">
                  <c:v>8.0160978105265509E-10</c:v>
                </c:pt>
                <c:pt idx="16">
                  <c:v>3.9188015264914251E-9</c:v>
                </c:pt>
                <c:pt idx="17">
                  <c:v>1.5835638047168824E-8</c:v>
                </c:pt>
                <c:pt idx="18">
                  <c:v>4.2674845684571376E-8</c:v>
                </c:pt>
                <c:pt idx="19">
                  <c:v>-4.318117781344577E-8</c:v>
                </c:pt>
                <c:pt idx="20">
                  <c:v>-1.5961219671065394E-6</c:v>
                </c:pt>
                <c:pt idx="21">
                  <c:v>-1.3184232118824315E-5</c:v>
                </c:pt>
                <c:pt idx="22">
                  <c:v>-7.4732570563440341E-5</c:v>
                </c:pt>
                <c:pt idx="23">
                  <c:v>-3.302958190941286E-4</c:v>
                </c:pt>
                <c:pt idx="24">
                  <c:v>-1.188588482286328E-3</c:v>
                </c:pt>
                <c:pt idx="25">
                  <c:v>-3.5610731996272289E-3</c:v>
                </c:pt>
                <c:pt idx="26">
                  <c:v>-9.0166264603219158E-3</c:v>
                </c:pt>
                <c:pt idx="27">
                  <c:v>-1.9520365181837047E-2</c:v>
                </c:pt>
                <c:pt idx="28">
                  <c:v>-3.64905913219183E-2</c:v>
                </c:pt>
                <c:pt idx="29">
                  <c:v>-5.9406503058219685E-2</c:v>
                </c:pt>
                <c:pt idx="30">
                  <c:v>-8.4854982120176517E-2</c:v>
                </c:pt>
                <c:pt idx="31">
                  <c:v>-0.10701134850495501</c:v>
                </c:pt>
                <c:pt idx="32">
                  <c:v>-0.1197125893844866</c:v>
                </c:pt>
                <c:pt idx="33">
                  <c:v>-0.1190648788238359</c:v>
                </c:pt>
                <c:pt idx="34">
                  <c:v>-0.10502571144568744</c:v>
                </c:pt>
                <c:pt idx="35">
                  <c:v>-8.1098763115834735E-2</c:v>
                </c:pt>
                <c:pt idx="36">
                  <c:v>-5.2545626745114066E-2</c:v>
                </c:pt>
                <c:pt idx="37">
                  <c:v>-2.4305821351440986E-2</c:v>
                </c:pt>
                <c:pt idx="38">
                  <c:v>3.3360552762786826E-4</c:v>
                </c:pt>
                <c:pt idx="39">
                  <c:v>1.9997083154202816E-2</c:v>
                </c:pt>
                <c:pt idx="40">
                  <c:v>3.4725647019446575E-2</c:v>
                </c:pt>
                <c:pt idx="41">
                  <c:v>4.5256248016338332E-2</c:v>
                </c:pt>
                <c:pt idx="42">
                  <c:v>5.2455519273965447E-2</c:v>
                </c:pt>
                <c:pt idx="43">
                  <c:v>5.7032992689616376E-2</c:v>
                </c:pt>
                <c:pt idx="44">
                  <c:v>5.9480584144707943E-2</c:v>
                </c:pt>
                <c:pt idx="45">
                  <c:v>6.012792623984612E-2</c:v>
                </c:pt>
                <c:pt idx="46">
                  <c:v>5.9224014679674468E-2</c:v>
                </c:pt>
                <c:pt idx="47">
                  <c:v>5.6999175739994398E-2</c:v>
                </c:pt>
                <c:pt idx="48">
                  <c:v>5.3695650982534787E-2</c:v>
                </c:pt>
                <c:pt idx="49">
                  <c:v>4.9572497746369945E-2</c:v>
                </c:pt>
                <c:pt idx="50">
                  <c:v>4.4895385461947934E-2</c:v>
                </c:pt>
                <c:pt idx="51">
                  <c:v>3.9920613220739178E-2</c:v>
                </c:pt>
                <c:pt idx="52">
                  <c:v>3.4879609128563409E-2</c:v>
                </c:pt>
                <c:pt idx="53">
                  <c:v>2.9967285174612113E-2</c:v>
                </c:pt>
                <c:pt idx="54">
                  <c:v>2.5335494403379011E-2</c:v>
                </c:pt>
                <c:pt idx="55">
                  <c:v>2.1091468147280319E-2</c:v>
                </c:pt>
                <c:pt idx="56">
                  <c:v>1.7300342181476854E-2</c:v>
                </c:pt>
                <c:pt idx="57">
                  <c:v>1.3990549338075321E-2</c:v>
                </c:pt>
                <c:pt idx="58">
                  <c:v>1.1160825605151954E-2</c:v>
                </c:pt>
                <c:pt idx="59">
                  <c:v>8.7877344869591555E-3</c:v>
                </c:pt>
                <c:pt idx="60">
                  <c:v>6.8328691648601291E-3</c:v>
                </c:pt>
                <c:pt idx="61">
                  <c:v>5.2491738792139623E-3</c:v>
                </c:pt>
                <c:pt idx="62">
                  <c:v>3.9860867869162403E-3</c:v>
                </c:pt>
                <c:pt idx="63">
                  <c:v>2.9934185191896534E-3</c:v>
                </c:pt>
                <c:pt idx="64">
                  <c:v>2.2240328798445353E-3</c:v>
                </c:pt>
                <c:pt idx="65">
                  <c:v>1.6354899930245922E-3</c:v>
                </c:pt>
                <c:pt idx="66">
                  <c:v>1.1908566451347585E-3</c:v>
                </c:pt>
                <c:pt idx="67">
                  <c:v>8.5889585254189898E-4</c:v>
                </c:pt>
                <c:pt idx="68">
                  <c:v>6.1383042230126817E-4</c:v>
                </c:pt>
                <c:pt idx="69">
                  <c:v>4.3484446430202341E-4</c:v>
                </c:pt>
                <c:pt idx="70">
                  <c:v>3.0545096983890127E-4</c:v>
                </c:pt>
                <c:pt idx="71">
                  <c:v>2.1281853636617024E-4</c:v>
                </c:pt>
                <c:pt idx="72">
                  <c:v>1.4711955347534588E-4</c:v>
                </c:pt>
                <c:pt idx="73">
                  <c:v>1.009372618036695E-4</c:v>
                </c:pt>
                <c:pt idx="74">
                  <c:v>6.8750333210833428E-5</c:v>
                </c:pt>
                <c:pt idx="75">
                  <c:v>4.6500468374830984E-5</c:v>
                </c:pt>
                <c:pt idx="76">
                  <c:v>3.1240030835936281E-5</c:v>
                </c:pt>
                <c:pt idx="77">
                  <c:v>2.0851874238200727E-5</c:v>
                </c:pt>
                <c:pt idx="78">
                  <c:v>1.3831265350286987E-5</c:v>
                </c:pt>
                <c:pt idx="79">
                  <c:v>9.1193000701811038E-6</c:v>
                </c:pt>
              </c:numCache>
            </c:numRef>
          </c:val>
          <c:smooth val="0"/>
          <c:extLst>
            <c:ext xmlns:c16="http://schemas.microsoft.com/office/drawing/2014/chart" uri="{C3380CC4-5D6E-409C-BE32-E72D297353CC}">
              <c16:uniqueId val="{00000002-4362-40A3-960E-413C6A8CB003}"/>
            </c:ext>
          </c:extLst>
        </c:ser>
        <c:dLbls>
          <c:showLegendKey val="0"/>
          <c:showVal val="0"/>
          <c:showCatName val="0"/>
          <c:showSerName val="0"/>
          <c:showPercent val="0"/>
          <c:showBubbleSize val="0"/>
        </c:dLbls>
        <c:smooth val="0"/>
        <c:axId val="1376903744"/>
        <c:axId val="1376906656"/>
      </c:lineChart>
      <c:catAx>
        <c:axId val="137690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906656"/>
        <c:crosses val="autoZero"/>
        <c:auto val="1"/>
        <c:lblAlgn val="ctr"/>
        <c:lblOffset val="100"/>
        <c:noMultiLvlLbl val="0"/>
      </c:catAx>
      <c:valAx>
        <c:axId val="137690665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90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Vega vs </a:t>
            </a:r>
            <a:r>
              <a:rPr lang="fr-FR" sz="1400" b="0" i="0" u="none" strike="noStrike" baseline="0">
                <a:effectLst/>
              </a:rPr>
              <a:t>VS Moneyness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'1.a) Greeks vs moneyness'!$T$9</c:f>
              <c:strCache>
                <c:ptCount val="1"/>
                <c:pt idx="0">
                  <c:v>Vega Call</c:v>
                </c:pt>
              </c:strCache>
            </c:strRef>
          </c:tx>
          <c:spPr>
            <a:ln w="28575" cap="rnd">
              <a:solidFill>
                <a:schemeClr val="accent1"/>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moneyness'!$T$10:$T$89</c:f>
              <c:numCache>
                <c:formatCode>0.000</c:formatCode>
                <c:ptCount val="80"/>
                <c:pt idx="0">
                  <c:v>7.0129964458628712E-29</c:v>
                </c:pt>
                <c:pt idx="1">
                  <c:v>1.395942328662986E-26</c:v>
                </c:pt>
                <c:pt idx="2">
                  <c:v>1.7939466028077016E-24</c:v>
                </c:pt>
                <c:pt idx="3">
                  <c:v>1.5580030642096761E-22</c:v>
                </c:pt>
                <c:pt idx="4">
                  <c:v>9.5117184632683494E-21</c:v>
                </c:pt>
                <c:pt idx="5">
                  <c:v>4.2241032982080149E-19</c:v>
                </c:pt>
                <c:pt idx="6">
                  <c:v>1.4059017164406826E-17</c:v>
                </c:pt>
                <c:pt idx="7">
                  <c:v>3.5998585263895022E-16</c:v>
                </c:pt>
                <c:pt idx="8">
                  <c:v>7.2566948934907938E-15</c:v>
                </c:pt>
                <c:pt idx="9">
                  <c:v>1.1753708773994802E-13</c:v>
                </c:pt>
                <c:pt idx="10">
                  <c:v>1.557630337251445E-12</c:v>
                </c:pt>
                <c:pt idx="11">
                  <c:v>1.7164287207635935E-11</c:v>
                </c:pt>
                <c:pt idx="12">
                  <c:v>1.5956569246036597E-10</c:v>
                </c:pt>
                <c:pt idx="13">
                  <c:v>1.2677808286617855E-9</c:v>
                </c:pt>
                <c:pt idx="14">
                  <c:v>8.7099891307983427E-9</c:v>
                </c:pt>
                <c:pt idx="15">
                  <c:v>5.2293301274987146E-8</c:v>
                </c:pt>
                <c:pt idx="16">
                  <c:v>2.7700211825529786E-7</c:v>
                </c:pt>
                <c:pt idx="17">
                  <c:v>1.3058706563847998E-6</c:v>
                </c:pt>
                <c:pt idx="18">
                  <c:v>5.5224293059094565E-6</c:v>
                </c:pt>
                <c:pt idx="19">
                  <c:v>2.110109792329142E-5</c:v>
                </c:pt>
                <c:pt idx="20">
                  <c:v>7.3331154417891105E-5</c:v>
                </c:pt>
                <c:pt idx="21">
                  <c:v>2.331870649474137E-4</c:v>
                </c:pt>
                <c:pt idx="22">
                  <c:v>6.822786631818801E-4</c:v>
                </c:pt>
                <c:pt idx="23">
                  <c:v>1.8461896131500024E-3</c:v>
                </c:pt>
                <c:pt idx="24">
                  <c:v>4.6418359523105641E-3</c:v>
                </c:pt>
                <c:pt idx="25">
                  <c:v>1.0891481283108259E-2</c:v>
                </c:pt>
                <c:pt idx="26">
                  <c:v>2.3944752671650048E-2</c:v>
                </c:pt>
                <c:pt idx="27">
                  <c:v>4.9507807149435701E-2</c:v>
                </c:pt>
                <c:pt idx="28">
                  <c:v>9.6599202096431969E-2</c:v>
                </c:pt>
                <c:pt idx="29">
                  <c:v>0.17844315236580766</c:v>
                </c:pt>
                <c:pt idx="30">
                  <c:v>0.31300083720570859</c:v>
                </c:pt>
                <c:pt idx="31">
                  <c:v>0.52277440784080698</c:v>
                </c:pt>
                <c:pt idx="32">
                  <c:v>0.8335448993090514</c:v>
                </c:pt>
                <c:pt idx="33">
                  <c:v>1.2718552086959192</c:v>
                </c:pt>
                <c:pt idx="34">
                  <c:v>1.8613157863483816</c:v>
                </c:pt>
                <c:pt idx="35">
                  <c:v>2.6181406184321707</c:v>
                </c:pt>
                <c:pt idx="36">
                  <c:v>3.5466249885280394</c:v>
                </c:pt>
                <c:pt idx="37">
                  <c:v>4.6354554720030237</c:v>
                </c:pt>
                <c:pt idx="38">
                  <c:v>5.8557228935192924</c:v>
                </c:pt>
                <c:pt idx="39">
                  <c:v>7.1612705322043686</c:v>
                </c:pt>
                <c:pt idx="40">
                  <c:v>8.4915970194434962</c:v>
                </c:pt>
                <c:pt idx="41">
                  <c:v>9.7770430963850128</c:v>
                </c:pt>
                <c:pt idx="42">
                  <c:v>10.945543715410302</c:v>
                </c:pt>
                <c:pt idx="43">
                  <c:v>11.929928853787379</c:v>
                </c:pt>
                <c:pt idx="44">
                  <c:v>12.674671858610639</c:v>
                </c:pt>
                <c:pt idx="45">
                  <c:v>13.141119799774064</c:v>
                </c:pt>
                <c:pt idx="46">
                  <c:v>13.31054935788606</c:v>
                </c:pt>
                <c:pt idx="47">
                  <c:v>13.184792417766174</c:v>
                </c:pt>
                <c:pt idx="48">
                  <c:v>12.78457622591897</c:v>
                </c:pt>
                <c:pt idx="49">
                  <c:v>12.146045946329473</c:v>
                </c:pt>
                <c:pt idx="50">
                  <c:v>11.316134383522105</c:v>
                </c:pt>
                <c:pt idx="51">
                  <c:v>10.347500812630292</c:v>
                </c:pt>
                <c:pt idx="52">
                  <c:v>9.2936948961930756</c:v>
                </c:pt>
                <c:pt idx="53">
                  <c:v>8.2050492373502539</c:v>
                </c:pt>
                <c:pt idx="54">
                  <c:v>7.1256095976961458</c:v>
                </c:pt>
                <c:pt idx="55">
                  <c:v>6.0912164759789595</c:v>
                </c:pt>
                <c:pt idx="56">
                  <c:v>5.1286865610721479</c:v>
                </c:pt>
                <c:pt idx="57">
                  <c:v>4.2559251386565657</c:v>
                </c:pt>
                <c:pt idx="58">
                  <c:v>3.4827356372817624</c:v>
                </c:pt>
                <c:pt idx="59">
                  <c:v>2.8120750375006578</c:v>
                </c:pt>
                <c:pt idx="60">
                  <c:v>2.2415227299108325</c:v>
                </c:pt>
                <c:pt idx="61">
                  <c:v>1.7647722582750174</c:v>
                </c:pt>
                <c:pt idx="62">
                  <c:v>1.3730075937711554</c:v>
                </c:pt>
                <c:pt idx="63">
                  <c:v>1.0560780535738443</c:v>
                </c:pt>
                <c:pt idx="64">
                  <c:v>0.80343187784460124</c:v>
                </c:pt>
                <c:pt idx="65">
                  <c:v>0.60480419942064645</c:v>
                </c:pt>
                <c:pt idx="66">
                  <c:v>0.45067969735127911</c:v>
                </c:pt>
                <c:pt idx="67">
                  <c:v>0.33256447410422901</c:v>
                </c:pt>
                <c:pt idx="68">
                  <c:v>0.24310753875241833</c:v>
                </c:pt>
                <c:pt idx="69">
                  <c:v>0.17611200804231969</c:v>
                </c:pt>
                <c:pt idx="70">
                  <c:v>0.12647197406179711</c:v>
                </c:pt>
                <c:pt idx="71">
                  <c:v>9.0064804590163264E-2</c:v>
                </c:pt>
                <c:pt idx="72">
                  <c:v>6.3621850900413321E-2</c:v>
                </c:pt>
                <c:pt idx="73">
                  <c:v>4.4594082264861182E-2</c:v>
                </c:pt>
                <c:pt idx="74">
                  <c:v>3.1023587861388584E-2</c:v>
                </c:pt>
                <c:pt idx="75">
                  <c:v>2.1427415827122119E-2</c:v>
                </c:pt>
                <c:pt idx="76">
                  <c:v>1.4696872506766222E-2</c:v>
                </c:pt>
                <c:pt idx="77">
                  <c:v>1.0013070009183989E-2</c:v>
                </c:pt>
                <c:pt idx="78">
                  <c:v>6.778011584908138E-3</c:v>
                </c:pt>
                <c:pt idx="79">
                  <c:v>4.5596500350905522E-3</c:v>
                </c:pt>
              </c:numCache>
            </c:numRef>
          </c:val>
          <c:smooth val="0"/>
          <c:extLst>
            <c:ext xmlns:c16="http://schemas.microsoft.com/office/drawing/2014/chart" uri="{C3380CC4-5D6E-409C-BE32-E72D297353CC}">
              <c16:uniqueId val="{00000000-6B66-49FC-922D-9DD0AF584F85}"/>
            </c:ext>
          </c:extLst>
        </c:ser>
        <c:ser>
          <c:idx val="1"/>
          <c:order val="1"/>
          <c:tx>
            <c:strRef>
              <c:f>'1.a) Greeks vs moneyness'!$U$9</c:f>
              <c:strCache>
                <c:ptCount val="1"/>
                <c:pt idx="0">
                  <c:v>Vega Put</c:v>
                </c:pt>
              </c:strCache>
            </c:strRef>
          </c:tx>
          <c:spPr>
            <a:ln w="28575" cap="rnd">
              <a:solidFill>
                <a:schemeClr val="accent2"/>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moneyness'!$U$10:$U$89</c:f>
              <c:numCache>
                <c:formatCode>0.000</c:formatCode>
                <c:ptCount val="80"/>
                <c:pt idx="0">
                  <c:v>4.395458439819572E-58</c:v>
                </c:pt>
                <c:pt idx="1">
                  <c:v>1.6921622405669848E-52</c:v>
                </c:pt>
                <c:pt idx="2">
                  <c:v>2.0050298060054014E-47</c:v>
                </c:pt>
                <c:pt idx="3">
                  <c:v>8.2907118144467307E-43</c:v>
                </c:pt>
                <c:pt idx="4">
                  <c:v>1.3330425104341684E-38</c:v>
                </c:pt>
                <c:pt idx="5">
                  <c:v>9.1536176324798155E-35</c:v>
                </c:pt>
                <c:pt idx="6">
                  <c:v>2.912795478218618E-31</c:v>
                </c:pt>
                <c:pt idx="7">
                  <c:v>4.6137589985816371E-28</c:v>
                </c:pt>
                <c:pt idx="8">
                  <c:v>3.8739121848583243E-25</c:v>
                </c:pt>
                <c:pt idx="9">
                  <c:v>1.8227767994096661E-22</c:v>
                </c:pt>
                <c:pt idx="10">
                  <c:v>5.0491512328974801E-20</c:v>
                </c:pt>
                <c:pt idx="11">
                  <c:v>8.603387792285688E-18</c:v>
                </c:pt>
                <c:pt idx="12">
                  <c:v>9.3782461855921742E-16</c:v>
                </c:pt>
                <c:pt idx="13">
                  <c:v>6.7740062648719335E-14</c:v>
                </c:pt>
                <c:pt idx="14">
                  <c:v>3.3463646353114882E-12</c:v>
                </c:pt>
                <c:pt idx="15">
                  <c:v>1.1632915425836288E-10</c:v>
                </c:pt>
                <c:pt idx="16">
                  <c:v>2.9200512556532506E-9</c:v>
                </c:pt>
                <c:pt idx="17">
                  <c:v>5.4179196459736881E-8</c:v>
                </c:pt>
                <c:pt idx="18">
                  <c:v>7.5900243053260085E-7</c:v>
                </c:pt>
                <c:pt idx="19">
                  <c:v>8.1851973827890265E-6</c:v>
                </c:pt>
                <c:pt idx="20">
                  <c:v>6.9161735251065242E-5</c:v>
                </c:pt>
                <c:pt idx="21">
                  <c:v>4.6534544594257273E-4</c:v>
                </c:pt>
                <c:pt idx="22">
                  <c:v>2.5304349372573132E-3</c:v>
                </c:pt>
                <c:pt idx="23">
                  <c:v>1.127294163382055E-2</c:v>
                </c:pt>
                <c:pt idx="24">
                  <c:v>4.1662139927933758E-2</c:v>
                </c:pt>
                <c:pt idx="25">
                  <c:v>0.12921767526788969</c:v>
                </c:pt>
                <c:pt idx="26">
                  <c:v>0.33994371507140186</c:v>
                </c:pt>
                <c:pt idx="27">
                  <c:v>0.76608462536568767</c:v>
                </c:pt>
                <c:pt idx="28">
                  <c:v>1.4924315634309078</c:v>
                </c:pt>
                <c:pt idx="29">
                  <c:v>2.5347520115477558</c:v>
                </c:pt>
                <c:pt idx="30">
                  <c:v>3.7827970873115544</c:v>
                </c:pt>
                <c:pt idx="31">
                  <c:v>4.9969029085702417</c:v>
                </c:pt>
                <c:pt idx="32">
                  <c:v>5.8823926927867314</c:v>
                </c:pt>
                <c:pt idx="33">
                  <c:v>6.2105048470703972</c:v>
                </c:pt>
                <c:pt idx="34">
                  <c:v>5.9154848808362015</c:v>
                </c:pt>
                <c:pt idx="35">
                  <c:v>5.1114755583316853</c:v>
                </c:pt>
                <c:pt idx="36">
                  <c:v>4.0275540177572733</c:v>
                </c:pt>
                <c:pt idx="37">
                  <c:v>2.9078982077717987</c:v>
                </c:pt>
                <c:pt idx="38">
                  <c:v>1.9325529504785537</c:v>
                </c:pt>
                <c:pt idx="39">
                  <c:v>1.1872651881492868</c:v>
                </c:pt>
                <c:pt idx="40">
                  <c:v>0.67696346382515349</c:v>
                </c:pt>
                <c:pt idx="41">
                  <c:v>0.359597409214928</c:v>
                </c:pt>
                <c:pt idx="42">
                  <c:v>0.17858197183061941</c:v>
                </c:pt>
                <c:pt idx="43">
                  <c:v>8.3190650317981285E-2</c:v>
                </c:pt>
                <c:pt idx="44">
                  <c:v>3.6466152680361505E-2</c:v>
                </c:pt>
                <c:pt idx="45">
                  <c:v>1.5085821578525737E-2</c:v>
                </c:pt>
                <c:pt idx="46">
                  <c:v>5.9064210110416539E-3</c:v>
                </c:pt>
                <c:pt idx="47">
                  <c:v>2.1943288931561048E-3</c:v>
                </c:pt>
                <c:pt idx="48">
                  <c:v>7.7550317552135231E-4</c:v>
                </c:pt>
                <c:pt idx="49">
                  <c:v>2.6133282294497521E-4</c:v>
                </c:pt>
                <c:pt idx="50">
                  <c:v>8.4159279375561061E-5</c:v>
                </c:pt>
                <c:pt idx="51">
                  <c:v>2.5955271565292194E-5</c:v>
                </c:pt>
                <c:pt idx="52">
                  <c:v>7.6812957850623771E-6</c:v>
                </c:pt>
                <c:pt idx="53">
                  <c:v>2.185513819001359E-6</c:v>
                </c:pt>
                <c:pt idx="54">
                  <c:v>5.9891526631344486E-7</c:v>
                </c:pt>
                <c:pt idx="55">
                  <c:v>1.5834813431084557E-7</c:v>
                </c:pt>
                <c:pt idx="56">
                  <c:v>4.0457777870826615E-8</c:v>
                </c:pt>
                <c:pt idx="57">
                  <c:v>1.0004684323787459E-8</c:v>
                </c:pt>
                <c:pt idx="58">
                  <c:v>2.398031675622553E-9</c:v>
                </c:pt>
                <c:pt idx="59">
                  <c:v>5.5790915977161137E-10</c:v>
                </c:pt>
                <c:pt idx="60">
                  <c:v>1.2615568396049822E-10</c:v>
                </c:pt>
                <c:pt idx="61">
                  <c:v>2.7760999468151137E-11</c:v>
                </c:pt>
                <c:pt idx="62">
                  <c:v>5.9521320038177422E-12</c:v>
                </c:pt>
                <c:pt idx="63">
                  <c:v>1.2448554660500058E-12</c:v>
                </c:pt>
                <c:pt idx="64">
                  <c:v>2.5424406717808624E-13</c:v>
                </c:pt>
                <c:pt idx="65">
                  <c:v>5.0760159452662208E-14</c:v>
                </c:pt>
                <c:pt idx="66">
                  <c:v>9.9167516169793804E-15</c:v>
                </c:pt>
                <c:pt idx="67">
                  <c:v>1.8976000777382181E-15</c:v>
                </c:pt>
                <c:pt idx="68">
                  <c:v>3.5597926601265794E-16</c:v>
                </c:pt>
                <c:pt idx="69">
                  <c:v>6.5525130469482017E-17</c:v>
                </c:pt>
                <c:pt idx="70">
                  <c:v>1.1844481385562845E-17</c:v>
                </c:pt>
                <c:pt idx="71">
                  <c:v>2.10423958511102E-18</c:v>
                </c:pt>
                <c:pt idx="72">
                  <c:v>3.6768537766022698E-19</c:v>
                </c:pt>
                <c:pt idx="73">
                  <c:v>6.3237751527593444E-20</c:v>
                </c:pt>
                <c:pt idx="74">
                  <c:v>1.0712694818709204E-20</c:v>
                </c:pt>
                <c:pt idx="75">
                  <c:v>1.7886849226154591E-21</c:v>
                </c:pt>
                <c:pt idx="76">
                  <c:v>2.9455074395434999E-22</c:v>
                </c:pt>
                <c:pt idx="77">
                  <c:v>4.7867896559364292E-23</c:v>
                </c:pt>
                <c:pt idx="78">
                  <c:v>7.6814332067008497E-24</c:v>
                </c:pt>
                <c:pt idx="79">
                  <c:v>1.2178649340581982E-24</c:v>
                </c:pt>
              </c:numCache>
            </c:numRef>
          </c:val>
          <c:smooth val="0"/>
          <c:extLst>
            <c:ext xmlns:c16="http://schemas.microsoft.com/office/drawing/2014/chart" uri="{C3380CC4-5D6E-409C-BE32-E72D297353CC}">
              <c16:uniqueId val="{00000001-6B66-49FC-922D-9DD0AF584F85}"/>
            </c:ext>
          </c:extLst>
        </c:ser>
        <c:ser>
          <c:idx val="2"/>
          <c:order val="2"/>
          <c:tx>
            <c:strRef>
              <c:f>'1.a) Greeks vs moneyness'!$V$9</c:f>
              <c:strCache>
                <c:ptCount val="1"/>
                <c:pt idx="0">
                  <c:v>Vega RR</c:v>
                </c:pt>
              </c:strCache>
            </c:strRef>
          </c:tx>
          <c:spPr>
            <a:ln w="28575" cap="rnd">
              <a:solidFill>
                <a:schemeClr val="accent3"/>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moneyness'!$V$10:$V$89</c:f>
              <c:numCache>
                <c:formatCode>0.000</c:formatCode>
                <c:ptCount val="80"/>
                <c:pt idx="0">
                  <c:v>7.0129964458628712E-29</c:v>
                </c:pt>
                <c:pt idx="1">
                  <c:v>1.395942328662986E-26</c:v>
                </c:pt>
                <c:pt idx="2">
                  <c:v>1.7939466028077016E-24</c:v>
                </c:pt>
                <c:pt idx="3">
                  <c:v>1.5580030642096761E-22</c:v>
                </c:pt>
                <c:pt idx="4">
                  <c:v>9.5117184632683494E-21</c:v>
                </c:pt>
                <c:pt idx="5">
                  <c:v>4.2241032982080139E-19</c:v>
                </c:pt>
                <c:pt idx="6">
                  <c:v>1.4059017164406537E-17</c:v>
                </c:pt>
                <c:pt idx="7">
                  <c:v>3.5998585263848884E-16</c:v>
                </c:pt>
                <c:pt idx="8">
                  <c:v>7.2566948931034016E-15</c:v>
                </c:pt>
                <c:pt idx="9">
                  <c:v>1.1753708755767033E-13</c:v>
                </c:pt>
                <c:pt idx="10">
                  <c:v>1.5576302867599327E-12</c:v>
                </c:pt>
                <c:pt idx="11">
                  <c:v>1.7164278604248144E-11</c:v>
                </c:pt>
                <c:pt idx="12">
                  <c:v>1.5956475463574743E-10</c:v>
                </c:pt>
                <c:pt idx="13">
                  <c:v>1.2677130885991368E-9</c:v>
                </c:pt>
                <c:pt idx="14">
                  <c:v>8.7066427661630323E-9</c:v>
                </c:pt>
                <c:pt idx="15">
                  <c:v>5.217697212072878E-8</c:v>
                </c:pt>
                <c:pt idx="16">
                  <c:v>2.7408206699964457E-7</c:v>
                </c:pt>
                <c:pt idx="17">
                  <c:v>1.251691459925063E-6</c:v>
                </c:pt>
                <c:pt idx="18">
                  <c:v>4.7634268753768553E-6</c:v>
                </c:pt>
                <c:pt idx="19">
                  <c:v>1.2915900540502394E-5</c:v>
                </c:pt>
                <c:pt idx="20">
                  <c:v>4.169419166825867E-6</c:v>
                </c:pt>
                <c:pt idx="21">
                  <c:v>-2.3215838099515906E-4</c:v>
                </c:pt>
                <c:pt idx="22">
                  <c:v>-1.848156274075433E-3</c:v>
                </c:pt>
                <c:pt idx="23">
                  <c:v>-9.4267520206705469E-3</c:v>
                </c:pt>
                <c:pt idx="24">
                  <c:v>-3.7020303975623191E-2</c:v>
                </c:pt>
                <c:pt idx="25">
                  <c:v>-0.11832619398478143</c:v>
                </c:pt>
                <c:pt idx="26">
                  <c:v>-0.31599896239975184</c:v>
                </c:pt>
                <c:pt idx="27">
                  <c:v>-0.71657681821625208</c:v>
                </c:pt>
                <c:pt idx="28">
                  <c:v>-1.3958323613344759</c:v>
                </c:pt>
                <c:pt idx="29">
                  <c:v>-2.3563088591819481</c:v>
                </c:pt>
                <c:pt idx="30">
                  <c:v>-3.4697962501058459</c:v>
                </c:pt>
                <c:pt idx="31">
                  <c:v>-4.4741285007294342</c:v>
                </c:pt>
                <c:pt idx="32">
                  <c:v>-5.0488477934776803</c:v>
                </c:pt>
                <c:pt idx="33">
                  <c:v>-4.9386496383744785</c:v>
                </c:pt>
                <c:pt idx="34">
                  <c:v>-4.0541690944878201</c:v>
                </c:pt>
                <c:pt idx="35">
                  <c:v>-2.4933349398995146</c:v>
                </c:pt>
                <c:pt idx="36">
                  <c:v>-0.48092902922923325</c:v>
                </c:pt>
                <c:pt idx="37">
                  <c:v>1.7275572642312249</c:v>
                </c:pt>
                <c:pt idx="38">
                  <c:v>3.9231699430407385</c:v>
                </c:pt>
                <c:pt idx="39">
                  <c:v>5.9740053440550813</c:v>
                </c:pt>
                <c:pt idx="40">
                  <c:v>7.8146335556183422</c:v>
                </c:pt>
                <c:pt idx="41">
                  <c:v>9.4174456871700851</c:v>
                </c:pt>
                <c:pt idx="42">
                  <c:v>10.766961743579683</c:v>
                </c:pt>
                <c:pt idx="43">
                  <c:v>11.846738203469398</c:v>
                </c:pt>
                <c:pt idx="44">
                  <c:v>12.638205705930277</c:v>
                </c:pt>
                <c:pt idx="45">
                  <c:v>13.126033978195538</c:v>
                </c:pt>
                <c:pt idx="46">
                  <c:v>13.304642936875018</c:v>
                </c:pt>
                <c:pt idx="47">
                  <c:v>13.182598088873018</c:v>
                </c:pt>
                <c:pt idx="48">
                  <c:v>12.783800722743448</c:v>
                </c:pt>
                <c:pt idx="49">
                  <c:v>12.145784613506528</c:v>
                </c:pt>
                <c:pt idx="50">
                  <c:v>11.31605022424273</c:v>
                </c:pt>
                <c:pt idx="51">
                  <c:v>10.347474857358726</c:v>
                </c:pt>
                <c:pt idx="52">
                  <c:v>9.2936872148972913</c:v>
                </c:pt>
                <c:pt idx="53">
                  <c:v>8.2050470518364342</c:v>
                </c:pt>
                <c:pt idx="54">
                  <c:v>7.1256089987808791</c:v>
                </c:pt>
                <c:pt idx="55">
                  <c:v>6.0912163176308249</c:v>
                </c:pt>
                <c:pt idx="56">
                  <c:v>5.1286865206143695</c:v>
                </c:pt>
                <c:pt idx="57">
                  <c:v>4.2559251286518816</c:v>
                </c:pt>
                <c:pt idx="58">
                  <c:v>3.4827356348837308</c:v>
                </c:pt>
                <c:pt idx="59">
                  <c:v>2.8120750369427485</c:v>
                </c:pt>
                <c:pt idx="60">
                  <c:v>2.2415227297846769</c:v>
                </c:pt>
                <c:pt idx="61">
                  <c:v>1.7647722582472563</c:v>
                </c:pt>
                <c:pt idx="62">
                  <c:v>1.3730075937652033</c:v>
                </c:pt>
                <c:pt idx="63">
                  <c:v>1.0560780535725995</c:v>
                </c:pt>
                <c:pt idx="64">
                  <c:v>0.803431877844347</c:v>
                </c:pt>
                <c:pt idx="65">
                  <c:v>0.60480419942059571</c:v>
                </c:pt>
                <c:pt idx="66">
                  <c:v>0.45067969735126917</c:v>
                </c:pt>
                <c:pt idx="67">
                  <c:v>0.33256447410422713</c:v>
                </c:pt>
                <c:pt idx="68">
                  <c:v>0.24310753875241797</c:v>
                </c:pt>
                <c:pt idx="69">
                  <c:v>0.17611200804231963</c:v>
                </c:pt>
                <c:pt idx="70">
                  <c:v>0.12647197406179711</c:v>
                </c:pt>
                <c:pt idx="71">
                  <c:v>9.0064804590163264E-2</c:v>
                </c:pt>
                <c:pt idx="72">
                  <c:v>6.3621850900413321E-2</c:v>
                </c:pt>
                <c:pt idx="73">
                  <c:v>4.4594082264861182E-2</c:v>
                </c:pt>
                <c:pt idx="74">
                  <c:v>3.1023587861388584E-2</c:v>
                </c:pt>
                <c:pt idx="75">
                  <c:v>2.1427415827122116E-2</c:v>
                </c:pt>
                <c:pt idx="76">
                  <c:v>1.4696872506766222E-2</c:v>
                </c:pt>
                <c:pt idx="77">
                  <c:v>1.0013070009183989E-2</c:v>
                </c:pt>
                <c:pt idx="78">
                  <c:v>6.778011584908138E-3</c:v>
                </c:pt>
                <c:pt idx="79">
                  <c:v>4.5596500350905522E-3</c:v>
                </c:pt>
              </c:numCache>
            </c:numRef>
          </c:val>
          <c:smooth val="0"/>
          <c:extLst>
            <c:ext xmlns:c16="http://schemas.microsoft.com/office/drawing/2014/chart" uri="{C3380CC4-5D6E-409C-BE32-E72D297353CC}">
              <c16:uniqueId val="{00000002-6B66-49FC-922D-9DD0AF584F85}"/>
            </c:ext>
          </c:extLst>
        </c:ser>
        <c:dLbls>
          <c:showLegendKey val="0"/>
          <c:showVal val="0"/>
          <c:showCatName val="0"/>
          <c:showSerName val="0"/>
          <c:showPercent val="0"/>
          <c:showBubbleSize val="0"/>
        </c:dLbls>
        <c:smooth val="0"/>
        <c:axId val="1707342960"/>
        <c:axId val="1707343376"/>
      </c:lineChart>
      <c:catAx>
        <c:axId val="170734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343376"/>
        <c:crosses val="autoZero"/>
        <c:auto val="1"/>
        <c:lblAlgn val="ctr"/>
        <c:lblOffset val="100"/>
        <c:noMultiLvlLbl val="0"/>
      </c:catAx>
      <c:valAx>
        <c:axId val="17073433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34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Theta </a:t>
            </a:r>
            <a:r>
              <a:rPr lang="fr-FR" sz="1400" b="0" i="0" u="none" strike="noStrike" baseline="0">
                <a:effectLst/>
              </a:rPr>
              <a:t>VS Moneyness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'1.a) Greeks vs moneyness'!$W$9</c:f>
              <c:strCache>
                <c:ptCount val="1"/>
                <c:pt idx="0">
                  <c:v>Theta Call</c:v>
                </c:pt>
              </c:strCache>
            </c:strRef>
          </c:tx>
          <c:spPr>
            <a:ln w="28575" cap="rnd">
              <a:solidFill>
                <a:schemeClr val="accent1"/>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moneyness'!$W$10:$W$89</c:f>
              <c:numCache>
                <c:formatCode>0.000</c:formatCode>
                <c:ptCount val="80"/>
                <c:pt idx="0">
                  <c:v>-5.6105868353386647E-29</c:v>
                </c:pt>
                <c:pt idx="1">
                  <c:v>-1.1371543681263659E-26</c:v>
                </c:pt>
                <c:pt idx="2">
                  <c:v>-1.4353612872981211E-24</c:v>
                </c:pt>
                <c:pt idx="3">
                  <c:v>-1.3277611890972263E-22</c:v>
                </c:pt>
                <c:pt idx="4">
                  <c:v>-7.6175106443876282E-21</c:v>
                </c:pt>
                <c:pt idx="5">
                  <c:v>-4.5842996885462225E-19</c:v>
                </c:pt>
                <c:pt idx="6">
                  <c:v>-1.1367715436523444E-17</c:v>
                </c:pt>
                <c:pt idx="7">
                  <c:v>-2.8810918381615818E-16</c:v>
                </c:pt>
                <c:pt idx="8">
                  <c:v>-6.469580668449753E-15</c:v>
                </c:pt>
                <c:pt idx="9">
                  <c:v>-9.4693894945615536E-14</c:v>
                </c:pt>
                <c:pt idx="10">
                  <c:v>-1.2467684945548133E-12</c:v>
                </c:pt>
                <c:pt idx="11">
                  <c:v>-1.5097911938018951E-11</c:v>
                </c:pt>
                <c:pt idx="12">
                  <c:v>-1.29019036140203E-10</c:v>
                </c:pt>
                <c:pt idx="13">
                  <c:v>-1.0155911451013386E-9</c:v>
                </c:pt>
                <c:pt idx="14">
                  <c:v>-6.9693577868105854E-9</c:v>
                </c:pt>
                <c:pt idx="15">
                  <c:v>-4.2888040937353817E-8</c:v>
                </c:pt>
                <c:pt idx="16">
                  <c:v>-2.2265509452160239E-7</c:v>
                </c:pt>
                <c:pt idx="17">
                  <c:v>-1.045749925025204E-6</c:v>
                </c:pt>
                <c:pt idx="18">
                  <c:v>-4.724007222891233E-6</c:v>
                </c:pt>
                <c:pt idx="19">
                  <c:v>-1.7186942116796805E-5</c:v>
                </c:pt>
                <c:pt idx="20">
                  <c:v>-5.8970987312476559E-5</c:v>
                </c:pt>
                <c:pt idx="21">
                  <c:v>-1.8685571573609462E-4</c:v>
                </c:pt>
                <c:pt idx="22">
                  <c:v>-5.7963896675640989E-4</c:v>
                </c:pt>
                <c:pt idx="23">
                  <c:v>-1.5107677267309078E-3</c:v>
                </c:pt>
                <c:pt idx="24">
                  <c:v>-3.7472847980593569E-3</c:v>
                </c:pt>
                <c:pt idx="25">
                  <c:v>-8.7470010626975146E-3</c:v>
                </c:pt>
                <c:pt idx="26">
                  <c:v>-1.9189618173530945E-2</c:v>
                </c:pt>
                <c:pt idx="27">
                  <c:v>-4.1047559608001702E-2</c:v>
                </c:pt>
                <c:pt idx="28">
                  <c:v>-7.8720675565598724E-2</c:v>
                </c:pt>
                <c:pt idx="29">
                  <c:v>-0.14419583578109926</c:v>
                </c:pt>
                <c:pt idx="30">
                  <c:v>-0.25184198365302002</c:v>
                </c:pt>
                <c:pt idx="31">
                  <c:v>-0.41966084016109872</c:v>
                </c:pt>
                <c:pt idx="32">
                  <c:v>-0.69112670317514679</c:v>
                </c:pt>
                <c:pt idx="33">
                  <c:v>-1.041774950684641</c:v>
                </c:pt>
                <c:pt idx="34">
                  <c:v>-1.513343412806611</c:v>
                </c:pt>
                <c:pt idx="35">
                  <c:v>-2.1188032784736421</c:v>
                </c:pt>
                <c:pt idx="36">
                  <c:v>-2.8615907745503373</c:v>
                </c:pt>
                <c:pt idx="37">
                  <c:v>-3.8777638549031836</c:v>
                </c:pt>
                <c:pt idx="38">
                  <c:v>-4.8539777921161988</c:v>
                </c:pt>
                <c:pt idx="39">
                  <c:v>-5.8984159030642589</c:v>
                </c:pt>
                <c:pt idx="40">
                  <c:v>-6.9626770928555617</c:v>
                </c:pt>
                <c:pt idx="41">
                  <c:v>-7.991033954408775</c:v>
                </c:pt>
                <c:pt idx="42">
                  <c:v>-8.9258344496290061</c:v>
                </c:pt>
                <c:pt idx="43">
                  <c:v>-10.077803365318283</c:v>
                </c:pt>
                <c:pt idx="44">
                  <c:v>-10.67359776917689</c:v>
                </c:pt>
                <c:pt idx="45">
                  <c:v>-11.046756122107631</c:v>
                </c:pt>
                <c:pt idx="46">
                  <c:v>-11.182299768597227</c:v>
                </c:pt>
                <c:pt idx="47">
                  <c:v>-11.081694216501319</c:v>
                </c:pt>
                <c:pt idx="48">
                  <c:v>-10.761521263023557</c:v>
                </c:pt>
                <c:pt idx="49">
                  <c:v>-10.250697039351959</c:v>
                </c:pt>
                <c:pt idx="50">
                  <c:v>-9.9512285940936795</c:v>
                </c:pt>
                <c:pt idx="51">
                  <c:v>-9.1763217373802277</c:v>
                </c:pt>
                <c:pt idx="52">
                  <c:v>-8.3332770042304549</c:v>
                </c:pt>
                <c:pt idx="53">
                  <c:v>-7.4623604771561975</c:v>
                </c:pt>
                <c:pt idx="54">
                  <c:v>-6.5988087654329117</c:v>
                </c:pt>
                <c:pt idx="55">
                  <c:v>-5.7712942680591626</c:v>
                </c:pt>
                <c:pt idx="56">
                  <c:v>-5.0012703361337127</c:v>
                </c:pt>
                <c:pt idx="57">
                  <c:v>-4.4481698917741062</c:v>
                </c:pt>
                <c:pt idx="58">
                  <c:v>-3.8296182906742633</c:v>
                </c:pt>
                <c:pt idx="59">
                  <c:v>-3.2930898108493794</c:v>
                </c:pt>
                <c:pt idx="60">
                  <c:v>-2.8366479647775193</c:v>
                </c:pt>
                <c:pt idx="61">
                  <c:v>-2.4552475874688673</c:v>
                </c:pt>
                <c:pt idx="62">
                  <c:v>-2.1418358558657777</c:v>
                </c:pt>
                <c:pt idx="63">
                  <c:v>-1.8882922237079287</c:v>
                </c:pt>
                <c:pt idx="64">
                  <c:v>-1.6861752831245342</c:v>
                </c:pt>
                <c:pt idx="65">
                  <c:v>-1.5272731403853705</c:v>
                </c:pt>
                <c:pt idx="66">
                  <c:v>-1.426823008569329</c:v>
                </c:pt>
                <c:pt idx="67">
                  <c:v>-1.3323308299716889</c:v>
                </c:pt>
                <c:pt idx="68">
                  <c:v>-1.2607652816902404</c:v>
                </c:pt>
                <c:pt idx="69">
                  <c:v>-1.2071688571221615</c:v>
                </c:pt>
                <c:pt idx="70">
                  <c:v>-1.1674568299377435</c:v>
                </c:pt>
                <c:pt idx="71">
                  <c:v>-1.1383310943604363</c:v>
                </c:pt>
                <c:pt idx="72">
                  <c:v>-1.1171767314086365</c:v>
                </c:pt>
                <c:pt idx="73">
                  <c:v>-1.1019545165001947</c:v>
                </c:pt>
                <c:pt idx="74">
                  <c:v>-1.0910981209774167</c:v>
                </c:pt>
                <c:pt idx="75">
                  <c:v>-1.0848286812022456</c:v>
                </c:pt>
                <c:pt idx="76">
                  <c:v>-1.0794442465459611</c:v>
                </c:pt>
                <c:pt idx="77">
                  <c:v>-1.0756972045478952</c:v>
                </c:pt>
                <c:pt idx="78">
                  <c:v>-1.0731091578084746</c:v>
                </c:pt>
                <c:pt idx="79">
                  <c:v>-1.0713344685686204</c:v>
                </c:pt>
              </c:numCache>
            </c:numRef>
          </c:val>
          <c:smooth val="0"/>
          <c:extLst>
            <c:ext xmlns:c16="http://schemas.microsoft.com/office/drawing/2014/chart" uri="{C3380CC4-5D6E-409C-BE32-E72D297353CC}">
              <c16:uniqueId val="{00000000-3B3B-42D3-A129-0343E485B30B}"/>
            </c:ext>
          </c:extLst>
        </c:ser>
        <c:ser>
          <c:idx val="1"/>
          <c:order val="1"/>
          <c:tx>
            <c:strRef>
              <c:f>'1.a) Greeks vs moneyness'!$X$9</c:f>
              <c:strCache>
                <c:ptCount val="1"/>
                <c:pt idx="0">
                  <c:v>Theta Put</c:v>
                </c:pt>
              </c:strCache>
            </c:strRef>
          </c:tx>
          <c:spPr>
            <a:ln w="28575" cap="rnd">
              <a:solidFill>
                <a:schemeClr val="accent2"/>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moneyness'!$X$10:$X$89</c:f>
              <c:numCache>
                <c:formatCode>0.000</c:formatCode>
                <c:ptCount val="80"/>
                <c:pt idx="0">
                  <c:v>-2.378410647815857E-57</c:v>
                </c:pt>
                <c:pt idx="1">
                  <c:v>-7.0341918532767196E-52</c:v>
                </c:pt>
                <c:pt idx="2">
                  <c:v>-8.3350691361252999E-47</c:v>
                </c:pt>
                <c:pt idx="3">
                  <c:v>-3.4531088260881343E-42</c:v>
                </c:pt>
                <c:pt idx="4">
                  <c:v>-6.0691724325025113E-38</c:v>
                </c:pt>
                <c:pt idx="5">
                  <c:v>-3.8051401768808487E-34</c:v>
                </c:pt>
                <c:pt idx="6">
                  <c:v>-1.2123591778807419E-30</c:v>
                </c:pt>
                <c:pt idx="7">
                  <c:v>-2.0827646257883224E-27</c:v>
                </c:pt>
                <c:pt idx="8">
                  <c:v>-1.6105199158022732E-24</c:v>
                </c:pt>
                <c:pt idx="9">
                  <c:v>-7.6428886737611615E-22</c:v>
                </c:pt>
                <c:pt idx="10">
                  <c:v>-2.0989585007225102E-19</c:v>
                </c:pt>
                <c:pt idx="11">
                  <c:v>-3.5860991567823084E-17</c:v>
                </c:pt>
                <c:pt idx="12">
                  <c:v>-3.8985611111518479E-15</c:v>
                </c:pt>
                <c:pt idx="13">
                  <c:v>-2.8212692733367005E-13</c:v>
                </c:pt>
                <c:pt idx="14">
                  <c:v>-1.3911113340443387E-11</c:v>
                </c:pt>
                <c:pt idx="15">
                  <c:v>-4.8467549806113077E-10</c:v>
                </c:pt>
                <c:pt idx="16">
                  <c:v>-1.2139529409868474E-8</c:v>
                </c:pt>
                <c:pt idx="17">
                  <c:v>-2.2606996628935648E-7</c:v>
                </c:pt>
                <c:pt idx="18">
                  <c:v>-3.1559651305354657E-6</c:v>
                </c:pt>
                <c:pt idx="19">
                  <c:v>-3.4272563524272364E-5</c:v>
                </c:pt>
                <c:pt idx="20">
                  <c:v>-2.8774727150227735E-4</c:v>
                </c:pt>
                <c:pt idx="21">
                  <c:v>-1.9617321850499288E-3</c:v>
                </c:pt>
                <c:pt idx="22">
                  <c:v>-1.0546147995770807E-2</c:v>
                </c:pt>
                <c:pt idx="23">
                  <c:v>-4.6888065877271623E-2</c:v>
                </c:pt>
                <c:pt idx="24">
                  <c:v>-0.17435102131039762</c:v>
                </c:pt>
                <c:pt idx="25">
                  <c:v>-0.53831254697286823</c:v>
                </c:pt>
                <c:pt idx="26">
                  <c:v>-1.4327494102372875</c:v>
                </c:pt>
                <c:pt idx="27">
                  <c:v>-3.204183908989338</c:v>
                </c:pt>
                <c:pt idx="28">
                  <c:v>-6.2235514305518489</c:v>
                </c:pt>
                <c:pt idx="29">
                  <c:v>-10.673661734948855</c:v>
                </c:pt>
                <c:pt idx="30">
                  <c:v>-15.861687690210571</c:v>
                </c:pt>
                <c:pt idx="31">
                  <c:v>-20.908630813855012</c:v>
                </c:pt>
                <c:pt idx="32">
                  <c:v>-24.884071617377845</c:v>
                </c:pt>
                <c:pt idx="33">
                  <c:v>-26.248008229698293</c:v>
                </c:pt>
                <c:pt idx="34">
                  <c:v>-25.021633259862579</c:v>
                </c:pt>
                <c:pt idx="35">
                  <c:v>-21.973958162146172</c:v>
                </c:pt>
                <c:pt idx="36">
                  <c:v>-17.468180930882461</c:v>
                </c:pt>
                <c:pt idx="37">
                  <c:v>-12.813859131159598</c:v>
                </c:pt>
                <c:pt idx="38">
                  <c:v>-8.8766906008536104</c:v>
                </c:pt>
                <c:pt idx="39">
                  <c:v>-5.7785875513809497</c:v>
                </c:pt>
                <c:pt idx="40">
                  <c:v>-3.6573031184543754</c:v>
                </c:pt>
                <c:pt idx="41">
                  <c:v>-2.3380372036161607</c:v>
                </c:pt>
                <c:pt idx="42">
                  <c:v>-1.6040353262692439</c:v>
                </c:pt>
                <c:pt idx="43">
                  <c:v>-1.2075010491627782</c:v>
                </c:pt>
                <c:pt idx="44">
                  <c:v>-1.0132709598832037</c:v>
                </c:pt>
                <c:pt idx="45">
                  <c:v>-0.92439459248074451</c:v>
                </c:pt>
                <c:pt idx="46">
                  <c:v>-0.88737397124363404</c:v>
                </c:pt>
                <c:pt idx="47">
                  <c:v>-0.87194309408230508</c:v>
                </c:pt>
                <c:pt idx="48">
                  <c:v>-0.86604514633023599</c:v>
                </c:pt>
                <c:pt idx="49">
                  <c:v>-0.86390778031165716</c:v>
                </c:pt>
                <c:pt idx="50">
                  <c:v>-0.86319836387656124</c:v>
                </c:pt>
                <c:pt idx="51">
                  <c:v>-0.86295641435960557</c:v>
                </c:pt>
                <c:pt idx="52">
                  <c:v>-0.86288045086878729</c:v>
                </c:pt>
                <c:pt idx="53">
                  <c:v>-0.86285760533216516</c:v>
                </c:pt>
                <c:pt idx="54">
                  <c:v>-0.86285125645151406</c:v>
                </c:pt>
                <c:pt idx="55">
                  <c:v>-0.86284942504833784</c:v>
                </c:pt>
                <c:pt idx="56">
                  <c:v>-0.86284893498732884</c:v>
                </c:pt>
                <c:pt idx="57">
                  <c:v>-0.86284880839619615</c:v>
                </c:pt>
                <c:pt idx="58">
                  <c:v>-0.86284877762610657</c:v>
                </c:pt>
                <c:pt idx="59">
                  <c:v>-0.86284876997686089</c:v>
                </c:pt>
                <c:pt idx="60">
                  <c:v>-0.86284876818209544</c:v>
                </c:pt>
                <c:pt idx="61">
                  <c:v>-0.8628487677730764</c:v>
                </c:pt>
                <c:pt idx="62">
                  <c:v>-0.86284876768241858</c:v>
                </c:pt>
                <c:pt idx="63">
                  <c:v>-0.86284876766395457</c:v>
                </c:pt>
                <c:pt idx="64">
                  <c:v>-0.86284876765983665</c:v>
                </c:pt>
                <c:pt idx="65">
                  <c:v>-0.86284876765899088</c:v>
                </c:pt>
                <c:pt idx="66">
                  <c:v>-0.86284876765882101</c:v>
                </c:pt>
                <c:pt idx="67">
                  <c:v>-0.86284876765878771</c:v>
                </c:pt>
                <c:pt idx="68">
                  <c:v>-0.86284876765878193</c:v>
                </c:pt>
                <c:pt idx="69">
                  <c:v>-0.86284876765878071</c:v>
                </c:pt>
                <c:pt idx="70">
                  <c:v>-0.86284876765878049</c:v>
                </c:pt>
                <c:pt idx="71">
                  <c:v>-0.86284876765878038</c:v>
                </c:pt>
                <c:pt idx="72">
                  <c:v>-0.86284876765878038</c:v>
                </c:pt>
                <c:pt idx="73">
                  <c:v>-0.86284876765878038</c:v>
                </c:pt>
                <c:pt idx="74">
                  <c:v>-0.86284876765878038</c:v>
                </c:pt>
                <c:pt idx="75">
                  <c:v>-0.86284876765878038</c:v>
                </c:pt>
                <c:pt idx="76">
                  <c:v>-0.86284876765878038</c:v>
                </c:pt>
                <c:pt idx="77">
                  <c:v>-0.86284876765878038</c:v>
                </c:pt>
                <c:pt idx="78">
                  <c:v>-0.86284876765878038</c:v>
                </c:pt>
                <c:pt idx="79">
                  <c:v>-0.86284876765878038</c:v>
                </c:pt>
              </c:numCache>
            </c:numRef>
          </c:val>
          <c:smooth val="0"/>
          <c:extLst>
            <c:ext xmlns:c16="http://schemas.microsoft.com/office/drawing/2014/chart" uri="{C3380CC4-5D6E-409C-BE32-E72D297353CC}">
              <c16:uniqueId val="{00000001-3B3B-42D3-A129-0343E485B30B}"/>
            </c:ext>
          </c:extLst>
        </c:ser>
        <c:ser>
          <c:idx val="2"/>
          <c:order val="2"/>
          <c:tx>
            <c:strRef>
              <c:f>'1.a) Greeks vs moneyness'!$Y$9</c:f>
              <c:strCache>
                <c:ptCount val="1"/>
                <c:pt idx="0">
                  <c:v>Theta RR</c:v>
                </c:pt>
              </c:strCache>
            </c:strRef>
          </c:tx>
          <c:spPr>
            <a:ln w="28575" cap="rnd">
              <a:solidFill>
                <a:schemeClr val="accent3"/>
              </a:solidFill>
              <a:round/>
            </a:ln>
            <a:effectLst/>
          </c:spPr>
          <c:marker>
            <c:symbol val="none"/>
          </c:marker>
          <c:cat>
            <c:numRef>
              <c:f>'1.a) Greeks vs moneyness'!$M$10:$M$89</c:f>
              <c:numCache>
                <c:formatCode>General</c:formatCode>
                <c:ptCount val="80"/>
                <c:pt idx="0">
                  <c:v>21</c:v>
                </c:pt>
                <c:pt idx="1">
                  <c:v>22</c:v>
                </c:pt>
                <c:pt idx="2">
                  <c:v>23</c:v>
                </c:pt>
                <c:pt idx="3">
                  <c:v>24</c:v>
                </c:pt>
                <c:pt idx="4">
                  <c:v>25</c:v>
                </c:pt>
                <c:pt idx="5">
                  <c:v>26</c:v>
                </c:pt>
                <c:pt idx="6">
                  <c:v>27</c:v>
                </c:pt>
                <c:pt idx="7">
                  <c:v>28</c:v>
                </c:pt>
                <c:pt idx="8">
                  <c:v>29</c:v>
                </c:pt>
                <c:pt idx="9">
                  <c:v>30</c:v>
                </c:pt>
                <c:pt idx="10">
                  <c:v>31</c:v>
                </c:pt>
                <c:pt idx="11">
                  <c:v>32</c:v>
                </c:pt>
                <c:pt idx="12">
                  <c:v>33</c:v>
                </c:pt>
                <c:pt idx="13">
                  <c:v>34</c:v>
                </c:pt>
                <c:pt idx="14">
                  <c:v>35</c:v>
                </c:pt>
                <c:pt idx="15">
                  <c:v>36</c:v>
                </c:pt>
                <c:pt idx="16">
                  <c:v>37</c:v>
                </c:pt>
                <c:pt idx="17">
                  <c:v>38</c:v>
                </c:pt>
                <c:pt idx="18">
                  <c:v>39</c:v>
                </c:pt>
                <c:pt idx="19">
                  <c:v>40</c:v>
                </c:pt>
                <c:pt idx="20">
                  <c:v>41</c:v>
                </c:pt>
                <c:pt idx="21">
                  <c:v>42</c:v>
                </c:pt>
                <c:pt idx="22">
                  <c:v>43</c:v>
                </c:pt>
                <c:pt idx="23">
                  <c:v>44</c:v>
                </c:pt>
                <c:pt idx="24">
                  <c:v>45</c:v>
                </c:pt>
                <c:pt idx="25">
                  <c:v>46</c:v>
                </c:pt>
                <c:pt idx="26">
                  <c:v>47</c:v>
                </c:pt>
                <c:pt idx="27">
                  <c:v>48</c:v>
                </c:pt>
                <c:pt idx="28">
                  <c:v>49</c:v>
                </c:pt>
                <c:pt idx="29">
                  <c:v>50</c:v>
                </c:pt>
                <c:pt idx="30">
                  <c:v>51</c:v>
                </c:pt>
                <c:pt idx="31">
                  <c:v>52</c:v>
                </c:pt>
                <c:pt idx="32">
                  <c:v>53</c:v>
                </c:pt>
                <c:pt idx="33">
                  <c:v>54</c:v>
                </c:pt>
                <c:pt idx="34">
                  <c:v>55</c:v>
                </c:pt>
                <c:pt idx="35">
                  <c:v>56</c:v>
                </c:pt>
                <c:pt idx="36">
                  <c:v>57</c:v>
                </c:pt>
                <c:pt idx="37">
                  <c:v>58</c:v>
                </c:pt>
                <c:pt idx="38">
                  <c:v>59</c:v>
                </c:pt>
                <c:pt idx="39">
                  <c:v>60</c:v>
                </c:pt>
                <c:pt idx="40">
                  <c:v>61</c:v>
                </c:pt>
                <c:pt idx="41">
                  <c:v>62</c:v>
                </c:pt>
                <c:pt idx="42">
                  <c:v>63</c:v>
                </c:pt>
                <c:pt idx="43">
                  <c:v>64</c:v>
                </c:pt>
                <c:pt idx="44">
                  <c:v>65</c:v>
                </c:pt>
                <c:pt idx="45">
                  <c:v>66</c:v>
                </c:pt>
                <c:pt idx="46">
                  <c:v>67</c:v>
                </c:pt>
                <c:pt idx="47">
                  <c:v>68</c:v>
                </c:pt>
                <c:pt idx="48">
                  <c:v>69</c:v>
                </c:pt>
                <c:pt idx="49">
                  <c:v>70</c:v>
                </c:pt>
                <c:pt idx="50">
                  <c:v>71</c:v>
                </c:pt>
                <c:pt idx="51">
                  <c:v>72</c:v>
                </c:pt>
                <c:pt idx="52">
                  <c:v>73</c:v>
                </c:pt>
                <c:pt idx="53">
                  <c:v>74</c:v>
                </c:pt>
                <c:pt idx="54">
                  <c:v>75</c:v>
                </c:pt>
                <c:pt idx="55">
                  <c:v>76</c:v>
                </c:pt>
                <c:pt idx="56">
                  <c:v>77</c:v>
                </c:pt>
                <c:pt idx="57">
                  <c:v>78</c:v>
                </c:pt>
                <c:pt idx="58">
                  <c:v>79</c:v>
                </c:pt>
                <c:pt idx="59">
                  <c:v>80</c:v>
                </c:pt>
                <c:pt idx="60">
                  <c:v>81</c:v>
                </c:pt>
                <c:pt idx="61">
                  <c:v>82</c:v>
                </c:pt>
                <c:pt idx="62">
                  <c:v>83</c:v>
                </c:pt>
                <c:pt idx="63">
                  <c:v>84</c:v>
                </c:pt>
                <c:pt idx="64">
                  <c:v>85</c:v>
                </c:pt>
                <c:pt idx="65">
                  <c:v>86</c:v>
                </c:pt>
                <c:pt idx="66">
                  <c:v>87</c:v>
                </c:pt>
                <c:pt idx="67">
                  <c:v>88</c:v>
                </c:pt>
                <c:pt idx="68">
                  <c:v>89</c:v>
                </c:pt>
                <c:pt idx="69">
                  <c:v>90</c:v>
                </c:pt>
                <c:pt idx="70">
                  <c:v>91</c:v>
                </c:pt>
                <c:pt idx="71">
                  <c:v>92</c:v>
                </c:pt>
                <c:pt idx="72">
                  <c:v>93</c:v>
                </c:pt>
                <c:pt idx="73">
                  <c:v>94</c:v>
                </c:pt>
                <c:pt idx="74">
                  <c:v>95</c:v>
                </c:pt>
                <c:pt idx="75">
                  <c:v>96</c:v>
                </c:pt>
                <c:pt idx="76">
                  <c:v>97</c:v>
                </c:pt>
                <c:pt idx="77">
                  <c:v>98</c:v>
                </c:pt>
                <c:pt idx="78">
                  <c:v>99</c:v>
                </c:pt>
                <c:pt idx="79">
                  <c:v>100</c:v>
                </c:pt>
              </c:numCache>
            </c:numRef>
          </c:cat>
          <c:val>
            <c:numRef>
              <c:f>'1.a) Greeks vs moneyness'!$Y$10:$Y$89</c:f>
              <c:numCache>
                <c:formatCode>0.000</c:formatCode>
                <c:ptCount val="80"/>
                <c:pt idx="0">
                  <c:v>-5.6295835947083174E-29</c:v>
                </c:pt>
                <c:pt idx="1">
                  <c:v>-1.1207299059890287E-26</c:v>
                </c:pt>
                <c:pt idx="2">
                  <c:v>-1.440475703236509E-24</c:v>
                </c:pt>
                <c:pt idx="3">
                  <c:v>-1.2512092774957171E-22</c:v>
                </c:pt>
                <c:pt idx="4">
                  <c:v>-7.639911446411306E-21</c:v>
                </c:pt>
                <c:pt idx="5">
                  <c:v>-3.3933934657728726E-19</c:v>
                </c:pt>
                <c:pt idx="6">
                  <c:v>-1.1296083016518278E-17</c:v>
                </c:pt>
                <c:pt idx="7">
                  <c:v>-2.8929083447016148E-16</c:v>
                </c:pt>
                <c:pt idx="8">
                  <c:v>-5.8326750154100176E-15</c:v>
                </c:pt>
                <c:pt idx="9">
                  <c:v>-9.4490278578809887E-14</c:v>
                </c:pt>
                <c:pt idx="10">
                  <c:v>-1.2524596180091227E-12</c:v>
                </c:pt>
                <c:pt idx="11">
                  <c:v>-1.3804334905830219E-11</c:v>
                </c:pt>
                <c:pt idx="12">
                  <c:v>-1.2835512069797992E-10</c:v>
                </c:pt>
                <c:pt idx="13">
                  <c:v>-1.0197936401581684E-9</c:v>
                </c:pt>
                <c:pt idx="14">
                  <c:v>-6.9960134628905175E-9</c:v>
                </c:pt>
                <c:pt idx="15">
                  <c:v>-4.1614458735801591E-8</c:v>
                </c:pt>
                <c:pt idx="16">
                  <c:v>-2.109387678092568E-7</c:v>
                </c:pt>
                <c:pt idx="17">
                  <c:v>-8.2710461465807895E-7</c:v>
                </c:pt>
                <c:pt idx="18">
                  <c:v>-1.3016557882036311E-6</c:v>
                </c:pt>
                <c:pt idx="19">
                  <c:v>1.6933853504334623E-5</c:v>
                </c:pt>
                <c:pt idx="20">
                  <c:v>2.2760455317662718E-4</c:v>
                </c:pt>
                <c:pt idx="21">
                  <c:v>1.7406797572649211E-3</c:v>
                </c:pt>
                <c:pt idx="22">
                  <c:v>9.9347429948497424E-3</c:v>
                </c:pt>
                <c:pt idx="23">
                  <c:v>4.5206087587567882E-2</c:v>
                </c:pt>
                <c:pt idx="24">
                  <c:v>0.16876544783157066</c:v>
                </c:pt>
                <c:pt idx="25">
                  <c:v>0.52602395718964889</c:v>
                </c:pt>
                <c:pt idx="26">
                  <c:v>1.3868891973757578</c:v>
                </c:pt>
                <c:pt idx="27">
                  <c:v>3.1269180583237377</c:v>
                </c:pt>
                <c:pt idx="28">
                  <c:v>6.0863570822351631</c:v>
                </c:pt>
                <c:pt idx="29">
                  <c:v>10.314306955157006</c:v>
                </c:pt>
                <c:pt idx="30">
                  <c:v>15.333321134050435</c:v>
                </c:pt>
                <c:pt idx="31">
                  <c:v>20.127817960250653</c:v>
                </c:pt>
                <c:pt idx="32">
                  <c:v>23.455885318794817</c:v>
                </c:pt>
                <c:pt idx="33">
                  <c:v>24.353524980369933</c:v>
                </c:pt>
                <c:pt idx="34">
                  <c:v>22.5387841373641</c:v>
                </c:pt>
                <c:pt idx="35">
                  <c:v>18.48231756051366</c:v>
                </c:pt>
                <c:pt idx="36">
                  <c:v>13.138496808683142</c:v>
                </c:pt>
                <c:pt idx="37">
                  <c:v>7.5325944327207441</c:v>
                </c:pt>
                <c:pt idx="38">
                  <c:v>2.4338514974930705</c:v>
                </c:pt>
                <c:pt idx="39">
                  <c:v>-1.7685156059433365</c:v>
                </c:pt>
                <c:pt idx="40">
                  <c:v>-5.0099645656344247</c:v>
                </c:pt>
                <c:pt idx="41">
                  <c:v>-7.4130252533062508</c:v>
                </c:pt>
                <c:pt idx="42">
                  <c:v>-9.1573984041774263</c:v>
                </c:pt>
                <c:pt idx="43">
                  <c:v>-10.401064064179584</c:v>
                </c:pt>
                <c:pt idx="44">
                  <c:v>-11.253076422591072</c:v>
                </c:pt>
                <c:pt idx="45">
                  <c:v>-11.778646691841807</c:v>
                </c:pt>
                <c:pt idx="46">
                  <c:v>-12.016254012216558</c:v>
                </c:pt>
                <c:pt idx="47">
                  <c:v>-11.994052394808202</c:v>
                </c:pt>
                <c:pt idx="48">
                  <c:v>-11.74055909953077</c:v>
                </c:pt>
                <c:pt idx="49">
                  <c:v>-11.289360581042837</c:v>
                </c:pt>
                <c:pt idx="50">
                  <c:v>-10.679485472518728</c:v>
                </c:pt>
                <c:pt idx="51">
                  <c:v>-9.9533468049500904</c:v>
                </c:pt>
                <c:pt idx="52">
                  <c:v>-9.1537520951407192</c:v>
                </c:pt>
                <c:pt idx="53">
                  <c:v>-8.320961092669517</c:v>
                </c:pt>
                <c:pt idx="54">
                  <c:v>-7.4903362916252823</c:v>
                </c:pt>
                <c:pt idx="55">
                  <c:v>-6.6908168102870009</c:v>
                </c:pt>
                <c:pt idx="56">
                  <c:v>-5.9442358323986024</c:v>
                </c:pt>
                <c:pt idx="57">
                  <c:v>-5.2653725974205798</c:v>
                </c:pt>
                <c:pt idx="58">
                  <c:v>-4.6625629446486778</c:v>
                </c:pt>
                <c:pt idx="59">
                  <c:v>-4.138672000819775</c:v>
                </c:pt>
                <c:pt idx="60">
                  <c:v>-3.6922447411676251</c:v>
                </c:pt>
                <c:pt idx="61">
                  <c:v>-3.3186821332208627</c:v>
                </c:pt>
                <c:pt idx="62">
                  <c:v>-3.0113315235296838</c:v>
                </c:pt>
                <c:pt idx="63">
                  <c:v>-2.7624214787700123</c:v>
                </c:pt>
                <c:pt idx="64">
                  <c:v>-2.563807853174298</c:v>
                </c:pt>
                <c:pt idx="65">
                  <c:v>-2.4075264486043686</c:v>
                </c:pt>
                <c:pt idx="66">
                  <c:v>-2.2861674098519509</c:v>
                </c:pt>
                <c:pt idx="67">
                  <c:v>-2.1930980867861183</c:v>
                </c:pt>
                <c:pt idx="68">
                  <c:v>-2.1225659777462096</c:v>
                </c:pt>
                <c:pt idx="69">
                  <c:v>-2.0697133517125814</c:v>
                </c:pt>
                <c:pt idx="70">
                  <c:v>-2.0305319896403824</c:v>
                </c:pt>
                <c:pt idx="71">
                  <c:v>-2.0017816789060374</c:v>
                </c:pt>
                <c:pt idx="72">
                  <c:v>-1.980890766579219</c:v>
                </c:pt>
                <c:pt idx="73">
                  <c:v>-1.9658519857837771</c:v>
                </c:pt>
                <c:pt idx="74">
                  <c:v>-1.9551223528725925</c:v>
                </c:pt>
                <c:pt idx="75">
                  <c:v>-1.9475323819349724</c:v>
                </c:pt>
                <c:pt idx="76">
                  <c:v>-1.9422071962816114</c:v>
                </c:pt>
                <c:pt idx="77">
                  <c:v>-1.9385002489455849</c:v>
                </c:pt>
                <c:pt idx="78">
                  <c:v>-1.9359391594914332</c:v>
                </c:pt>
                <c:pt idx="79">
                  <c:v>-1.9341824818538207</c:v>
                </c:pt>
              </c:numCache>
            </c:numRef>
          </c:val>
          <c:smooth val="0"/>
          <c:extLst>
            <c:ext xmlns:c16="http://schemas.microsoft.com/office/drawing/2014/chart" uri="{C3380CC4-5D6E-409C-BE32-E72D297353CC}">
              <c16:uniqueId val="{00000002-3B3B-42D3-A129-0343E485B30B}"/>
            </c:ext>
          </c:extLst>
        </c:ser>
        <c:dLbls>
          <c:showLegendKey val="0"/>
          <c:showVal val="0"/>
          <c:showCatName val="0"/>
          <c:showSerName val="0"/>
          <c:showPercent val="0"/>
          <c:showBubbleSize val="0"/>
        </c:dLbls>
        <c:smooth val="0"/>
        <c:axId val="1694777568"/>
        <c:axId val="1694777984"/>
      </c:lineChart>
      <c:catAx>
        <c:axId val="169477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777984"/>
        <c:crosses val="autoZero"/>
        <c:auto val="1"/>
        <c:lblAlgn val="ctr"/>
        <c:lblOffset val="100"/>
        <c:noMultiLvlLbl val="0"/>
      </c:catAx>
      <c:valAx>
        <c:axId val="169477798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77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fr-FR"/>
              <a:t>PnL of the hedging operation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spPr>
            <a:ln w="34925" cap="rnd">
              <a:solidFill>
                <a:schemeClr val="lt1"/>
              </a:solidFill>
              <a:round/>
            </a:ln>
            <a:effectLst>
              <a:outerShdw dist="25400" dir="2700000" algn="tl" rotWithShape="0">
                <a:schemeClr val="accent1"/>
              </a:outerShdw>
            </a:effectLst>
          </c:spPr>
          <c:marker>
            <c:symbol val="none"/>
          </c:marker>
          <c:val>
            <c:numRef>
              <c:f>'1.b) Delta Hedge'!$K$2:$K$91</c:f>
              <c:numCache>
                <c:formatCode>0.000</c:formatCode>
                <c:ptCount val="90"/>
                <c:pt idx="0">
                  <c:v>0</c:v>
                </c:pt>
                <c:pt idx="1">
                  <c:v>5.0232082378554588E-3</c:v>
                </c:pt>
                <c:pt idx="2">
                  <c:v>7.1700965201360045E-3</c:v>
                </c:pt>
                <c:pt idx="3">
                  <c:v>1.0812171748204813E-2</c:v>
                </c:pt>
                <c:pt idx="4">
                  <c:v>1.6752377041310829E-2</c:v>
                </c:pt>
                <c:pt idx="5">
                  <c:v>2.3297598152317023E-2</c:v>
                </c:pt>
                <c:pt idx="6">
                  <c:v>2.4930695454759566E-2</c:v>
                </c:pt>
                <c:pt idx="7">
                  <c:v>3.3403291825427783E-2</c:v>
                </c:pt>
                <c:pt idx="8">
                  <c:v>3.4856915763495255E-2</c:v>
                </c:pt>
                <c:pt idx="9">
                  <c:v>3.8103740418794829E-2</c:v>
                </c:pt>
                <c:pt idx="10">
                  <c:v>4.4726015865767743E-2</c:v>
                </c:pt>
                <c:pt idx="11">
                  <c:v>3.9100283775313383E-2</c:v>
                </c:pt>
                <c:pt idx="12">
                  <c:v>4.304811532183328E-2</c:v>
                </c:pt>
                <c:pt idx="13">
                  <c:v>4.709793663744799E-3</c:v>
                </c:pt>
                <c:pt idx="14">
                  <c:v>-2.5989293437426175E-2</c:v>
                </c:pt>
                <c:pt idx="15">
                  <c:v>-2.9673254603246324E-2</c:v>
                </c:pt>
                <c:pt idx="16">
                  <c:v>-1.3977783511549102E-2</c:v>
                </c:pt>
                <c:pt idx="17">
                  <c:v>-3.3779533175537502E-4</c:v>
                </c:pt>
                <c:pt idx="18">
                  <c:v>1.555420551271558E-2</c:v>
                </c:pt>
                <c:pt idx="19">
                  <c:v>1.4832402434236558E-2</c:v>
                </c:pt>
                <c:pt idx="20">
                  <c:v>2.8691270762879917E-2</c:v>
                </c:pt>
                <c:pt idx="21">
                  <c:v>4.3618078546689754E-2</c:v>
                </c:pt>
                <c:pt idx="22">
                  <c:v>4.2272827839857641E-2</c:v>
                </c:pt>
                <c:pt idx="23">
                  <c:v>5.7135734283057849E-2</c:v>
                </c:pt>
                <c:pt idx="24">
                  <c:v>2.9306073894354689E-2</c:v>
                </c:pt>
                <c:pt idx="25">
                  <c:v>4.5400212372776805E-2</c:v>
                </c:pt>
                <c:pt idx="26">
                  <c:v>1.9386570929402325E-2</c:v>
                </c:pt>
                <c:pt idx="27">
                  <c:v>3.2303256780853551E-2</c:v>
                </c:pt>
                <c:pt idx="28">
                  <c:v>4.6421491616017274E-2</c:v>
                </c:pt>
                <c:pt idx="29">
                  <c:v>5.6174105213335657E-2</c:v>
                </c:pt>
                <c:pt idx="30">
                  <c:v>2.2682125440895984E-2</c:v>
                </c:pt>
                <c:pt idx="31">
                  <c:v>-4.0624934995220685E-2</c:v>
                </c:pt>
                <c:pt idx="32">
                  <c:v>-2.8746288795730379E-2</c:v>
                </c:pt>
                <c:pt idx="33">
                  <c:v>-1.5587551964268531E-2</c:v>
                </c:pt>
                <c:pt idx="34">
                  <c:v>-1.1680068094973572E-3</c:v>
                </c:pt>
                <c:pt idx="35">
                  <c:v>-3.8773315257174923E-2</c:v>
                </c:pt>
                <c:pt idx="36">
                  <c:v>-3.0068143364984312E-2</c:v>
                </c:pt>
                <c:pt idx="37">
                  <c:v>-2.1077919038565429E-2</c:v>
                </c:pt>
                <c:pt idx="38">
                  <c:v>-6.1427815218978221E-2</c:v>
                </c:pt>
                <c:pt idx="39">
                  <c:v>-5.1575566509519111E-2</c:v>
                </c:pt>
                <c:pt idx="40">
                  <c:v>-3.9392291292410953E-2</c:v>
                </c:pt>
                <c:pt idx="41">
                  <c:v>-2.9177139558162202E-2</c:v>
                </c:pt>
                <c:pt idx="42">
                  <c:v>-1.8474931513646098E-2</c:v>
                </c:pt>
                <c:pt idx="43">
                  <c:v>-1.3545128854865363E-2</c:v>
                </c:pt>
                <c:pt idx="44">
                  <c:v>-2.5145549228652309E-3</c:v>
                </c:pt>
                <c:pt idx="45">
                  <c:v>6.7594152647382777E-3</c:v>
                </c:pt>
                <c:pt idx="46">
                  <c:v>1.3518642898946498E-2</c:v>
                </c:pt>
                <c:pt idx="47">
                  <c:v>2.4914778844196572E-2</c:v>
                </c:pt>
                <c:pt idx="48">
                  <c:v>3.6651225739800675E-2</c:v>
                </c:pt>
                <c:pt idx="49">
                  <c:v>-2.1458442612691586E-2</c:v>
                </c:pt>
                <c:pt idx="50">
                  <c:v>-4.0828187155874329E-2</c:v>
                </c:pt>
                <c:pt idx="51">
                  <c:v>-3.1053722023136388E-2</c:v>
                </c:pt>
                <c:pt idx="52">
                  <c:v>-2.5507091727132281E-2</c:v>
                </c:pt>
                <c:pt idx="53">
                  <c:v>-1.5225796200064812E-2</c:v>
                </c:pt>
                <c:pt idx="54">
                  <c:v>5.0594188945793928E-3</c:v>
                </c:pt>
                <c:pt idx="55">
                  <c:v>2.4858872673352517E-2</c:v>
                </c:pt>
                <c:pt idx="56">
                  <c:v>4.7305226043302451E-2</c:v>
                </c:pt>
                <c:pt idx="57">
                  <c:v>7.0049848984023777E-2</c:v>
                </c:pt>
                <c:pt idx="58">
                  <c:v>6.3327915371364729E-2</c:v>
                </c:pt>
                <c:pt idx="59">
                  <c:v>1.0460179475826337E-2</c:v>
                </c:pt>
                <c:pt idx="60">
                  <c:v>1.3079082467333913E-2</c:v>
                </c:pt>
                <c:pt idx="61">
                  <c:v>3.5982595154262498E-2</c:v>
                </c:pt>
                <c:pt idx="62">
                  <c:v>5.5758722339415812E-2</c:v>
                </c:pt>
                <c:pt idx="63">
                  <c:v>4.1313886606625605E-2</c:v>
                </c:pt>
                <c:pt idx="64">
                  <c:v>6.2237529091828225E-2</c:v>
                </c:pt>
                <c:pt idx="65">
                  <c:v>7.8265919190926625E-2</c:v>
                </c:pt>
                <c:pt idx="66">
                  <c:v>9.018750330443881E-2</c:v>
                </c:pt>
                <c:pt idx="67">
                  <c:v>0.11755413672842074</c:v>
                </c:pt>
                <c:pt idx="68">
                  <c:v>8.9528816049762594E-2</c:v>
                </c:pt>
                <c:pt idx="69">
                  <c:v>0.11560342488473174</c:v>
                </c:pt>
                <c:pt idx="70">
                  <c:v>0.14179622014006199</c:v>
                </c:pt>
                <c:pt idx="71">
                  <c:v>0.1006962663355912</c:v>
                </c:pt>
                <c:pt idx="72">
                  <c:v>0.12022757523281269</c:v>
                </c:pt>
                <c:pt idx="73">
                  <c:v>0.10871609800757692</c:v>
                </c:pt>
                <c:pt idx="74">
                  <c:v>0.10399504405125796</c:v>
                </c:pt>
                <c:pt idx="75">
                  <c:v>0.10965683111787097</c:v>
                </c:pt>
                <c:pt idx="76">
                  <c:v>6.9408029882797317E-2</c:v>
                </c:pt>
                <c:pt idx="77">
                  <c:v>8.7650380800596756E-2</c:v>
                </c:pt>
                <c:pt idx="78">
                  <c:v>9.6619364948851788E-2</c:v>
                </c:pt>
                <c:pt idx="79">
                  <c:v>0.10956757301649798</c:v>
                </c:pt>
                <c:pt idx="80">
                  <c:v>0.12187317342160285</c:v>
                </c:pt>
                <c:pt idx="81">
                  <c:v>0.10461173639686004</c:v>
                </c:pt>
                <c:pt idx="82">
                  <c:v>0.10783168516707749</c:v>
                </c:pt>
                <c:pt idx="83">
                  <c:v>0.1098776719999877</c:v>
                </c:pt>
                <c:pt idx="84">
                  <c:v>0.10844732203202041</c:v>
                </c:pt>
                <c:pt idx="85">
                  <c:v>0.10925177475272667</c:v>
                </c:pt>
                <c:pt idx="86">
                  <c:v>0.10844333246908286</c:v>
                </c:pt>
                <c:pt idx="87">
                  <c:v>0.1085481225607825</c:v>
                </c:pt>
                <c:pt idx="88">
                  <c:v>0.10855270386363569</c:v>
                </c:pt>
                <c:pt idx="89">
                  <c:v>0.10855755930241315</c:v>
                </c:pt>
              </c:numCache>
            </c:numRef>
          </c:val>
          <c:smooth val="0"/>
          <c:extLst>
            <c:ext xmlns:c16="http://schemas.microsoft.com/office/drawing/2014/chart" uri="{C3380CC4-5D6E-409C-BE32-E72D297353CC}">
              <c16:uniqueId val="{00000000-8567-4A5A-A7CD-AE601D172712}"/>
            </c:ext>
          </c:extLst>
        </c:ser>
        <c:dLbls>
          <c:showLegendKey val="0"/>
          <c:showVal val="0"/>
          <c:showCatName val="0"/>
          <c:showSerName val="0"/>
          <c:showPercent val="0"/>
          <c:showBubbleSize val="0"/>
        </c:dLbls>
        <c:dropLines>
          <c:spPr>
            <a:ln w="9525" cap="flat" cmpd="sng" algn="ctr">
              <a:noFill/>
              <a:round/>
            </a:ln>
            <a:effectLst/>
          </c:spPr>
        </c:dropLines>
        <c:smooth val="0"/>
        <c:axId val="820859248"/>
        <c:axId val="820861328"/>
      </c:lineChart>
      <c:catAx>
        <c:axId val="820859248"/>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820861328"/>
        <c:crosses val="autoZero"/>
        <c:auto val="1"/>
        <c:lblAlgn val="ctr"/>
        <c:lblOffset val="100"/>
        <c:noMultiLvlLbl val="0"/>
      </c:catAx>
      <c:valAx>
        <c:axId val="820861328"/>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20859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Pnl</a:t>
            </a:r>
            <a:r>
              <a:rPr lang="en-US" baseline="0"/>
              <a:t> of the hedging operation</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manualLayout>
          <c:layoutTarget val="inner"/>
          <c:xMode val="edge"/>
          <c:yMode val="edge"/>
          <c:x val="8.004418197725284E-2"/>
          <c:y val="0.17675174013921119"/>
          <c:w val="0.8955979877515311"/>
          <c:h val="0.77684454756380505"/>
        </c:manualLayout>
      </c:layout>
      <c:lineChart>
        <c:grouping val="standard"/>
        <c:varyColors val="0"/>
        <c:ser>
          <c:idx val="0"/>
          <c:order val="0"/>
          <c:tx>
            <c:strRef>
              <c:f>'1.b) Gamma hedge'!$O$1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'1.b) Gamma hedge'!$O$2:$O$91</c:f>
              <c:numCache>
                <c:formatCode>0.000</c:formatCode>
                <c:ptCount val="90"/>
                <c:pt idx="0">
                  <c:v>0</c:v>
                </c:pt>
                <c:pt idx="1">
                  <c:v>-8.3925941121543168E-4</c:v>
                </c:pt>
                <c:pt idx="2">
                  <c:v>-5.3896433806505106E-4</c:v>
                </c:pt>
                <c:pt idx="3">
                  <c:v>-4.1780711178385221E-4</c:v>
                </c:pt>
                <c:pt idx="4">
                  <c:v>-6.604986124436607E-5</c:v>
                </c:pt>
                <c:pt idx="5">
                  <c:v>-8.3875444557468537E-4</c:v>
                </c:pt>
                <c:pt idx="6">
                  <c:v>-1.132651899572179E-3</c:v>
                </c:pt>
                <c:pt idx="7">
                  <c:v>-1.7495079284615134E-3</c:v>
                </c:pt>
                <c:pt idx="8">
                  <c:v>-2.6949889226240975E-3</c:v>
                </c:pt>
                <c:pt idx="9">
                  <c:v>-2.5694128330008281E-3</c:v>
                </c:pt>
                <c:pt idx="10">
                  <c:v>-2.2923734034621113E-3</c:v>
                </c:pt>
                <c:pt idx="11">
                  <c:v>-2.306545584073505E-3</c:v>
                </c:pt>
                <c:pt idx="12">
                  <c:v>-2.177389588678913E-3</c:v>
                </c:pt>
                <c:pt idx="13">
                  <c:v>-2.5768034327632861E-3</c:v>
                </c:pt>
                <c:pt idx="14">
                  <c:v>-3.831933354094319E-3</c:v>
                </c:pt>
                <c:pt idx="15">
                  <c:v>-2.7918648540158075E-3</c:v>
                </c:pt>
                <c:pt idx="16">
                  <c:v>-4.2492351747389911E-3</c:v>
                </c:pt>
                <c:pt idx="17">
                  <c:v>-6.145879523875783E-3</c:v>
                </c:pt>
                <c:pt idx="18">
                  <c:v>-7.1036569732325361E-3</c:v>
                </c:pt>
                <c:pt idx="19">
                  <c:v>-9.8268660704107016E-3</c:v>
                </c:pt>
                <c:pt idx="20">
                  <c:v>-7.7116997379449784E-3</c:v>
                </c:pt>
                <c:pt idx="21">
                  <c:v>-4.728650130739892E-3</c:v>
                </c:pt>
                <c:pt idx="22">
                  <c:v>-4.9825229730532522E-3</c:v>
                </c:pt>
                <c:pt idx="23">
                  <c:v>-5.3900949060440295E-3</c:v>
                </c:pt>
                <c:pt idx="24">
                  <c:v>-6.7502341707305832E-3</c:v>
                </c:pt>
                <c:pt idx="25">
                  <c:v>-4.0577288950663232E-3</c:v>
                </c:pt>
                <c:pt idx="26">
                  <c:v>-5.6699442597802976E-3</c:v>
                </c:pt>
                <c:pt idx="27">
                  <c:v>-7.9306688859375404E-3</c:v>
                </c:pt>
                <c:pt idx="28">
                  <c:v>-2.0719699093716126E-3</c:v>
                </c:pt>
                <c:pt idx="29">
                  <c:v>-4.3886602461087505E-3</c:v>
                </c:pt>
                <c:pt idx="30">
                  <c:v>-4.4255660888694801E-3</c:v>
                </c:pt>
                <c:pt idx="31">
                  <c:v>-4.328013744258747E-3</c:v>
                </c:pt>
                <c:pt idx="32">
                  <c:v>-4.2072835201929504E-3</c:v>
                </c:pt>
                <c:pt idx="33">
                  <c:v>-4.0341103226502126E-3</c:v>
                </c:pt>
                <c:pt idx="34">
                  <c:v>-4.2177542287494887E-3</c:v>
                </c:pt>
                <c:pt idx="35">
                  <c:v>-4.2594951890012889E-3</c:v>
                </c:pt>
                <c:pt idx="36">
                  <c:v>-4.0771155958064034E-3</c:v>
                </c:pt>
                <c:pt idx="37">
                  <c:v>-3.8564162339401464E-3</c:v>
                </c:pt>
                <c:pt idx="38">
                  <c:v>-3.9666196342941426E-3</c:v>
                </c:pt>
                <c:pt idx="39">
                  <c:v>-4.0295170879807302E-3</c:v>
                </c:pt>
                <c:pt idx="40">
                  <c:v>-4.1803863654738052E-3</c:v>
                </c:pt>
                <c:pt idx="41">
                  <c:v>-4.3692627781903824E-3</c:v>
                </c:pt>
                <c:pt idx="42">
                  <c:v>-4.1842667456496695E-3</c:v>
                </c:pt>
                <c:pt idx="43">
                  <c:v>-4.1776101996029748E-3</c:v>
                </c:pt>
                <c:pt idx="44">
                  <c:v>-4.176466313238314E-3</c:v>
                </c:pt>
                <c:pt idx="45">
                  <c:v>-4.0952683170798511E-3</c:v>
                </c:pt>
                <c:pt idx="46">
                  <c:v>-4.2355156053595806E-3</c:v>
                </c:pt>
                <c:pt idx="47">
                  <c:v>-4.1205854701334248E-3</c:v>
                </c:pt>
                <c:pt idx="48">
                  <c:v>-4.2903974454574952E-3</c:v>
                </c:pt>
                <c:pt idx="49">
                  <c:v>-4.3021873903634003E-3</c:v>
                </c:pt>
                <c:pt idx="50">
                  <c:v>-4.377862197004664E-3</c:v>
                </c:pt>
                <c:pt idx="51">
                  <c:v>-4.347362914540933E-3</c:v>
                </c:pt>
                <c:pt idx="52">
                  <c:v>-4.4391237521998056E-3</c:v>
                </c:pt>
                <c:pt idx="53">
                  <c:v>-4.400089589277476E-3</c:v>
                </c:pt>
                <c:pt idx="54">
                  <c:v>-4.472533517172245E-3</c:v>
                </c:pt>
                <c:pt idx="55">
                  <c:v>-4.5316512072172636E-3</c:v>
                </c:pt>
                <c:pt idx="56">
                  <c:v>-4.5889080000208523E-3</c:v>
                </c:pt>
                <c:pt idx="57">
                  <c:v>-4.6411465848104887E-3</c:v>
                </c:pt>
                <c:pt idx="58">
                  <c:v>-4.6737854025154851E-3</c:v>
                </c:pt>
                <c:pt idx="59">
                  <c:v>-4.6853618583441213E-3</c:v>
                </c:pt>
                <c:pt idx="60">
                  <c:v>-4.6825342681723961E-3</c:v>
                </c:pt>
                <c:pt idx="61">
                  <c:v>-4.6982525578109996E-3</c:v>
                </c:pt>
                <c:pt idx="62">
                  <c:v>-4.6938966094366352E-3</c:v>
                </c:pt>
                <c:pt idx="63">
                  <c:v>-4.6937034113227272E-3</c:v>
                </c:pt>
                <c:pt idx="64">
                  <c:v>-4.6929980134387253E-3</c:v>
                </c:pt>
                <c:pt idx="65">
                  <c:v>-4.695530971856909E-3</c:v>
                </c:pt>
                <c:pt idx="66">
                  <c:v>-4.6941184757325399E-3</c:v>
                </c:pt>
                <c:pt idx="67">
                  <c:v>-4.6947239028679918E-3</c:v>
                </c:pt>
                <c:pt idx="68">
                  <c:v>-4.6950643630254635E-3</c:v>
                </c:pt>
                <c:pt idx="69">
                  <c:v>-4.6953087567706041E-3</c:v>
                </c:pt>
                <c:pt idx="70">
                  <c:v>-4.695521733951589E-3</c:v>
                </c:pt>
                <c:pt idx="71">
                  <c:v>-4.6957436311931087E-3</c:v>
                </c:pt>
                <c:pt idx="72">
                  <c:v>-4.695947538224522E-3</c:v>
                </c:pt>
                <c:pt idx="73">
                  <c:v>-4.6961453968138566E-3</c:v>
                </c:pt>
                <c:pt idx="74">
                  <c:v>-4.6963610506717346E-3</c:v>
                </c:pt>
                <c:pt idx="75">
                  <c:v>-4.6965757846631935E-3</c:v>
                </c:pt>
                <c:pt idx="76">
                  <c:v>-4.6967750144278802E-3</c:v>
                </c:pt>
                <c:pt idx="77">
                  <c:v>-4.696983769774404E-3</c:v>
                </c:pt>
                <c:pt idx="78">
                  <c:v>-4.6971925294139209E-3</c:v>
                </c:pt>
                <c:pt idx="79">
                  <c:v>-4.6974012981677114E-3</c:v>
                </c:pt>
                <c:pt idx="80">
                  <c:v>-4.6976100761945763E-3</c:v>
                </c:pt>
                <c:pt idx="81">
                  <c:v>-4.697818863511817E-3</c:v>
                </c:pt>
                <c:pt idx="82">
                  <c:v>-4.6980276601012666E-3</c:v>
                </c:pt>
                <c:pt idx="83">
                  <c:v>-4.6982364659706993E-3</c:v>
                </c:pt>
                <c:pt idx="84">
                  <c:v>-4.6984452811205998E-3</c:v>
                </c:pt>
                <c:pt idx="85">
                  <c:v>-4.6986541055513802E-3</c:v>
                </c:pt>
                <c:pt idx="86">
                  <c:v>-4.6988629392634524E-3</c:v>
                </c:pt>
                <c:pt idx="87">
                  <c:v>-4.6990717822572295E-3</c:v>
                </c:pt>
                <c:pt idx="88">
                  <c:v>-4.6992806345331232E-3</c:v>
                </c:pt>
                <c:pt idx="89">
                  <c:v>-4.6994894960915466E-3</c:v>
                </c:pt>
              </c:numCache>
            </c:numRef>
          </c:val>
          <c:smooth val="0"/>
          <c:extLst>
            <c:ext xmlns:c16="http://schemas.microsoft.com/office/drawing/2014/chart" uri="{C3380CC4-5D6E-409C-BE32-E72D297353CC}">
              <c16:uniqueId val="{00000000-79AB-4ADF-9B77-123FD8529605}"/>
            </c:ext>
          </c:extLst>
        </c:ser>
        <c:dLbls>
          <c:showLegendKey val="0"/>
          <c:showVal val="0"/>
          <c:showCatName val="0"/>
          <c:showSerName val="0"/>
          <c:showPercent val="0"/>
          <c:showBubbleSize val="0"/>
        </c:dLbls>
        <c:dropLines>
          <c:spPr>
            <a:ln w="9525" cap="flat" cmpd="sng" algn="ctr">
              <a:noFill/>
              <a:round/>
            </a:ln>
            <a:effectLst/>
          </c:spPr>
        </c:dropLines>
        <c:smooth val="0"/>
        <c:axId val="1877563568"/>
        <c:axId val="1877549008"/>
      </c:lineChart>
      <c:catAx>
        <c:axId val="1877563568"/>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877549008"/>
        <c:crosses val="autoZero"/>
        <c:auto val="1"/>
        <c:lblAlgn val="ctr"/>
        <c:lblOffset val="100"/>
        <c:noMultiLvlLbl val="0"/>
      </c:catAx>
      <c:valAx>
        <c:axId val="1877549008"/>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77563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'1.c) Gamma_Theta PnL'!$J$1</c:f>
              <c:strCache>
                <c:ptCount val="1"/>
                <c:pt idx="0">
                  <c:v>Gamma/Theta PnL</c:v>
                </c:pt>
              </c:strCache>
            </c:strRef>
          </c:tx>
          <c:spPr>
            <a:ln w="34925" cap="rnd">
              <a:solidFill>
                <a:schemeClr val="lt1"/>
              </a:solidFill>
              <a:round/>
            </a:ln>
            <a:effectLst>
              <a:outerShdw dist="25400" dir="2700000" algn="tl" rotWithShape="0">
                <a:schemeClr val="accent1"/>
              </a:outerShdw>
            </a:effectLst>
          </c:spPr>
          <c:marker>
            <c:symbol val="none"/>
          </c:marker>
          <c:val>
            <c:numRef>
              <c:f>'1.c) Gamma_Theta PnL'!$J$2:$J$92</c:f>
              <c:numCache>
                <c:formatCode>0.000</c:formatCode>
                <c:ptCount val="91"/>
                <c:pt idx="0">
                  <c:v>0</c:v>
                </c:pt>
                <c:pt idx="1">
                  <c:v>-9.7016929296436082E-3</c:v>
                </c:pt>
                <c:pt idx="2">
                  <c:v>3.3350147885542504E-3</c:v>
                </c:pt>
                <c:pt idx="3">
                  <c:v>-3.6733706020615556E-3</c:v>
                </c:pt>
                <c:pt idx="4">
                  <c:v>-1.4529178292605386E-2</c:v>
                </c:pt>
                <c:pt idx="5">
                  <c:v>-1.3056510697359677E-2</c:v>
                </c:pt>
                <c:pt idx="6">
                  <c:v>6.5925731080630507E-4</c:v>
                </c:pt>
                <c:pt idx="7">
                  <c:v>1.6211091469871335E-3</c:v>
                </c:pt>
                <c:pt idx="8">
                  <c:v>1.0530907018974004E-2</c:v>
                </c:pt>
                <c:pt idx="9">
                  <c:v>1.4339983984874412E-2</c:v>
                </c:pt>
                <c:pt idx="10">
                  <c:v>7.2081788548564452E-3</c:v>
                </c:pt>
                <c:pt idx="11">
                  <c:v>-5.4370705664244911E-3</c:v>
                </c:pt>
                <c:pt idx="12">
                  <c:v>-6.2741965075359682E-3</c:v>
                </c:pt>
                <c:pt idx="13">
                  <c:v>1.0688769995200683E-2</c:v>
                </c:pt>
                <c:pt idx="14">
                  <c:v>-1.1311884201274516E-2</c:v>
                </c:pt>
                <c:pt idx="15">
                  <c:v>-1.412500735338058E-2</c:v>
                </c:pt>
                <c:pt idx="16">
                  <c:v>-1.3664468507130864E-2</c:v>
                </c:pt>
                <c:pt idx="17">
                  <c:v>-9.5434292333450733E-3</c:v>
                </c:pt>
                <c:pt idx="18">
                  <c:v>-1.2638832644106908E-2</c:v>
                </c:pt>
                <c:pt idx="19">
                  <c:v>-8.359878896194578E-4</c:v>
                </c:pt>
                <c:pt idx="20">
                  <c:v>-7.7505204909530997E-3</c:v>
                </c:pt>
                <c:pt idx="21">
                  <c:v>4.6200695561325958E-3</c:v>
                </c:pt>
                <c:pt idx="22">
                  <c:v>-1.9788342570986363E-2</c:v>
                </c:pt>
                <c:pt idx="23">
                  <c:v>-8.0897745490055364E-3</c:v>
                </c:pt>
                <c:pt idx="24">
                  <c:v>-2.4078323616977655E-2</c:v>
                </c:pt>
                <c:pt idx="25">
                  <c:v>-2.5203543916927057E-2</c:v>
                </c:pt>
                <c:pt idx="26">
                  <c:v>-2.4553476562925513E-2</c:v>
                </c:pt>
                <c:pt idx="27">
                  <c:v>-2.9148151638106121E-3</c:v>
                </c:pt>
                <c:pt idx="28">
                  <c:v>-1.806971222529772E-2</c:v>
                </c:pt>
                <c:pt idx="29">
                  <c:v>-2.1602460038475491E-2</c:v>
                </c:pt>
                <c:pt idx="30">
                  <c:v>-2.4479986901051864E-2</c:v>
                </c:pt>
                <c:pt idx="31">
                  <c:v>-1.2432623552328414E-2</c:v>
                </c:pt>
                <c:pt idx="32">
                  <c:v>-1.4439899991776667E-2</c:v>
                </c:pt>
                <c:pt idx="33">
                  <c:v>-1.5905740154738723E-2</c:v>
                </c:pt>
                <c:pt idx="34">
                  <c:v>-1.5170052614214216E-2</c:v>
                </c:pt>
                <c:pt idx="35">
                  <c:v>1.1406564782619841E-3</c:v>
                </c:pt>
                <c:pt idx="36">
                  <c:v>-1.4189829480611441E-2</c:v>
                </c:pt>
                <c:pt idx="37">
                  <c:v>-1.3358390822869347E-2</c:v>
                </c:pt>
                <c:pt idx="38">
                  <c:v>-1.4596597804507082E-2</c:v>
                </c:pt>
                <c:pt idx="39">
                  <c:v>-1.6764166783572891E-2</c:v>
                </c:pt>
                <c:pt idx="40">
                  <c:v>7.8769545180318104E-3</c:v>
                </c:pt>
                <c:pt idx="41">
                  <c:v>-2.2002703812431086E-2</c:v>
                </c:pt>
                <c:pt idx="42">
                  <c:v>-2.9941572874423873E-2</c:v>
                </c:pt>
                <c:pt idx="43">
                  <c:v>-1.5635743012262209E-2</c:v>
                </c:pt>
                <c:pt idx="44">
                  <c:v>-2.4373512412146418E-2</c:v>
                </c:pt>
                <c:pt idx="45">
                  <c:v>-4.4458630100125796E-2</c:v>
                </c:pt>
                <c:pt idx="46">
                  <c:v>-2.0877470000126224E-2</c:v>
                </c:pt>
                <c:pt idx="47">
                  <c:v>-2.7326221838308434E-3</c:v>
                </c:pt>
                <c:pt idx="48">
                  <c:v>-4.177823458362364E-2</c:v>
                </c:pt>
                <c:pt idx="49">
                  <c:v>-5.3852991446976139E-2</c:v>
                </c:pt>
                <c:pt idx="50">
                  <c:v>-5.691648906608307E-2</c:v>
                </c:pt>
                <c:pt idx="51">
                  <c:v>2.5541481350827677E-2</c:v>
                </c:pt>
                <c:pt idx="52">
                  <c:v>-2.8257324363885852E-2</c:v>
                </c:pt>
                <c:pt idx="53">
                  <c:v>-2.3646760910992451E-2</c:v>
                </c:pt>
                <c:pt idx="54">
                  <c:v>-3.4460081081330432E-2</c:v>
                </c:pt>
                <c:pt idx="55">
                  <c:v>-3.2429302663589378E-2</c:v>
                </c:pt>
                <c:pt idx="56">
                  <c:v>-1.2370859799880594E-2</c:v>
                </c:pt>
                <c:pt idx="57">
                  <c:v>-1.8126243773163866E-2</c:v>
                </c:pt>
                <c:pt idx="58">
                  <c:v>-2.1423037806085503E-2</c:v>
                </c:pt>
                <c:pt idx="59">
                  <c:v>-2.0797155664962264E-2</c:v>
                </c:pt>
                <c:pt idx="60">
                  <c:v>-2.9785452209781918E-2</c:v>
                </c:pt>
                <c:pt idx="61">
                  <c:v>-1.7465626711804239E-2</c:v>
                </c:pt>
                <c:pt idx="62">
                  <c:v>-1.8685115803261848E-2</c:v>
                </c:pt>
                <c:pt idx="63">
                  <c:v>-2.8513224827162127E-2</c:v>
                </c:pt>
                <c:pt idx="64">
                  <c:v>-2.3751665706682832E-2</c:v>
                </c:pt>
                <c:pt idx="65">
                  <c:v>-2.6990491079610327E-2</c:v>
                </c:pt>
                <c:pt idx="66">
                  <c:v>-2.0187675112225936E-2</c:v>
                </c:pt>
                <c:pt idx="67">
                  <c:v>-2.2186072490888251E-2</c:v>
                </c:pt>
                <c:pt idx="68">
                  <c:v>-1.4037803537140209E-2</c:v>
                </c:pt>
                <c:pt idx="69">
                  <c:v>-1.6932388881462347E-2</c:v>
                </c:pt>
                <c:pt idx="70">
                  <c:v>-2.6639102621819972E-2</c:v>
                </c:pt>
                <c:pt idx="71">
                  <c:v>-2.2439598904739774E-2</c:v>
                </c:pt>
                <c:pt idx="72">
                  <c:v>-1.8942239522415992E-2</c:v>
                </c:pt>
                <c:pt idx="73">
                  <c:v>-2.2592615622054953E-2</c:v>
                </c:pt>
                <c:pt idx="74">
                  <c:v>-3.167139678553086E-2</c:v>
                </c:pt>
                <c:pt idx="75">
                  <c:v>-3.3025447390591996E-2</c:v>
                </c:pt>
                <c:pt idx="76">
                  <c:v>-5.8728944071206844E-2</c:v>
                </c:pt>
                <c:pt idx="77">
                  <c:v>-4.5639524975204022E-2</c:v>
                </c:pt>
                <c:pt idx="78">
                  <c:v>-5.9772140928462447E-2</c:v>
                </c:pt>
                <c:pt idx="79">
                  <c:v>-5.1324415139853884E-2</c:v>
                </c:pt>
                <c:pt idx="80">
                  <c:v>-3.3233362131451893E-2</c:v>
                </c:pt>
                <c:pt idx="81">
                  <c:v>-1.3721681303868204E-2</c:v>
                </c:pt>
                <c:pt idx="82">
                  <c:v>-8.3732529423822949E-3</c:v>
                </c:pt>
                <c:pt idx="83">
                  <c:v>2.3511305512990461E-5</c:v>
                </c:pt>
                <c:pt idx="84">
                  <c:v>-1.3070706450496903E-4</c:v>
                </c:pt>
                <c:pt idx="85">
                  <c:v>-1.8833060680244107E-4</c:v>
                </c:pt>
                <c:pt idx="86">
                  <c:v>-9.5533811551832296E-6</c:v>
                </c:pt>
                <c:pt idx="87">
                  <c:v>-1.6302227781126269E-6</c:v>
                </c:pt>
                <c:pt idx="88">
                  <c:v>-1.1863596782805469E-9</c:v>
                </c:pt>
                <c:pt idx="89">
                  <c:v>-4.4233988631650995E-15</c:v>
                </c:pt>
              </c:numCache>
            </c:numRef>
          </c:val>
          <c:smooth val="0"/>
          <c:extLst>
            <c:ext xmlns:c16="http://schemas.microsoft.com/office/drawing/2014/chart" uri="{C3380CC4-5D6E-409C-BE32-E72D297353CC}">
              <c16:uniqueId val="{00000000-E867-494A-A0A0-01E517A683E8}"/>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923761136"/>
        <c:axId val="1923761968"/>
      </c:lineChart>
      <c:catAx>
        <c:axId val="1923761136"/>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923761968"/>
        <c:crosses val="autoZero"/>
        <c:auto val="1"/>
        <c:lblAlgn val="ctr"/>
        <c:lblOffset val="100"/>
        <c:noMultiLvlLbl val="0"/>
      </c:catAx>
      <c:valAx>
        <c:axId val="1923761968"/>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2376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'1.e) Market crash'!$O$1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'1.e) Market crash'!$O$2:$O$91</c:f>
              <c:numCache>
                <c:formatCode>0.000</c:formatCode>
                <c:ptCount val="90"/>
                <c:pt idx="0">
                  <c:v>0</c:v>
                </c:pt>
                <c:pt idx="1">
                  <c:v>7.8196691911880389E-4</c:v>
                </c:pt>
                <c:pt idx="2">
                  <c:v>9.6213957326318766E-4</c:v>
                </c:pt>
                <c:pt idx="3">
                  <c:v>1.2737649232188453E-3</c:v>
                </c:pt>
                <c:pt idx="4">
                  <c:v>7.3967951806486187E-4</c:v>
                </c:pt>
                <c:pt idx="5">
                  <c:v>1.601706641212175E-4</c:v>
                </c:pt>
                <c:pt idx="6">
                  <c:v>1.0708925982625406E-3</c:v>
                </c:pt>
                <c:pt idx="7">
                  <c:v>2.6292732618735659E-3</c:v>
                </c:pt>
                <c:pt idx="8">
                  <c:v>3.9255970287418451E-3</c:v>
                </c:pt>
                <c:pt idx="9">
                  <c:v>5.0260934610334429E-3</c:v>
                </c:pt>
                <c:pt idx="10">
                  <c:v>5.6767308644873893E-3</c:v>
                </c:pt>
                <c:pt idx="11">
                  <c:v>5.4747684548612785E-3</c:v>
                </c:pt>
                <c:pt idx="12">
                  <c:v>5.2160175206863446E-3</c:v>
                </c:pt>
                <c:pt idx="13">
                  <c:v>6.2690478792046256E-3</c:v>
                </c:pt>
                <c:pt idx="14">
                  <c:v>6.9537872199587625E-3</c:v>
                </c:pt>
                <c:pt idx="15">
                  <c:v>6.7630191192210032E-3</c:v>
                </c:pt>
                <c:pt idx="16">
                  <c:v>6.6250417870742373E-3</c:v>
                </c:pt>
                <c:pt idx="17">
                  <c:v>6.8845688154562934E-3</c:v>
                </c:pt>
                <c:pt idx="18">
                  <c:v>6.7806015211478998E-3</c:v>
                </c:pt>
                <c:pt idx="19">
                  <c:v>6.8388523155541447E-3</c:v>
                </c:pt>
                <c:pt idx="20">
                  <c:v>0.10494522447252937</c:v>
                </c:pt>
                <c:pt idx="21">
                  <c:v>0.86725222155319548</c:v>
                </c:pt>
                <c:pt idx="22">
                  <c:v>-0.6536578868744396</c:v>
                </c:pt>
                <c:pt idx="23">
                  <c:v>-0.65365788539231851</c:v>
                </c:pt>
                <c:pt idx="24">
                  <c:v>-0.65368695051077275</c:v>
                </c:pt>
                <c:pt idx="25">
                  <c:v>-0.65371595685406803</c:v>
                </c:pt>
                <c:pt idx="26">
                  <c:v>-0.65374499629009897</c:v>
                </c:pt>
                <c:pt idx="27">
                  <c:v>-0.65377405144900358</c:v>
                </c:pt>
                <c:pt idx="28">
                  <c:v>-0.65380311924723422</c:v>
                </c:pt>
                <c:pt idx="29">
                  <c:v>-10.372121385555696</c:v>
                </c:pt>
                <c:pt idx="30">
                  <c:v>-10.37258237721357</c:v>
                </c:pt>
                <c:pt idx="31">
                  <c:v>-10.37304338795898</c:v>
                </c:pt>
                <c:pt idx="32">
                  <c:v>-10.373504433746257</c:v>
                </c:pt>
                <c:pt idx="33">
                  <c:v>-10.373965494852772</c:v>
                </c:pt>
                <c:pt idx="34">
                  <c:v>-10.374426565601675</c:v>
                </c:pt>
                <c:pt idx="35">
                  <c:v>-10.374887654503979</c:v>
                </c:pt>
                <c:pt idx="36">
                  <c:v>-10.375348771033227</c:v>
                </c:pt>
                <c:pt idx="37">
                  <c:v>-10.375809918756389</c:v>
                </c:pt>
                <c:pt idx="38">
                  <c:v>-10.376271033346585</c:v>
                </c:pt>
                <c:pt idx="39">
                  <c:v>-10.376732263485042</c:v>
                </c:pt>
                <c:pt idx="40">
                  <c:v>-10.377193447407898</c:v>
                </c:pt>
                <c:pt idx="41">
                  <c:v>-10.37765467737788</c:v>
                </c:pt>
                <c:pt idx="42">
                  <c:v>-10.378116011828864</c:v>
                </c:pt>
                <c:pt idx="43">
                  <c:v>-10.378577284644606</c:v>
                </c:pt>
                <c:pt idx="44">
                  <c:v>-10.379038588169454</c:v>
                </c:pt>
                <c:pt idx="45">
                  <c:v>-10.379500220432856</c:v>
                </c:pt>
                <c:pt idx="46">
                  <c:v>-10.379961495012347</c:v>
                </c:pt>
                <c:pt idx="47">
                  <c:v>-10.380422555579358</c:v>
                </c:pt>
                <c:pt idx="48">
                  <c:v>-10.380883920235156</c:v>
                </c:pt>
                <c:pt idx="49">
                  <c:v>-10.381345311078448</c:v>
                </c:pt>
                <c:pt idx="50">
                  <c:v>-10.381806716690052</c:v>
                </c:pt>
                <c:pt idx="51">
                  <c:v>-10.382268139112769</c:v>
                </c:pt>
                <c:pt idx="52">
                  <c:v>-10.382729585374891</c:v>
                </c:pt>
                <c:pt idx="53">
                  <c:v>-10.383191049734547</c:v>
                </c:pt>
                <c:pt idx="54">
                  <c:v>-10.383652535255703</c:v>
                </c:pt>
                <c:pt idx="55">
                  <c:v>-10.38411404121573</c:v>
                </c:pt>
                <c:pt idx="56">
                  <c:v>-10.384575567669263</c:v>
                </c:pt>
                <c:pt idx="57">
                  <c:v>-10.385037114605717</c:v>
                </c:pt>
                <c:pt idx="58">
                  <c:v>-10.385498682056614</c:v>
                </c:pt>
                <c:pt idx="59">
                  <c:v>-10.385960270119245</c:v>
                </c:pt>
                <c:pt idx="60">
                  <c:v>-10.386421878655561</c:v>
                </c:pt>
                <c:pt idx="61">
                  <c:v>-10.386883507673076</c:v>
                </c:pt>
                <c:pt idx="62">
                  <c:v>-10.387345157200263</c:v>
                </c:pt>
                <c:pt idx="63">
                  <c:v>-10.387806827244301</c:v>
                </c:pt>
                <c:pt idx="64">
                  <c:v>-10.388268517807617</c:v>
                </c:pt>
                <c:pt idx="65">
                  <c:v>-10.388730228890852</c:v>
                </c:pt>
                <c:pt idx="66">
                  <c:v>-10.38919196049498</c:v>
                </c:pt>
                <c:pt idx="67">
                  <c:v>-10.389653712620984</c:v>
                </c:pt>
                <c:pt idx="68">
                  <c:v>-10.390115485269751</c:v>
                </c:pt>
                <c:pt idx="69">
                  <c:v>-10.390577278442201</c:v>
                </c:pt>
                <c:pt idx="70">
                  <c:v>-10.39103909213925</c:v>
                </c:pt>
                <c:pt idx="71">
                  <c:v>-10.391500926361807</c:v>
                </c:pt>
                <c:pt idx="72">
                  <c:v>-10.391962781110786</c:v>
                </c:pt>
                <c:pt idx="73">
                  <c:v>-10.392424656387098</c:v>
                </c:pt>
                <c:pt idx="74">
                  <c:v>-10.392886552191657</c:v>
                </c:pt>
                <c:pt idx="75">
                  <c:v>-10.393348468525375</c:v>
                </c:pt>
                <c:pt idx="76">
                  <c:v>-10.393810405389162</c:v>
                </c:pt>
                <c:pt idx="77">
                  <c:v>-10.394272362783934</c:v>
                </c:pt>
                <c:pt idx="78">
                  <c:v>-10.394734340710601</c:v>
                </c:pt>
                <c:pt idx="79">
                  <c:v>-10.395196339170077</c:v>
                </c:pt>
                <c:pt idx="80">
                  <c:v>-10.395658358163274</c:v>
                </c:pt>
                <c:pt idx="81">
                  <c:v>-10.396120397691105</c:v>
                </c:pt>
                <c:pt idx="82">
                  <c:v>-10.396582457754482</c:v>
                </c:pt>
                <c:pt idx="83">
                  <c:v>-10.397044538354319</c:v>
                </c:pt>
                <c:pt idx="84">
                  <c:v>-10.397506639491528</c:v>
                </c:pt>
                <c:pt idx="85">
                  <c:v>-10.397968761167022</c:v>
                </c:pt>
                <c:pt idx="86">
                  <c:v>-10.398430903381712</c:v>
                </c:pt>
                <c:pt idx="87">
                  <c:v>-10.398893066136514</c:v>
                </c:pt>
                <c:pt idx="88">
                  <c:v>-10.39935524943234</c:v>
                </c:pt>
                <c:pt idx="89">
                  <c:v>-10.399817453270101</c:v>
                </c:pt>
              </c:numCache>
            </c:numRef>
          </c:val>
          <c:smooth val="0"/>
          <c:extLst>
            <c:ext xmlns:c16="http://schemas.microsoft.com/office/drawing/2014/chart" uri="{C3380CC4-5D6E-409C-BE32-E72D297353CC}">
              <c16:uniqueId val="{00000000-3E0D-4842-B3F9-E715EB28E5D5}"/>
            </c:ext>
          </c:extLst>
        </c:ser>
        <c:dLbls>
          <c:showLegendKey val="0"/>
          <c:showVal val="0"/>
          <c:showCatName val="0"/>
          <c:showSerName val="0"/>
          <c:showPercent val="0"/>
          <c:showBubbleSize val="0"/>
        </c:dLbls>
        <c:dropLines>
          <c:spPr>
            <a:ln w="9525" cap="flat" cmpd="sng" algn="ctr">
              <a:noFill/>
              <a:round/>
            </a:ln>
            <a:effectLst/>
          </c:spPr>
        </c:dropLines>
        <c:smooth val="0"/>
        <c:axId val="281816416"/>
        <c:axId val="281820992"/>
      </c:lineChart>
      <c:catAx>
        <c:axId val="281816416"/>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281820992"/>
        <c:crosses val="autoZero"/>
        <c:auto val="1"/>
        <c:lblAlgn val="ctr"/>
        <c:lblOffset val="100"/>
        <c:noMultiLvlLbl val="0"/>
      </c:catAx>
      <c:valAx>
        <c:axId val="281820992"/>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81816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PnL OF THE</a:t>
            </a:r>
            <a:r>
              <a:rPr lang="en-US" baseline="0"/>
              <a:t> HEDGING OPERATION</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manualLayout>
          <c:layoutTarget val="inner"/>
          <c:xMode val="edge"/>
          <c:yMode val="edge"/>
          <c:x val="9.5810472219678519E-2"/>
          <c:y val="0.19029287813985818"/>
          <c:w val="0.88799188860289124"/>
          <c:h val="0.78517075559204386"/>
        </c:manualLayout>
      </c:layout>
      <c:lineChart>
        <c:grouping val="standard"/>
        <c:varyColors val="0"/>
        <c:ser>
          <c:idx val="0"/>
          <c:order val="0"/>
          <c:tx>
            <c:strRef>
              <c:f>'1.f) Rho hedging '!$L$1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'1.f) Rho hedging '!$L$2:$L$721</c:f>
              <c:numCache>
                <c:formatCode>0.000</c:formatCode>
                <c:ptCount val="720"/>
                <c:pt idx="0">
                  <c:v>0</c:v>
                </c:pt>
                <c:pt idx="1">
                  <c:v>-1.4513761158821303E-2</c:v>
                </c:pt>
                <c:pt idx="2">
                  <c:v>-1.174609014344874E-2</c:v>
                </c:pt>
                <c:pt idx="3">
                  <c:v>2.8185130607329967E-3</c:v>
                </c:pt>
                <c:pt idx="4">
                  <c:v>1.8177247898718107E-2</c:v>
                </c:pt>
                <c:pt idx="5">
                  <c:v>1.8946761483053187E-2</c:v>
                </c:pt>
                <c:pt idx="6">
                  <c:v>1.6574737084909863E-2</c:v>
                </c:pt>
                <c:pt idx="7">
                  <c:v>-6.3070666326741076E-3</c:v>
                </c:pt>
                <c:pt idx="8">
                  <c:v>-1.7361138570411327E-2</c:v>
                </c:pt>
                <c:pt idx="9">
                  <c:v>6.5311922794109023E-4</c:v>
                </c:pt>
                <c:pt idx="10">
                  <c:v>-1.4327219975476702E-2</c:v>
                </c:pt>
                <c:pt idx="11">
                  <c:v>-1.599258577161411E-2</c:v>
                </c:pt>
                <c:pt idx="12">
                  <c:v>-3.1581793980035577E-2</c:v>
                </c:pt>
                <c:pt idx="13">
                  <c:v>-2.3353045911545856E-2</c:v>
                </c:pt>
                <c:pt idx="14">
                  <c:v>-5.1196482382064978E-2</c:v>
                </c:pt>
                <c:pt idx="15">
                  <c:v>-6.3301052781302047E-2</c:v>
                </c:pt>
                <c:pt idx="16">
                  <c:v>-7.6604663687521501E-2</c:v>
                </c:pt>
                <c:pt idx="17">
                  <c:v>-7.0766753822507411E-2</c:v>
                </c:pt>
                <c:pt idx="18">
                  <c:v>-7.3878482656881239E-2</c:v>
                </c:pt>
                <c:pt idx="19">
                  <c:v>-9.091241945805173E-2</c:v>
                </c:pt>
                <c:pt idx="20">
                  <c:v>-8.7620645317500134E-2</c:v>
                </c:pt>
                <c:pt idx="21">
                  <c:v>-9.6864955348213044E-2</c:v>
                </c:pt>
                <c:pt idx="22">
                  <c:v>-0.10212357005004069</c:v>
                </c:pt>
                <c:pt idx="23">
                  <c:v>-9.3485003303460878E-2</c:v>
                </c:pt>
                <c:pt idx="24">
                  <c:v>-0.10739841848428444</c:v>
                </c:pt>
                <c:pt idx="25">
                  <c:v>-9.2524707377738657E-2</c:v>
                </c:pt>
                <c:pt idx="26">
                  <c:v>-7.756593562331382E-2</c:v>
                </c:pt>
                <c:pt idx="27">
                  <c:v>-8.1922950154971197E-2</c:v>
                </c:pt>
                <c:pt idx="28">
                  <c:v>-9.0459011984987292E-2</c:v>
                </c:pt>
                <c:pt idx="29">
                  <c:v>-0.10793991402605307</c:v>
                </c:pt>
                <c:pt idx="30">
                  <c:v>-8.8840224480999375E-2</c:v>
                </c:pt>
                <c:pt idx="31">
                  <c:v>-7.2447941169634156E-2</c:v>
                </c:pt>
                <c:pt idx="32">
                  <c:v>-7.7643398623386872E-2</c:v>
                </c:pt>
                <c:pt idx="33">
                  <c:v>-7.8883713042355197E-2</c:v>
                </c:pt>
                <c:pt idx="34">
                  <c:v>-7.3416434982659595E-2</c:v>
                </c:pt>
                <c:pt idx="35">
                  <c:v>-6.2517903776519113E-2</c:v>
                </c:pt>
                <c:pt idx="36">
                  <c:v>-6.272099576860235E-2</c:v>
                </c:pt>
                <c:pt idx="37">
                  <c:v>-7.0054621504997083E-2</c:v>
                </c:pt>
                <c:pt idx="38">
                  <c:v>-8.0632283260767323E-2</c:v>
                </c:pt>
                <c:pt idx="39">
                  <c:v>-9.5158622714849095E-2</c:v>
                </c:pt>
                <c:pt idx="40">
                  <c:v>-9.1898569203725078E-2</c:v>
                </c:pt>
                <c:pt idx="41">
                  <c:v>-0.10824119271837374</c:v>
                </c:pt>
                <c:pt idx="42">
                  <c:v>-0.11122819434336995</c:v>
                </c:pt>
                <c:pt idx="43">
                  <c:v>-0.11004166575366492</c:v>
                </c:pt>
                <c:pt idx="44">
                  <c:v>-0.11327279987166605</c:v>
                </c:pt>
                <c:pt idx="45">
                  <c:v>-0.12407098604447153</c:v>
                </c:pt>
                <c:pt idx="46">
                  <c:v>-0.12693992287643807</c:v>
                </c:pt>
                <c:pt idx="47">
                  <c:v>-0.11529584945658122</c:v>
                </c:pt>
                <c:pt idx="48">
                  <c:v>-0.10261972611103198</c:v>
                </c:pt>
                <c:pt idx="49">
                  <c:v>-0.11224902002328907</c:v>
                </c:pt>
                <c:pt idx="50">
                  <c:v>-0.13094103081281272</c:v>
                </c:pt>
                <c:pt idx="51">
                  <c:v>-0.12659788484287882</c:v>
                </c:pt>
                <c:pt idx="52">
                  <c:v>-0.13088307901525065</c:v>
                </c:pt>
                <c:pt idx="53">
                  <c:v>-0.13347887557285443</c:v>
                </c:pt>
                <c:pt idx="54">
                  <c:v>-0.13673822957649984</c:v>
                </c:pt>
                <c:pt idx="55">
                  <c:v>-0.13877594360123968</c:v>
                </c:pt>
                <c:pt idx="56">
                  <c:v>-0.14085979543305882</c:v>
                </c:pt>
                <c:pt idx="57">
                  <c:v>-0.1224512845464738</c:v>
                </c:pt>
                <c:pt idx="58">
                  <c:v>-0.12220430138718452</c:v>
                </c:pt>
                <c:pt idx="59">
                  <c:v>-0.12874463516905577</c:v>
                </c:pt>
                <c:pt idx="60">
                  <c:v>-0.11813465552046898</c:v>
                </c:pt>
                <c:pt idx="61">
                  <c:v>-0.10625487686283774</c:v>
                </c:pt>
                <c:pt idx="62">
                  <c:v>-0.10431352302109342</c:v>
                </c:pt>
                <c:pt idx="63">
                  <c:v>-0.11255598794630606</c:v>
                </c:pt>
                <c:pt idx="64">
                  <c:v>-0.12342793112809414</c:v>
                </c:pt>
                <c:pt idx="65">
                  <c:v>-0.12854815519697338</c:v>
                </c:pt>
                <c:pt idx="66">
                  <c:v>-0.12881302591076649</c:v>
                </c:pt>
                <c:pt idx="67">
                  <c:v>-0.1148133682312964</c:v>
                </c:pt>
                <c:pt idx="68">
                  <c:v>-0.11703973155950598</c:v>
                </c:pt>
                <c:pt idx="69">
                  <c:v>-0.1290543461557756</c:v>
                </c:pt>
                <c:pt idx="70">
                  <c:v>-0.13590147927446417</c:v>
                </c:pt>
                <c:pt idx="71">
                  <c:v>-0.12376556477153633</c:v>
                </c:pt>
                <c:pt idx="72">
                  <c:v>-0.12759318539777897</c:v>
                </c:pt>
                <c:pt idx="73">
                  <c:v>-0.14552820512338727</c:v>
                </c:pt>
                <c:pt idx="74">
                  <c:v>-0.15995863138756672</c:v>
                </c:pt>
                <c:pt idx="75">
                  <c:v>-0.17319503577537931</c:v>
                </c:pt>
                <c:pt idx="76">
                  <c:v>-0.16402321324475988</c:v>
                </c:pt>
                <c:pt idx="77">
                  <c:v>-0.16937124742561416</c:v>
                </c:pt>
                <c:pt idx="78">
                  <c:v>-0.17860934485912949</c:v>
                </c:pt>
                <c:pt idx="79">
                  <c:v>-0.17878170527601345</c:v>
                </c:pt>
                <c:pt idx="80">
                  <c:v>-0.20294246343872269</c:v>
                </c:pt>
                <c:pt idx="81">
                  <c:v>-0.21541362672543896</c:v>
                </c:pt>
                <c:pt idx="82">
                  <c:v>-0.2485578974778857</c:v>
                </c:pt>
                <c:pt idx="83">
                  <c:v>-0.23514412473398938</c:v>
                </c:pt>
                <c:pt idx="84">
                  <c:v>-0.23618340465031062</c:v>
                </c:pt>
                <c:pt idx="85">
                  <c:v>-0.23370994944552015</c:v>
                </c:pt>
                <c:pt idx="86">
                  <c:v>-0.2178451099210168</c:v>
                </c:pt>
                <c:pt idx="87">
                  <c:v>-0.22342686415587343</c:v>
                </c:pt>
                <c:pt idx="88">
                  <c:v>-0.21938355724359204</c:v>
                </c:pt>
                <c:pt idx="89">
                  <c:v>-0.22280575542974912</c:v>
                </c:pt>
                <c:pt idx="90">
                  <c:v>-0.23163854106675164</c:v>
                </c:pt>
                <c:pt idx="91">
                  <c:v>-0.23524794397164062</c:v>
                </c:pt>
                <c:pt idx="92">
                  <c:v>-0.2424658570567253</c:v>
                </c:pt>
                <c:pt idx="93">
                  <c:v>-0.24841718308674654</c:v>
                </c:pt>
                <c:pt idx="94">
                  <c:v>-0.25864078148311931</c:v>
                </c:pt>
                <c:pt idx="95">
                  <c:v>-0.26806052974494365</c:v>
                </c:pt>
                <c:pt idx="96">
                  <c:v>-0.29269946915045386</c:v>
                </c:pt>
                <c:pt idx="97">
                  <c:v>-0.2971654347794126</c:v>
                </c:pt>
                <c:pt idx="98">
                  <c:v>-0.29316782258947183</c:v>
                </c:pt>
                <c:pt idx="99">
                  <c:v>-0.30148467095548837</c:v>
                </c:pt>
                <c:pt idx="100">
                  <c:v>-0.30570328562623761</c:v>
                </c:pt>
                <c:pt idx="101">
                  <c:v>-0.31337988996699373</c:v>
                </c:pt>
                <c:pt idx="102">
                  <c:v>-0.33186504849311538</c:v>
                </c:pt>
                <c:pt idx="103">
                  <c:v>-0.3124538618794106</c:v>
                </c:pt>
                <c:pt idx="104">
                  <c:v>-0.31204610056762005</c:v>
                </c:pt>
                <c:pt idx="105">
                  <c:v>-0.32130408113266729</c:v>
                </c:pt>
                <c:pt idx="106">
                  <c:v>-0.32610931884562344</c:v>
                </c:pt>
                <c:pt idx="107">
                  <c:v>-0.34067128843044969</c:v>
                </c:pt>
                <c:pt idx="108">
                  <c:v>-0.34152437633999977</c:v>
                </c:pt>
                <c:pt idx="109">
                  <c:v>-0.34278102801312516</c:v>
                </c:pt>
                <c:pt idx="110">
                  <c:v>-0.34157033872381914</c:v>
                </c:pt>
                <c:pt idx="111">
                  <c:v>-0.35203079270108883</c:v>
                </c:pt>
                <c:pt idx="112">
                  <c:v>-0.35566369484266547</c:v>
                </c:pt>
                <c:pt idx="113">
                  <c:v>-0.35256242113679503</c:v>
                </c:pt>
                <c:pt idx="114">
                  <c:v>-0.34824033919215003</c:v>
                </c:pt>
                <c:pt idx="115">
                  <c:v>-0.35286676981404774</c:v>
                </c:pt>
                <c:pt idx="116">
                  <c:v>-0.3714165432437051</c:v>
                </c:pt>
                <c:pt idx="117">
                  <c:v>-0.36194831413314255</c:v>
                </c:pt>
                <c:pt idx="118">
                  <c:v>-0.36774490235465684</c:v>
                </c:pt>
                <c:pt idx="119">
                  <c:v>-0.37231874300931889</c:v>
                </c:pt>
                <c:pt idx="120">
                  <c:v>-0.35528753224660159</c:v>
                </c:pt>
                <c:pt idx="121">
                  <c:v>-0.3533751975426811</c:v>
                </c:pt>
                <c:pt idx="122">
                  <c:v>-0.35258957933086865</c:v>
                </c:pt>
                <c:pt idx="123">
                  <c:v>-0.37053128841441652</c:v>
                </c:pt>
                <c:pt idx="124">
                  <c:v>-0.39800163467735583</c:v>
                </c:pt>
                <c:pt idx="125">
                  <c:v>-0.39222380565385606</c:v>
                </c:pt>
                <c:pt idx="126">
                  <c:v>-0.39500243317023553</c:v>
                </c:pt>
                <c:pt idx="127">
                  <c:v>-0.39265191632397567</c:v>
                </c:pt>
                <c:pt idx="128">
                  <c:v>-0.3757734785497564</c:v>
                </c:pt>
                <c:pt idx="129">
                  <c:v>-0.37841192689268599</c:v>
                </c:pt>
                <c:pt idx="130">
                  <c:v>-0.39020500941190139</c:v>
                </c:pt>
                <c:pt idx="131">
                  <c:v>-0.38622533434092876</c:v>
                </c:pt>
                <c:pt idx="132">
                  <c:v>-0.38315146386646948</c:v>
                </c:pt>
                <c:pt idx="133">
                  <c:v>-0.42943152017139674</c:v>
                </c:pt>
                <c:pt idx="134">
                  <c:v>-0.44602827482170415</c:v>
                </c:pt>
                <c:pt idx="135">
                  <c:v>-0.42376069183090515</c:v>
                </c:pt>
                <c:pt idx="136">
                  <c:v>-0.42532185881007312</c:v>
                </c:pt>
                <c:pt idx="137">
                  <c:v>-0.42497863813879544</c:v>
                </c:pt>
                <c:pt idx="138">
                  <c:v>-0.42611847953623627</c:v>
                </c:pt>
                <c:pt idx="139">
                  <c:v>-0.42176033245892963</c:v>
                </c:pt>
                <c:pt idx="140">
                  <c:v>-0.4428047354093243</c:v>
                </c:pt>
                <c:pt idx="141">
                  <c:v>-0.43264283307655882</c:v>
                </c:pt>
                <c:pt idx="142">
                  <c:v>-0.43840424848002524</c:v>
                </c:pt>
                <c:pt idx="143">
                  <c:v>-0.43658989809553983</c:v>
                </c:pt>
                <c:pt idx="144">
                  <c:v>-0.44715613048632452</c:v>
                </c:pt>
                <c:pt idx="145">
                  <c:v>-0.4482632939716229</c:v>
                </c:pt>
                <c:pt idx="146">
                  <c:v>-0.4828090793558788</c:v>
                </c:pt>
                <c:pt idx="147">
                  <c:v>-0.47327155145803879</c:v>
                </c:pt>
                <c:pt idx="148">
                  <c:v>-0.47908890152628736</c:v>
                </c:pt>
                <c:pt idx="149">
                  <c:v>-0.49573129678057493</c:v>
                </c:pt>
                <c:pt idx="150">
                  <c:v>-0.49626749078997756</c:v>
                </c:pt>
                <c:pt idx="151">
                  <c:v>-0.48679265123398396</c:v>
                </c:pt>
                <c:pt idx="152">
                  <c:v>-0.47124964213382547</c:v>
                </c:pt>
                <c:pt idx="153">
                  <c:v>-0.47690406021909704</c:v>
                </c:pt>
                <c:pt idx="154">
                  <c:v>-0.4951928624165669</c:v>
                </c:pt>
                <c:pt idx="155">
                  <c:v>-0.48265764875536643</c:v>
                </c:pt>
                <c:pt idx="156">
                  <c:v>-0.50269775983938025</c:v>
                </c:pt>
                <c:pt idx="157">
                  <c:v>-0.51592472692899483</c:v>
                </c:pt>
                <c:pt idx="158">
                  <c:v>-0.52029343121409966</c:v>
                </c:pt>
                <c:pt idx="159">
                  <c:v>-0.56751021867565532</c:v>
                </c:pt>
                <c:pt idx="160">
                  <c:v>-0.57352527714523927</c:v>
                </c:pt>
                <c:pt idx="161">
                  <c:v>-0.58031918308251562</c:v>
                </c:pt>
                <c:pt idx="162">
                  <c:v>-0.58943164648654012</c:v>
                </c:pt>
                <c:pt idx="163">
                  <c:v>-0.59132155393606833</c:v>
                </c:pt>
                <c:pt idx="164">
                  <c:v>-0.57999920927090853</c:v>
                </c:pt>
                <c:pt idx="165">
                  <c:v>-0.56175390666945946</c:v>
                </c:pt>
                <c:pt idx="166">
                  <c:v>-0.56737291693294001</c:v>
                </c:pt>
                <c:pt idx="167">
                  <c:v>-0.57496048304027436</c:v>
                </c:pt>
                <c:pt idx="168">
                  <c:v>-0.58228316124347801</c:v>
                </c:pt>
                <c:pt idx="169">
                  <c:v>-0.58765985508424778</c:v>
                </c:pt>
                <c:pt idx="170">
                  <c:v>-0.58297152635407201</c:v>
                </c:pt>
                <c:pt idx="171">
                  <c:v>-0.59518651169149495</c:v>
                </c:pt>
                <c:pt idx="172">
                  <c:v>-0.58910429188377034</c:v>
                </c:pt>
                <c:pt idx="173">
                  <c:v>-0.58866135616418402</c:v>
                </c:pt>
                <c:pt idx="174">
                  <c:v>-0.59472309011724933</c:v>
                </c:pt>
                <c:pt idx="175">
                  <c:v>-0.59408575611709713</c:v>
                </c:pt>
                <c:pt idx="176">
                  <c:v>-0.60567177451888021</c:v>
                </c:pt>
                <c:pt idx="177">
                  <c:v>-0.62315637358630838</c:v>
                </c:pt>
                <c:pt idx="178">
                  <c:v>-0.61839644297721463</c:v>
                </c:pt>
                <c:pt idx="179">
                  <c:v>-0.62461935323149831</c:v>
                </c:pt>
                <c:pt idx="180">
                  <c:v>-0.62418585632870016</c:v>
                </c:pt>
                <c:pt idx="181">
                  <c:v>-0.63906015834892171</c:v>
                </c:pt>
                <c:pt idx="182">
                  <c:v>-0.64369408963579522</c:v>
                </c:pt>
                <c:pt idx="183">
                  <c:v>-0.64052509121507484</c:v>
                </c:pt>
                <c:pt idx="184">
                  <c:v>-0.64429365833603569</c:v>
                </c:pt>
                <c:pt idx="185">
                  <c:v>-0.63746548821784499</c:v>
                </c:pt>
                <c:pt idx="186">
                  <c:v>-0.64186656762897076</c:v>
                </c:pt>
                <c:pt idx="187">
                  <c:v>-0.62268142037866925</c:v>
                </c:pt>
                <c:pt idx="188">
                  <c:v>-0.62976975923593725</c:v>
                </c:pt>
                <c:pt idx="189">
                  <c:v>-0.64330259687897628</c:v>
                </c:pt>
                <c:pt idx="190">
                  <c:v>-0.63906409794394392</c:v>
                </c:pt>
                <c:pt idx="191">
                  <c:v>-0.62768876594063361</c:v>
                </c:pt>
                <c:pt idx="192">
                  <c:v>-0.60951619683982239</c:v>
                </c:pt>
                <c:pt idx="193">
                  <c:v>-0.60326816412014361</c:v>
                </c:pt>
                <c:pt idx="194">
                  <c:v>-0.59318885814261701</c:v>
                </c:pt>
                <c:pt idx="195">
                  <c:v>-0.60710615233990062</c:v>
                </c:pt>
                <c:pt idx="196">
                  <c:v>-0.60289017022348812</c:v>
                </c:pt>
                <c:pt idx="197">
                  <c:v>-0.60439693343566292</c:v>
                </c:pt>
                <c:pt idx="198">
                  <c:v>-0.61529157111719091</c:v>
                </c:pt>
                <c:pt idx="199">
                  <c:v>-0.60437241299427003</c:v>
                </c:pt>
                <c:pt idx="200">
                  <c:v>-0.60707031293719238</c:v>
                </c:pt>
                <c:pt idx="201">
                  <c:v>-0.5993766125398472</c:v>
                </c:pt>
                <c:pt idx="202">
                  <c:v>-0.61083759511673374</c:v>
                </c:pt>
                <c:pt idx="203">
                  <c:v>-0.5974357907627299</c:v>
                </c:pt>
                <c:pt idx="204">
                  <c:v>-0.60127367093782569</c:v>
                </c:pt>
                <c:pt idx="205">
                  <c:v>-0.60709907397993623</c:v>
                </c:pt>
                <c:pt idx="206">
                  <c:v>-0.5989320681569632</c:v>
                </c:pt>
                <c:pt idx="207">
                  <c:v>-0.63368043516085582</c:v>
                </c:pt>
                <c:pt idx="208">
                  <c:v>-0.64504615486038563</c:v>
                </c:pt>
                <c:pt idx="209">
                  <c:v>-0.65448931641614827</c:v>
                </c:pt>
                <c:pt idx="210">
                  <c:v>-0.67650472357654845</c:v>
                </c:pt>
                <c:pt idx="211">
                  <c:v>-0.69392657003152447</c:v>
                </c:pt>
                <c:pt idx="212">
                  <c:v>-0.68511776091752274</c:v>
                </c:pt>
                <c:pt idx="213">
                  <c:v>-0.71300884901081485</c:v>
                </c:pt>
                <c:pt idx="214">
                  <c:v>-0.72110991747998732</c:v>
                </c:pt>
                <c:pt idx="215">
                  <c:v>-0.72260011200622731</c:v>
                </c:pt>
                <c:pt idx="216">
                  <c:v>-0.72392086699941594</c:v>
                </c:pt>
                <c:pt idx="217">
                  <c:v>-0.71383109120665544</c:v>
                </c:pt>
                <c:pt idx="218">
                  <c:v>-0.70446521010283725</c:v>
                </c:pt>
                <c:pt idx="219">
                  <c:v>-0.70975683179482996</c:v>
                </c:pt>
                <c:pt idx="220">
                  <c:v>-0.70775744231032611</c:v>
                </c:pt>
                <c:pt idx="221">
                  <c:v>-0.70631408404129914</c:v>
                </c:pt>
                <c:pt idx="222">
                  <c:v>-0.7112592231830881</c:v>
                </c:pt>
                <c:pt idx="223">
                  <c:v>-0.72310858160949021</c:v>
                </c:pt>
                <c:pt idx="224">
                  <c:v>-0.73368306853558618</c:v>
                </c:pt>
                <c:pt idx="225">
                  <c:v>-0.7180861861192156</c:v>
                </c:pt>
                <c:pt idx="226">
                  <c:v>-0.72857116430946434</c:v>
                </c:pt>
                <c:pt idx="227">
                  <c:v>-0.70746900419129233</c:v>
                </c:pt>
                <c:pt idx="228">
                  <c:v>-0.71331159551034951</c:v>
                </c:pt>
                <c:pt idx="229">
                  <c:v>-0.73110769171308299</c:v>
                </c:pt>
                <c:pt idx="230">
                  <c:v>-0.73607769376193488</c:v>
                </c:pt>
                <c:pt idx="231">
                  <c:v>-0.74704632438442875</c:v>
                </c:pt>
                <c:pt idx="232">
                  <c:v>-0.73147604290270429</c:v>
                </c:pt>
                <c:pt idx="233">
                  <c:v>-0.74866326636332481</c:v>
                </c:pt>
                <c:pt idx="234">
                  <c:v>-0.73236783524108073</c:v>
                </c:pt>
                <c:pt idx="235">
                  <c:v>-0.71908583966745354</c:v>
                </c:pt>
                <c:pt idx="236">
                  <c:v>-0.73825811462172997</c:v>
                </c:pt>
                <c:pt idx="237">
                  <c:v>-0.75454928272687116</c:v>
                </c:pt>
                <c:pt idx="238">
                  <c:v>-0.75825661047082349</c:v>
                </c:pt>
                <c:pt idx="239">
                  <c:v>-0.77780090615459319</c:v>
                </c:pt>
                <c:pt idx="240">
                  <c:v>-0.76814640601952089</c:v>
                </c:pt>
                <c:pt idx="241">
                  <c:v>-0.75517645116987087</c:v>
                </c:pt>
                <c:pt idx="242">
                  <c:v>-0.76628060007136956</c:v>
                </c:pt>
                <c:pt idx="243">
                  <c:v>-0.79521861198693955</c:v>
                </c:pt>
                <c:pt idx="244">
                  <c:v>-0.77877058087269635</c:v>
                </c:pt>
                <c:pt idx="245">
                  <c:v>-0.74844193809293458</c:v>
                </c:pt>
                <c:pt idx="246">
                  <c:v>-0.72926053306426475</c:v>
                </c:pt>
                <c:pt idx="247">
                  <c:v>-0.74295368310418652</c:v>
                </c:pt>
                <c:pt idx="248">
                  <c:v>-0.74496427014333211</c:v>
                </c:pt>
                <c:pt idx="249">
                  <c:v>-0.78489594181598665</c:v>
                </c:pt>
                <c:pt idx="250">
                  <c:v>-0.80228532385602325</c:v>
                </c:pt>
                <c:pt idx="251">
                  <c:v>-0.80547482261874936</c:v>
                </c:pt>
                <c:pt idx="252">
                  <c:v>-0.81019146555635757</c:v>
                </c:pt>
                <c:pt idx="253">
                  <c:v>-0.77943184849352676</c:v>
                </c:pt>
                <c:pt idx="254">
                  <c:v>-0.76940126709857637</c:v>
                </c:pt>
                <c:pt idx="255">
                  <c:v>-0.79845640125651762</c:v>
                </c:pt>
                <c:pt idx="256">
                  <c:v>-0.78950166309052872</c:v>
                </c:pt>
                <c:pt idx="257">
                  <c:v>-0.8035909775894039</c:v>
                </c:pt>
                <c:pt idx="258">
                  <c:v>-0.83481960081951545</c:v>
                </c:pt>
                <c:pt idx="259">
                  <c:v>-0.86202585097647244</c:v>
                </c:pt>
                <c:pt idx="260">
                  <c:v>-0.85096376525717332</c:v>
                </c:pt>
                <c:pt idx="261">
                  <c:v>-0.85106274318005504</c:v>
                </c:pt>
                <c:pt idx="262">
                  <c:v>-0.83621411528584488</c:v>
                </c:pt>
                <c:pt idx="263">
                  <c:v>-0.88454991476619949</c:v>
                </c:pt>
                <c:pt idx="264">
                  <c:v>-0.88354580903685509</c:v>
                </c:pt>
                <c:pt idx="265">
                  <c:v>-0.88010019743427126</c:v>
                </c:pt>
                <c:pt idx="266">
                  <c:v>-0.86541865112105576</c:v>
                </c:pt>
                <c:pt idx="267">
                  <c:v>-0.85591103751596265</c:v>
                </c:pt>
                <c:pt idx="268">
                  <c:v>-0.85776993089187581</c:v>
                </c:pt>
                <c:pt idx="269">
                  <c:v>-0.89553944667617813</c:v>
                </c:pt>
                <c:pt idx="270">
                  <c:v>-0.90855719753682518</c:v>
                </c:pt>
                <c:pt idx="271">
                  <c:v>-0.90960197719476898</c:v>
                </c:pt>
                <c:pt idx="272">
                  <c:v>-0.92357801146012353</c:v>
                </c:pt>
                <c:pt idx="273">
                  <c:v>-0.9019658466472551</c:v>
                </c:pt>
                <c:pt idx="274">
                  <c:v>-0.93771306629454543</c:v>
                </c:pt>
                <c:pt idx="275">
                  <c:v>-0.93397825909278875</c:v>
                </c:pt>
                <c:pt idx="276">
                  <c:v>-0.93761315917959998</c:v>
                </c:pt>
                <c:pt idx="277">
                  <c:v>-0.94261070456718876</c:v>
                </c:pt>
                <c:pt idx="278">
                  <c:v>-0.95267624440240972</c:v>
                </c:pt>
                <c:pt idx="279">
                  <c:v>-0.96107391849346158</c:v>
                </c:pt>
                <c:pt idx="280">
                  <c:v>-1.0010112629777304</c:v>
                </c:pt>
                <c:pt idx="281">
                  <c:v>-1.0201902719651867</c:v>
                </c:pt>
                <c:pt idx="282">
                  <c:v>-1.0175459802939271</c:v>
                </c:pt>
                <c:pt idx="283">
                  <c:v>-1.0115224300472043</c:v>
                </c:pt>
                <c:pt idx="284">
                  <c:v>-0.99186216563866392</c:v>
                </c:pt>
                <c:pt idx="285">
                  <c:v>-1.0229888436004977</c:v>
                </c:pt>
                <c:pt idx="286">
                  <c:v>-1.0314760141512629</c:v>
                </c:pt>
                <c:pt idx="287">
                  <c:v>-1.0316009071877796</c:v>
                </c:pt>
                <c:pt idx="288">
                  <c:v>-1.008267267557478</c:v>
                </c:pt>
                <c:pt idx="289">
                  <c:v>-1.0110648611113264</c:v>
                </c:pt>
                <c:pt idx="290">
                  <c:v>-1.0112493027122524</c:v>
                </c:pt>
                <c:pt idx="291">
                  <c:v>-0.98971855410235055</c:v>
                </c:pt>
                <c:pt idx="292">
                  <c:v>-0.99543202006197973</c:v>
                </c:pt>
                <c:pt idx="293">
                  <c:v>-0.97039598351878897</c:v>
                </c:pt>
                <c:pt idx="294">
                  <c:v>-0.95249912977028073</c:v>
                </c:pt>
                <c:pt idx="295">
                  <c:v>-0.97762409002723283</c:v>
                </c:pt>
                <c:pt idx="296">
                  <c:v>-0.97106547970889379</c:v>
                </c:pt>
                <c:pt idx="297">
                  <c:v>-0.9670354117329345</c:v>
                </c:pt>
                <c:pt idx="298">
                  <c:v>-0.96861757102715673</c:v>
                </c:pt>
                <c:pt idx="299">
                  <c:v>-0.96985693695218744</c:v>
                </c:pt>
                <c:pt idx="300">
                  <c:v>-0.99517329414401079</c:v>
                </c:pt>
                <c:pt idx="301">
                  <c:v>-0.98923207208156727</c:v>
                </c:pt>
                <c:pt idx="302">
                  <c:v>-1.0122072557118078</c:v>
                </c:pt>
                <c:pt idx="303">
                  <c:v>-0.99787231816277222</c:v>
                </c:pt>
                <c:pt idx="304">
                  <c:v>-0.98445846616581445</c:v>
                </c:pt>
                <c:pt idx="305">
                  <c:v>-0.99020324325864228</c:v>
                </c:pt>
                <c:pt idx="306">
                  <c:v>-0.99003316441281619</c:v>
                </c:pt>
                <c:pt idx="307">
                  <c:v>-0.99997703149718431</c:v>
                </c:pt>
                <c:pt idx="308">
                  <c:v>-1.0108404916828975</c:v>
                </c:pt>
                <c:pt idx="309">
                  <c:v>-1.0109906038927381</c:v>
                </c:pt>
                <c:pt idx="310">
                  <c:v>-1.0065699427892332</c:v>
                </c:pt>
                <c:pt idx="311">
                  <c:v>-1.0090515782122953</c:v>
                </c:pt>
                <c:pt idx="312">
                  <c:v>-1.0345065620725866</c:v>
                </c:pt>
                <c:pt idx="313">
                  <c:v>-1.0354477229870207</c:v>
                </c:pt>
                <c:pt idx="314">
                  <c:v>-1.0500317560350552</c:v>
                </c:pt>
                <c:pt idx="315">
                  <c:v>-1.0473410004725141</c:v>
                </c:pt>
                <c:pt idx="316">
                  <c:v>-1.0556161017441497</c:v>
                </c:pt>
                <c:pt idx="317">
                  <c:v>-1.0619254840672014</c:v>
                </c:pt>
                <c:pt idx="318">
                  <c:v>-1.0702101211311599</c:v>
                </c:pt>
                <c:pt idx="319">
                  <c:v>-1.0670828068274116</c:v>
                </c:pt>
                <c:pt idx="320">
                  <c:v>-1.0757305600886582</c:v>
                </c:pt>
                <c:pt idx="321">
                  <c:v>-1.072982949856341</c:v>
                </c:pt>
                <c:pt idx="322">
                  <c:v>-1.0820904824182354</c:v>
                </c:pt>
                <c:pt idx="323">
                  <c:v>-1.1016383487578802</c:v>
                </c:pt>
                <c:pt idx="324">
                  <c:v>-1.0978338963283352</c:v>
                </c:pt>
                <c:pt idx="325">
                  <c:v>-1.0937847902901503</c:v>
                </c:pt>
                <c:pt idx="326">
                  <c:v>-1.0876009944165537</c:v>
                </c:pt>
                <c:pt idx="327">
                  <c:v>-1.0840942280965018</c:v>
                </c:pt>
                <c:pt idx="328">
                  <c:v>-1.0837915568864234</c:v>
                </c:pt>
                <c:pt idx="329">
                  <c:v>-1.0938858796066693</c:v>
                </c:pt>
                <c:pt idx="330">
                  <c:v>-1.091784857646007</c:v>
                </c:pt>
                <c:pt idx="331">
                  <c:v>-1.098783278391182</c:v>
                </c:pt>
                <c:pt idx="332">
                  <c:v>-1.1136945708690376</c:v>
                </c:pt>
                <c:pt idx="333">
                  <c:v>-1.1113552486878533</c:v>
                </c:pt>
                <c:pt idx="334">
                  <c:v>-1.1140359565695019</c:v>
                </c:pt>
                <c:pt idx="335">
                  <c:v>-1.11365657299985</c:v>
                </c:pt>
                <c:pt idx="336">
                  <c:v>-1.1045630746191439</c:v>
                </c:pt>
                <c:pt idx="337">
                  <c:v>-1.0976481819626931</c:v>
                </c:pt>
                <c:pt idx="338">
                  <c:v>-1.0981437910650393</c:v>
                </c:pt>
                <c:pt idx="339">
                  <c:v>-1.1011979908392773</c:v>
                </c:pt>
                <c:pt idx="340">
                  <c:v>-1.0931338125235213</c:v>
                </c:pt>
                <c:pt idx="341">
                  <c:v>-1.0979955889337136</c:v>
                </c:pt>
                <c:pt idx="342">
                  <c:v>-1.1017832702341819</c:v>
                </c:pt>
                <c:pt idx="343">
                  <c:v>-1.1120984250957595</c:v>
                </c:pt>
                <c:pt idx="344">
                  <c:v>-1.1123455777502873</c:v>
                </c:pt>
                <c:pt idx="345">
                  <c:v>-1.1100881040701494</c:v>
                </c:pt>
                <c:pt idx="346">
                  <c:v>-1.1080826927171246</c:v>
                </c:pt>
                <c:pt idx="347">
                  <c:v>-1.1013579971228464</c:v>
                </c:pt>
                <c:pt idx="348">
                  <c:v>-1.1270311477167354</c:v>
                </c:pt>
                <c:pt idx="349">
                  <c:v>-1.139211617000875</c:v>
                </c:pt>
                <c:pt idx="350">
                  <c:v>-1.1402398620524297</c:v>
                </c:pt>
                <c:pt idx="351">
                  <c:v>-1.1446111111537072</c:v>
                </c:pt>
                <c:pt idx="352">
                  <c:v>-1.1357375265381426</c:v>
                </c:pt>
                <c:pt idx="353">
                  <c:v>-1.1692610000031922</c:v>
                </c:pt>
                <c:pt idx="354">
                  <c:v>-1.1600262485637383</c:v>
                </c:pt>
                <c:pt idx="355">
                  <c:v>-1.1561956610553614</c:v>
                </c:pt>
                <c:pt idx="356">
                  <c:v>-1.1487843990792137</c:v>
                </c:pt>
                <c:pt idx="357">
                  <c:v>-1.1483143613918165</c:v>
                </c:pt>
                <c:pt idx="358">
                  <c:v>-1.1462182651897863</c:v>
                </c:pt>
                <c:pt idx="359">
                  <c:v>-1.1287246716500854</c:v>
                </c:pt>
                <c:pt idx="360">
                  <c:v>-1.1106656399932353</c:v>
                </c:pt>
                <c:pt idx="361">
                  <c:v>-1.1102497716187183</c:v>
                </c:pt>
                <c:pt idx="362">
                  <c:v>-1.1013137081983935</c:v>
                </c:pt>
                <c:pt idx="363">
                  <c:v>-1.0933808229456925</c:v>
                </c:pt>
                <c:pt idx="364">
                  <c:v>-1.1017372209154885</c:v>
                </c:pt>
                <c:pt idx="365">
                  <c:v>-1.0959969544753743</c:v>
                </c:pt>
                <c:pt idx="366">
                  <c:v>-1.1008580280551783</c:v>
                </c:pt>
                <c:pt idx="367">
                  <c:v>-1.1045211267847816</c:v>
                </c:pt>
                <c:pt idx="368">
                  <c:v>-1.0944849218955022</c:v>
                </c:pt>
                <c:pt idx="369">
                  <c:v>-1.0992679206102125</c:v>
                </c:pt>
                <c:pt idx="370">
                  <c:v>-1.0955670656577647</c:v>
                </c:pt>
                <c:pt idx="371">
                  <c:v>-1.0959643149435012</c:v>
                </c:pt>
                <c:pt idx="372">
                  <c:v>-1.0781676429634865</c:v>
                </c:pt>
                <c:pt idx="373">
                  <c:v>-1.0754393962742168</c:v>
                </c:pt>
                <c:pt idx="374">
                  <c:v>-1.0737685417439282</c:v>
                </c:pt>
                <c:pt idx="375">
                  <c:v>-1.0760300379422643</c:v>
                </c:pt>
                <c:pt idx="376">
                  <c:v>-1.0799904703865557</c:v>
                </c:pt>
                <c:pt idx="377">
                  <c:v>-1.082014541151</c:v>
                </c:pt>
                <c:pt idx="378">
                  <c:v>-1.0842309898049802</c:v>
                </c:pt>
                <c:pt idx="379">
                  <c:v>-1.0770143379897921</c:v>
                </c:pt>
                <c:pt idx="380">
                  <c:v>-1.0823595894746603</c:v>
                </c:pt>
                <c:pt idx="381">
                  <c:v>-1.1105039592949135</c:v>
                </c:pt>
                <c:pt idx="382">
                  <c:v>-1.1100893441074362</c:v>
                </c:pt>
                <c:pt idx="383">
                  <c:v>-1.1170524486688171</c:v>
                </c:pt>
                <c:pt idx="384">
                  <c:v>-1.1079202007989042</c:v>
                </c:pt>
                <c:pt idx="385">
                  <c:v>-1.1036180135865246</c:v>
                </c:pt>
                <c:pt idx="386">
                  <c:v>-1.0949805370572998</c:v>
                </c:pt>
                <c:pt idx="387">
                  <c:v>-1.0841745026506351</c:v>
                </c:pt>
                <c:pt idx="388">
                  <c:v>-1.0873488113952114</c:v>
                </c:pt>
                <c:pt idx="389">
                  <c:v>-1.0806039500116285</c:v>
                </c:pt>
                <c:pt idx="390">
                  <c:v>-1.0746649534498987</c:v>
                </c:pt>
                <c:pt idx="391">
                  <c:v>-1.0748788820389419</c:v>
                </c:pt>
                <c:pt idx="392">
                  <c:v>-1.0653471453186334</c:v>
                </c:pt>
                <c:pt idx="393">
                  <c:v>-1.0608773625337431</c:v>
                </c:pt>
                <c:pt idx="394">
                  <c:v>-1.0668800443119608</c:v>
                </c:pt>
                <c:pt idx="395">
                  <c:v>-1.0635551841819524</c:v>
                </c:pt>
                <c:pt idx="396">
                  <c:v>-1.061471321783795</c:v>
                </c:pt>
                <c:pt idx="397">
                  <c:v>-1.0613209868964795</c:v>
                </c:pt>
                <c:pt idx="398">
                  <c:v>-1.0491704845193655</c:v>
                </c:pt>
                <c:pt idx="399">
                  <c:v>-1.0439306848750314</c:v>
                </c:pt>
                <c:pt idx="400">
                  <c:v>-1.0479402180663229</c:v>
                </c:pt>
                <c:pt idx="401">
                  <c:v>-1.0455829811833062</c:v>
                </c:pt>
                <c:pt idx="402">
                  <c:v>-1.0412407941735049</c:v>
                </c:pt>
                <c:pt idx="403">
                  <c:v>-1.0755289758902054</c:v>
                </c:pt>
                <c:pt idx="404">
                  <c:v>-1.1077289721460999</c:v>
                </c:pt>
                <c:pt idx="405">
                  <c:v>-1.1088659822345561</c:v>
                </c:pt>
                <c:pt idx="406">
                  <c:v>-1.1157774374978042</c:v>
                </c:pt>
                <c:pt idx="407">
                  <c:v>-1.1120930874952148</c:v>
                </c:pt>
                <c:pt idx="408">
                  <c:v>-1.1081517355299537</c:v>
                </c:pt>
                <c:pt idx="409">
                  <c:v>-1.1105878333298267</c:v>
                </c:pt>
                <c:pt idx="410">
                  <c:v>-1.1145460971362162</c:v>
                </c:pt>
                <c:pt idx="411">
                  <c:v>-1.1291813404513764</c:v>
                </c:pt>
                <c:pt idx="412">
                  <c:v>-1.1295907937278846</c:v>
                </c:pt>
                <c:pt idx="413">
                  <c:v>-1.1164241880038883</c:v>
                </c:pt>
                <c:pt idx="414">
                  <c:v>-1.1129570312210419</c:v>
                </c:pt>
                <c:pt idx="415">
                  <c:v>-1.0949521944521363</c:v>
                </c:pt>
                <c:pt idx="416">
                  <c:v>-1.0843303912995221</c:v>
                </c:pt>
                <c:pt idx="417">
                  <c:v>-1.0931490248254074</c:v>
                </c:pt>
                <c:pt idx="418">
                  <c:v>-1.075482766736199</c:v>
                </c:pt>
                <c:pt idx="419">
                  <c:v>-1.1028289058510987</c:v>
                </c:pt>
                <c:pt idx="420">
                  <c:v>-1.1105048153888415</c:v>
                </c:pt>
                <c:pt idx="421">
                  <c:v>-1.0992885506230854</c:v>
                </c:pt>
                <c:pt idx="422">
                  <c:v>-1.1353238738755076</c:v>
                </c:pt>
                <c:pt idx="423">
                  <c:v>-1.150939635039963</c:v>
                </c:pt>
                <c:pt idx="424">
                  <c:v>-1.186398521696443</c:v>
                </c:pt>
                <c:pt idx="425">
                  <c:v>-1.1835587547142721</c:v>
                </c:pt>
                <c:pt idx="426">
                  <c:v>-1.1766596215986374</c:v>
                </c:pt>
                <c:pt idx="427">
                  <c:v>-1.1733184744358258</c:v>
                </c:pt>
                <c:pt idx="428">
                  <c:v>-1.1678418958672463</c:v>
                </c:pt>
                <c:pt idx="429">
                  <c:v>-1.1589371742894299</c:v>
                </c:pt>
                <c:pt idx="430">
                  <c:v>-1.1490925239367806</c:v>
                </c:pt>
                <c:pt idx="431">
                  <c:v>-1.1368328488174972</c:v>
                </c:pt>
                <c:pt idx="432">
                  <c:v>-1.117100973609519</c:v>
                </c:pt>
                <c:pt idx="433">
                  <c:v>-1.1361536962368977</c:v>
                </c:pt>
                <c:pt idx="434">
                  <c:v>-1.1192068215491489</c:v>
                </c:pt>
                <c:pt idx="435">
                  <c:v>-1.1251285016806962</c:v>
                </c:pt>
                <c:pt idx="436">
                  <c:v>-1.1427607311426069</c:v>
                </c:pt>
                <c:pt idx="437">
                  <c:v>-1.146398260293898</c:v>
                </c:pt>
                <c:pt idx="438">
                  <c:v>-1.1690922213598682</c:v>
                </c:pt>
                <c:pt idx="439">
                  <c:v>-1.1541728697864473</c:v>
                </c:pt>
                <c:pt idx="440">
                  <c:v>-1.1235104468997763</c:v>
                </c:pt>
                <c:pt idx="441">
                  <c:v>-1.115362740114537</c:v>
                </c:pt>
                <c:pt idx="442">
                  <c:v>-1.1125550635336783</c:v>
                </c:pt>
                <c:pt idx="443">
                  <c:v>-1.1259786652228874</c:v>
                </c:pt>
                <c:pt idx="444">
                  <c:v>-1.1420815271525404</c:v>
                </c:pt>
                <c:pt idx="445">
                  <c:v>-1.149745978586485</c:v>
                </c:pt>
                <c:pt idx="446">
                  <c:v>-1.1658495671377329</c:v>
                </c:pt>
                <c:pt idx="447">
                  <c:v>-1.1604913247386772</c:v>
                </c:pt>
                <c:pt idx="448">
                  <c:v>-1.1649437031330736</c:v>
                </c:pt>
                <c:pt idx="449">
                  <c:v>-1.183069766945839</c:v>
                </c:pt>
                <c:pt idx="450">
                  <c:v>-1.1876296708454976</c:v>
                </c:pt>
                <c:pt idx="451">
                  <c:v>-1.1919874172093383</c:v>
                </c:pt>
                <c:pt idx="452">
                  <c:v>-1.1891708822580185</c:v>
                </c:pt>
                <c:pt idx="453">
                  <c:v>-1.2749080483249893</c:v>
                </c:pt>
                <c:pt idx="454">
                  <c:v>-1.2623977108580275</c:v>
                </c:pt>
                <c:pt idx="455">
                  <c:v>-1.2435102296306555</c:v>
                </c:pt>
                <c:pt idx="456">
                  <c:v>-1.2676900737958969</c:v>
                </c:pt>
                <c:pt idx="457">
                  <c:v>-1.2782154646621118</c:v>
                </c:pt>
                <c:pt idx="458">
                  <c:v>-1.2879362298761383</c:v>
                </c:pt>
                <c:pt idx="459">
                  <c:v>-1.2760900116597407</c:v>
                </c:pt>
                <c:pt idx="460">
                  <c:v>-1.2984220034830409</c:v>
                </c:pt>
                <c:pt idx="461">
                  <c:v>-1.2747143047997209</c:v>
                </c:pt>
                <c:pt idx="462">
                  <c:v>-1.2937382657414416</c:v>
                </c:pt>
                <c:pt idx="463">
                  <c:v>-1.3006677781692941</c:v>
                </c:pt>
                <c:pt idx="464">
                  <c:v>-1.2890643936468917</c:v>
                </c:pt>
                <c:pt idx="465">
                  <c:v>-1.2671154537798692</c:v>
                </c:pt>
                <c:pt idx="466">
                  <c:v>-1.2727937564759886</c:v>
                </c:pt>
                <c:pt idx="467">
                  <c:v>-1.3073258357750492</c:v>
                </c:pt>
                <c:pt idx="468">
                  <c:v>-1.3148638960367851</c:v>
                </c:pt>
                <c:pt idx="469">
                  <c:v>-1.3309022149039405</c:v>
                </c:pt>
                <c:pt idx="470">
                  <c:v>-1.3205473721815348</c:v>
                </c:pt>
                <c:pt idx="471">
                  <c:v>-1.3290245558450593</c:v>
                </c:pt>
                <c:pt idx="472">
                  <c:v>-1.3242781132708439</c:v>
                </c:pt>
                <c:pt idx="473">
                  <c:v>-1.3668418706569287</c:v>
                </c:pt>
                <c:pt idx="474">
                  <c:v>-1.3696499794822756</c:v>
                </c:pt>
                <c:pt idx="475">
                  <c:v>-1.3716651983763608</c:v>
                </c:pt>
                <c:pt idx="476">
                  <c:v>-1.3827258816902539</c:v>
                </c:pt>
                <c:pt idx="477">
                  <c:v>-1.4317711303994294</c:v>
                </c:pt>
                <c:pt idx="478">
                  <c:v>-1.4444747026931868</c:v>
                </c:pt>
                <c:pt idx="479">
                  <c:v>-1.4599447442044609</c:v>
                </c:pt>
                <c:pt idx="480">
                  <c:v>-1.4374614011312721</c:v>
                </c:pt>
                <c:pt idx="481">
                  <c:v>-1.4279067810871258</c:v>
                </c:pt>
                <c:pt idx="482">
                  <c:v>-1.4145449951950546</c:v>
                </c:pt>
                <c:pt idx="483">
                  <c:v>-1.4261939300963293</c:v>
                </c:pt>
                <c:pt idx="484">
                  <c:v>-1.4692156333022979</c:v>
                </c:pt>
                <c:pt idx="485">
                  <c:v>-1.4823289884762758</c:v>
                </c:pt>
                <c:pt idx="486">
                  <c:v>-1.4975003881132087</c:v>
                </c:pt>
                <c:pt idx="487">
                  <c:v>-1.4882700580099915</c:v>
                </c:pt>
                <c:pt idx="488">
                  <c:v>-1.4599254528596939</c:v>
                </c:pt>
                <c:pt idx="489">
                  <c:v>-1.4646757899057876</c:v>
                </c:pt>
                <c:pt idx="490">
                  <c:v>-1.4482827816507635</c:v>
                </c:pt>
                <c:pt idx="491">
                  <c:v>-1.4268595682700065</c:v>
                </c:pt>
                <c:pt idx="492">
                  <c:v>-1.4449354551462426</c:v>
                </c:pt>
                <c:pt idx="493">
                  <c:v>-1.4482215887979253</c:v>
                </c:pt>
                <c:pt idx="494">
                  <c:v>-1.43914686405585</c:v>
                </c:pt>
                <c:pt idx="495">
                  <c:v>-1.4330469283961618</c:v>
                </c:pt>
                <c:pt idx="496">
                  <c:v>-1.4479560882358511</c:v>
                </c:pt>
                <c:pt idx="497">
                  <c:v>-1.442998040763082</c:v>
                </c:pt>
                <c:pt idx="498">
                  <c:v>-1.4503180013031747</c:v>
                </c:pt>
                <c:pt idx="499">
                  <c:v>-1.4464237715318307</c:v>
                </c:pt>
                <c:pt idx="500">
                  <c:v>-1.4643099330280283</c:v>
                </c:pt>
                <c:pt idx="501">
                  <c:v>-1.4405584752043858</c:v>
                </c:pt>
                <c:pt idx="502">
                  <c:v>-1.4034451383054809</c:v>
                </c:pt>
                <c:pt idx="503">
                  <c:v>-1.3967352473934342</c:v>
                </c:pt>
                <c:pt idx="504">
                  <c:v>-1.3920233594460409</c:v>
                </c:pt>
                <c:pt idx="505">
                  <c:v>-1.4074700341963009</c:v>
                </c:pt>
                <c:pt idx="506">
                  <c:v>-1.3737953540382106</c:v>
                </c:pt>
                <c:pt idx="507">
                  <c:v>-1.3879911287963829</c:v>
                </c:pt>
                <c:pt idx="508">
                  <c:v>-1.3725778273272269</c:v>
                </c:pt>
                <c:pt idx="509">
                  <c:v>-1.3728910955822826</c:v>
                </c:pt>
                <c:pt idx="510">
                  <c:v>-1.3784429714097062</c:v>
                </c:pt>
                <c:pt idx="511">
                  <c:v>-1.3822018800849198</c:v>
                </c:pt>
                <c:pt idx="512">
                  <c:v>-1.40771688385695</c:v>
                </c:pt>
                <c:pt idx="513">
                  <c:v>-1.4424207877769453</c:v>
                </c:pt>
                <c:pt idx="514">
                  <c:v>-1.4282298268814948</c:v>
                </c:pt>
                <c:pt idx="515">
                  <c:v>-1.5019273722953468</c:v>
                </c:pt>
                <c:pt idx="516">
                  <c:v>-1.5095174466014463</c:v>
                </c:pt>
                <c:pt idx="517">
                  <c:v>-1.5023689548433694</c:v>
                </c:pt>
                <c:pt idx="518">
                  <c:v>-1.5020081986361689</c:v>
                </c:pt>
                <c:pt idx="519">
                  <c:v>-1.5229045837387059</c:v>
                </c:pt>
                <c:pt idx="520">
                  <c:v>-1.544397344097268</c:v>
                </c:pt>
                <c:pt idx="521">
                  <c:v>-1.5445217453001305</c:v>
                </c:pt>
                <c:pt idx="522">
                  <c:v>-1.5278491330448256</c:v>
                </c:pt>
                <c:pt idx="523">
                  <c:v>-1.5467591126123441</c:v>
                </c:pt>
                <c:pt idx="524">
                  <c:v>-1.5345266899238874</c:v>
                </c:pt>
                <c:pt idx="525">
                  <c:v>-1.5959658949202042</c:v>
                </c:pt>
                <c:pt idx="526">
                  <c:v>-1.5997588958446292</c:v>
                </c:pt>
                <c:pt idx="527">
                  <c:v>-1.5989094502711412</c:v>
                </c:pt>
                <c:pt idx="528">
                  <c:v>-1.5751645288016638</c:v>
                </c:pt>
                <c:pt idx="529">
                  <c:v>-1.5484767022255399</c:v>
                </c:pt>
                <c:pt idx="530">
                  <c:v>-1.5746890192140706</c:v>
                </c:pt>
                <c:pt idx="531">
                  <c:v>-1.5515713998198084</c:v>
                </c:pt>
                <c:pt idx="532">
                  <c:v>-1.5716898292322172</c:v>
                </c:pt>
                <c:pt idx="533">
                  <c:v>-1.5708673328890912</c:v>
                </c:pt>
                <c:pt idx="534">
                  <c:v>-1.5608487827524193</c:v>
                </c:pt>
                <c:pt idx="535">
                  <c:v>-1.5637007434549677</c:v>
                </c:pt>
                <c:pt idx="536">
                  <c:v>-1.5990575599007384</c:v>
                </c:pt>
                <c:pt idx="537">
                  <c:v>-1.6015571992616806</c:v>
                </c:pt>
                <c:pt idx="538">
                  <c:v>-1.6112014242474944</c:v>
                </c:pt>
                <c:pt idx="539">
                  <c:v>-1.6142197543143029</c:v>
                </c:pt>
                <c:pt idx="540">
                  <c:v>-1.6280777358290281</c:v>
                </c:pt>
                <c:pt idx="541">
                  <c:v>-1.6370108015980236</c:v>
                </c:pt>
                <c:pt idx="542">
                  <c:v>-1.6907977595131669</c:v>
                </c:pt>
                <c:pt idx="543">
                  <c:v>-1.680384456582269</c:v>
                </c:pt>
                <c:pt idx="544">
                  <c:v>-1.6927070641194639</c:v>
                </c:pt>
                <c:pt idx="545">
                  <c:v>-1.6926840904064111</c:v>
                </c:pt>
                <c:pt idx="546">
                  <c:v>-1.7077399807870206</c:v>
                </c:pt>
                <c:pt idx="547">
                  <c:v>-1.7033141771748701</c:v>
                </c:pt>
                <c:pt idx="548">
                  <c:v>-1.7315091772152789</c:v>
                </c:pt>
                <c:pt idx="549">
                  <c:v>-1.7306675901021489</c:v>
                </c:pt>
                <c:pt idx="550">
                  <c:v>-1.7338693529266562</c:v>
                </c:pt>
                <c:pt idx="551">
                  <c:v>-1.7427464784271303</c:v>
                </c:pt>
                <c:pt idx="552">
                  <c:v>-1.7387728283836861</c:v>
                </c:pt>
                <c:pt idx="553">
                  <c:v>-1.7177259965801746</c:v>
                </c:pt>
                <c:pt idx="554">
                  <c:v>-1.7179204486445112</c:v>
                </c:pt>
                <c:pt idx="555">
                  <c:v>-1.723031792155953</c:v>
                </c:pt>
                <c:pt idx="556">
                  <c:v>-1.6895877018373318</c:v>
                </c:pt>
                <c:pt idx="557">
                  <c:v>-1.7079978578315647</c:v>
                </c:pt>
                <c:pt idx="558">
                  <c:v>-1.7101080083968645</c:v>
                </c:pt>
                <c:pt idx="559">
                  <c:v>-1.7028239676919119</c:v>
                </c:pt>
                <c:pt idx="560">
                  <c:v>-1.6844309222448235</c:v>
                </c:pt>
                <c:pt idx="561">
                  <c:v>-1.6709313482665742</c:v>
                </c:pt>
                <c:pt idx="562">
                  <c:v>-1.6890068319930993</c:v>
                </c:pt>
                <c:pt idx="563">
                  <c:v>-1.6970038594111152</c:v>
                </c:pt>
                <c:pt idx="564">
                  <c:v>-1.6803319972287802</c:v>
                </c:pt>
                <c:pt idx="565">
                  <c:v>-1.6713992001332407</c:v>
                </c:pt>
                <c:pt idx="566">
                  <c:v>-1.6776410888021589</c:v>
                </c:pt>
                <c:pt idx="567">
                  <c:v>-1.6795880968005692</c:v>
                </c:pt>
                <c:pt idx="568">
                  <c:v>-1.6695327463835428</c:v>
                </c:pt>
                <c:pt idx="569">
                  <c:v>-1.6778306051921792</c:v>
                </c:pt>
                <c:pt idx="570">
                  <c:v>-1.6666192807009947</c:v>
                </c:pt>
                <c:pt idx="571">
                  <c:v>-1.6715263633031441</c:v>
                </c:pt>
                <c:pt idx="572">
                  <c:v>-1.6873139527235956</c:v>
                </c:pt>
                <c:pt idx="573">
                  <c:v>-1.6821796118139014</c:v>
                </c:pt>
                <c:pt idx="574">
                  <c:v>-1.6756557869322926</c:v>
                </c:pt>
                <c:pt idx="575">
                  <c:v>-1.6742650159280323</c:v>
                </c:pt>
                <c:pt idx="576">
                  <c:v>-1.6581923362268771</c:v>
                </c:pt>
                <c:pt idx="577">
                  <c:v>-1.638995668542389</c:v>
                </c:pt>
                <c:pt idx="578">
                  <c:v>-1.6625081997782392</c:v>
                </c:pt>
                <c:pt idx="579">
                  <c:v>-1.6598127414374222</c:v>
                </c:pt>
                <c:pt idx="580">
                  <c:v>-1.6559148870173868</c:v>
                </c:pt>
                <c:pt idx="581">
                  <c:v>-1.6495628238630307</c:v>
                </c:pt>
                <c:pt idx="582">
                  <c:v>-1.6467262973716785</c:v>
                </c:pt>
                <c:pt idx="583">
                  <c:v>-1.6398222909086382</c:v>
                </c:pt>
                <c:pt idx="584">
                  <c:v>-1.6562682300784264</c:v>
                </c:pt>
                <c:pt idx="585">
                  <c:v>-1.6412335100371553</c:v>
                </c:pt>
                <c:pt idx="586">
                  <c:v>-1.6624561678165843</c:v>
                </c:pt>
                <c:pt idx="587">
                  <c:v>-1.6663362285866352</c:v>
                </c:pt>
                <c:pt idx="588">
                  <c:v>-1.6514091016475962</c:v>
                </c:pt>
                <c:pt idx="589">
                  <c:v>-1.691918480703448</c:v>
                </c:pt>
                <c:pt idx="590">
                  <c:v>-1.6790040709128053</c:v>
                </c:pt>
                <c:pt idx="591">
                  <c:v>-1.6676057024838578</c:v>
                </c:pt>
                <c:pt idx="592">
                  <c:v>-1.683720284543023</c:v>
                </c:pt>
                <c:pt idx="593">
                  <c:v>-1.6815154704547464</c:v>
                </c:pt>
                <c:pt idx="594">
                  <c:v>-1.7071789109878388</c:v>
                </c:pt>
                <c:pt idx="595">
                  <c:v>-1.6966129981574287</c:v>
                </c:pt>
                <c:pt idx="596">
                  <c:v>-1.710578660027064</c:v>
                </c:pt>
                <c:pt idx="597">
                  <c:v>-1.7075001770321521</c:v>
                </c:pt>
                <c:pt idx="598">
                  <c:v>-1.7606375454311953</c:v>
                </c:pt>
                <c:pt idx="599">
                  <c:v>-1.7755004209111309</c:v>
                </c:pt>
                <c:pt idx="600">
                  <c:v>-1.7889310226429167</c:v>
                </c:pt>
                <c:pt idx="601">
                  <c:v>-1.7915336231312056</c:v>
                </c:pt>
                <c:pt idx="602">
                  <c:v>-1.7948460980692449</c:v>
                </c:pt>
                <c:pt idx="603">
                  <c:v>-1.7932199887851228</c:v>
                </c:pt>
                <c:pt idx="604">
                  <c:v>-1.7844886360325942</c:v>
                </c:pt>
                <c:pt idx="605">
                  <c:v>-1.8008849843488353</c:v>
                </c:pt>
                <c:pt idx="606">
                  <c:v>-1.80383307678329</c:v>
                </c:pt>
                <c:pt idx="607">
                  <c:v>-1.7875106198754551</c:v>
                </c:pt>
                <c:pt idx="608">
                  <c:v>-1.7826592479352881</c:v>
                </c:pt>
                <c:pt idx="609">
                  <c:v>-1.7937471671512659</c:v>
                </c:pt>
                <c:pt idx="610">
                  <c:v>-1.7951706631253828</c:v>
                </c:pt>
                <c:pt idx="611">
                  <c:v>-1.7993541134859754</c:v>
                </c:pt>
                <c:pt idx="612">
                  <c:v>-1.8004729910999178</c:v>
                </c:pt>
                <c:pt idx="613">
                  <c:v>-1.7948228987842274</c:v>
                </c:pt>
                <c:pt idx="614">
                  <c:v>-1.7899456402150982</c:v>
                </c:pt>
                <c:pt idx="615">
                  <c:v>-1.8044340527172373</c:v>
                </c:pt>
                <c:pt idx="616">
                  <c:v>-1.8090071257061711</c:v>
                </c:pt>
                <c:pt idx="617">
                  <c:v>-1.7807085847496058</c:v>
                </c:pt>
                <c:pt idx="618">
                  <c:v>-1.8013131430416518</c:v>
                </c:pt>
                <c:pt idx="619">
                  <c:v>-1.8248354221195964</c:v>
                </c:pt>
                <c:pt idx="620">
                  <c:v>-1.8211509312970131</c:v>
                </c:pt>
                <c:pt idx="621">
                  <c:v>-1.8252012189735884</c:v>
                </c:pt>
                <c:pt idx="622">
                  <c:v>-1.8237044782254879</c:v>
                </c:pt>
                <c:pt idx="623">
                  <c:v>-1.8275487816564304</c:v>
                </c:pt>
                <c:pt idx="624">
                  <c:v>-1.8243880749490122</c:v>
                </c:pt>
                <c:pt idx="625">
                  <c:v>-1.8269732253264666</c:v>
                </c:pt>
                <c:pt idx="626">
                  <c:v>-1.8228519377153196</c:v>
                </c:pt>
                <c:pt idx="627">
                  <c:v>-1.8135927867195374</c:v>
                </c:pt>
                <c:pt idx="628">
                  <c:v>-1.8154976690648086</c:v>
                </c:pt>
                <c:pt idx="629">
                  <c:v>-1.819003181358255</c:v>
                </c:pt>
                <c:pt idx="630">
                  <c:v>-1.8195344251615744</c:v>
                </c:pt>
                <c:pt idx="631">
                  <c:v>-1.8007047683278223</c:v>
                </c:pt>
                <c:pt idx="632">
                  <c:v>-1.8040866983954285</c:v>
                </c:pt>
                <c:pt idx="633">
                  <c:v>-1.8055832675676662</c:v>
                </c:pt>
                <c:pt idx="634">
                  <c:v>-1.8259274670059096</c:v>
                </c:pt>
                <c:pt idx="635">
                  <c:v>-1.8154967475624808</c:v>
                </c:pt>
                <c:pt idx="636">
                  <c:v>-1.815992044202444</c:v>
                </c:pt>
                <c:pt idx="637">
                  <c:v>-1.8068565969934385</c:v>
                </c:pt>
                <c:pt idx="638">
                  <c:v>-1.8107435149390083</c:v>
                </c:pt>
                <c:pt idx="639">
                  <c:v>-1.8494929354071079</c:v>
                </c:pt>
                <c:pt idx="640">
                  <c:v>-1.8395270939476918</c:v>
                </c:pt>
                <c:pt idx="641">
                  <c:v>-1.8422973055992475</c:v>
                </c:pt>
                <c:pt idx="642">
                  <c:v>-1.8450848314579824</c:v>
                </c:pt>
                <c:pt idx="643">
                  <c:v>-1.8405638462539065</c:v>
                </c:pt>
                <c:pt idx="644">
                  <c:v>-1.842588186107724</c:v>
                </c:pt>
                <c:pt idx="645">
                  <c:v>-1.8606514997904995</c:v>
                </c:pt>
                <c:pt idx="646">
                  <c:v>-1.8534241020607585</c:v>
                </c:pt>
                <c:pt idx="647">
                  <c:v>-1.8404623579093986</c:v>
                </c:pt>
                <c:pt idx="648">
                  <c:v>-1.8298141734366524</c:v>
                </c:pt>
                <c:pt idx="649">
                  <c:v>-1.8439138345051465</c:v>
                </c:pt>
                <c:pt idx="650">
                  <c:v>-1.8463808944993207</c:v>
                </c:pt>
                <c:pt idx="651">
                  <c:v>-1.8682384919785608</c:v>
                </c:pt>
                <c:pt idx="652">
                  <c:v>-1.8770601483469296</c:v>
                </c:pt>
                <c:pt idx="653">
                  <c:v>-1.8805684584301456</c:v>
                </c:pt>
                <c:pt idx="654">
                  <c:v>-1.8836047060224015</c:v>
                </c:pt>
                <c:pt idx="655">
                  <c:v>-1.886075368505761</c:v>
                </c:pt>
                <c:pt idx="656">
                  <c:v>-1.894629241103809</c:v>
                </c:pt>
                <c:pt idx="657">
                  <c:v>-1.9268469550533442</c:v>
                </c:pt>
                <c:pt idx="658">
                  <c:v>-1.9092027384807242</c:v>
                </c:pt>
                <c:pt idx="659">
                  <c:v>-1.9162678201991756</c:v>
                </c:pt>
                <c:pt idx="660">
                  <c:v>-1.9121672123492015</c:v>
                </c:pt>
                <c:pt idx="661">
                  <c:v>-1.9172641500518033</c:v>
                </c:pt>
                <c:pt idx="662">
                  <c:v>-1.9180118316793013</c:v>
                </c:pt>
                <c:pt idx="663">
                  <c:v>-1.9003745361296858</c:v>
                </c:pt>
                <c:pt idx="664">
                  <c:v>-1.8965616229003874</c:v>
                </c:pt>
                <c:pt idx="665">
                  <c:v>-1.9112042699574001</c:v>
                </c:pt>
                <c:pt idx="666">
                  <c:v>-1.9227031710544349</c:v>
                </c:pt>
                <c:pt idx="667">
                  <c:v>-1.9109484425109802</c:v>
                </c:pt>
                <c:pt idx="668">
                  <c:v>-1.90435903007584</c:v>
                </c:pt>
                <c:pt idx="669">
                  <c:v>-1.8995334364044734</c:v>
                </c:pt>
                <c:pt idx="670">
                  <c:v>-1.8918367109609555</c:v>
                </c:pt>
                <c:pt idx="671">
                  <c:v>-1.8931307298700393</c:v>
                </c:pt>
                <c:pt idx="672">
                  <c:v>-1.8959675412743735</c:v>
                </c:pt>
                <c:pt idx="673">
                  <c:v>-1.9158247226960166</c:v>
                </c:pt>
                <c:pt idx="674">
                  <c:v>-1.9073294684920219</c:v>
                </c:pt>
                <c:pt idx="675">
                  <c:v>-1.9031657794900623</c:v>
                </c:pt>
                <c:pt idx="676">
                  <c:v>-1.9046093474688144</c:v>
                </c:pt>
                <c:pt idx="677">
                  <c:v>-1.9116731311539112</c:v>
                </c:pt>
                <c:pt idx="678">
                  <c:v>-1.9122315957983611</c:v>
                </c:pt>
                <c:pt idx="679">
                  <c:v>-1.9041014526455804</c:v>
                </c:pt>
                <c:pt idx="680">
                  <c:v>-1.9102263045254322</c:v>
                </c:pt>
                <c:pt idx="681">
                  <c:v>-1.9240974669807356</c:v>
                </c:pt>
                <c:pt idx="682">
                  <c:v>-1.9309166723460622</c:v>
                </c:pt>
                <c:pt idx="683">
                  <c:v>-1.9207744447157236</c:v>
                </c:pt>
                <c:pt idx="684">
                  <c:v>-1.9250793639034862</c:v>
                </c:pt>
                <c:pt idx="685">
                  <c:v>-1.916479989333145</c:v>
                </c:pt>
                <c:pt idx="686">
                  <c:v>-1.9099847505212244</c:v>
                </c:pt>
                <c:pt idx="687">
                  <c:v>-1.9261044955924982</c:v>
                </c:pt>
                <c:pt idx="688">
                  <c:v>-1.9100572333757042</c:v>
                </c:pt>
                <c:pt idx="689">
                  <c:v>-1.8920319977871163</c:v>
                </c:pt>
                <c:pt idx="690">
                  <c:v>-1.8875589907823764</c:v>
                </c:pt>
                <c:pt idx="691">
                  <c:v>-1.8711728969834729</c:v>
                </c:pt>
                <c:pt idx="692">
                  <c:v>-1.874485685527405</c:v>
                </c:pt>
                <c:pt idx="693">
                  <c:v>-1.8758038051306611</c:v>
                </c:pt>
                <c:pt idx="694">
                  <c:v>-1.869092355023191</c:v>
                </c:pt>
                <c:pt idx="695">
                  <c:v>-1.8793712141812411</c:v>
                </c:pt>
                <c:pt idx="696">
                  <c:v>-1.8691403573743672</c:v>
                </c:pt>
                <c:pt idx="697">
                  <c:v>-1.9204550136951841</c:v>
                </c:pt>
                <c:pt idx="698">
                  <c:v>-1.9269611323356735</c:v>
                </c:pt>
                <c:pt idx="699">
                  <c:v>-1.8999686347468707</c:v>
                </c:pt>
                <c:pt idx="700">
                  <c:v>-1.8886997814488014</c:v>
                </c:pt>
                <c:pt idx="701">
                  <c:v>-1.921681585477117</c:v>
                </c:pt>
                <c:pt idx="702">
                  <c:v>-1.9593650843608161</c:v>
                </c:pt>
                <c:pt idx="703">
                  <c:v>-2.0555234298003979</c:v>
                </c:pt>
                <c:pt idx="704">
                  <c:v>-2.1366842333238374</c:v>
                </c:pt>
                <c:pt idx="705">
                  <c:v>-2.139390655715367</c:v>
                </c:pt>
                <c:pt idx="706">
                  <c:v>-2.1137700920874973</c:v>
                </c:pt>
                <c:pt idx="707">
                  <c:v>-2.1517780643966389</c:v>
                </c:pt>
                <c:pt idx="708">
                  <c:v>-2.1398190601087017</c:v>
                </c:pt>
                <c:pt idx="709">
                  <c:v>-2.1157951478487078</c:v>
                </c:pt>
                <c:pt idx="710">
                  <c:v>-2.2130625739605518</c:v>
                </c:pt>
                <c:pt idx="711">
                  <c:v>-2.2292943269714725</c:v>
                </c:pt>
                <c:pt idx="712">
                  <c:v>-2.1920734792407357</c:v>
                </c:pt>
                <c:pt idx="713">
                  <c:v>-2.1804301706354199</c:v>
                </c:pt>
                <c:pt idx="714">
                  <c:v>-2.1327732209174437</c:v>
                </c:pt>
                <c:pt idx="715">
                  <c:v>-2.1190740114976614</c:v>
                </c:pt>
                <c:pt idx="716">
                  <c:v>-2.0791050995979807</c:v>
                </c:pt>
                <c:pt idx="717">
                  <c:v>-2.0527435061167658</c:v>
                </c:pt>
                <c:pt idx="718">
                  <c:v>-2.0701151839553895</c:v>
                </c:pt>
                <c:pt idx="719">
                  <c:v>-2.0715210337306207</c:v>
                </c:pt>
              </c:numCache>
            </c:numRef>
          </c:val>
          <c:smooth val="0"/>
          <c:extLst>
            <c:ext xmlns:c16="http://schemas.microsoft.com/office/drawing/2014/chart" uri="{C3380CC4-5D6E-409C-BE32-E72D297353CC}">
              <c16:uniqueId val="{00000000-4EFB-4707-9B22-34A11C2E12DC}"/>
            </c:ext>
          </c:extLst>
        </c:ser>
        <c:dLbls>
          <c:showLegendKey val="0"/>
          <c:showVal val="0"/>
          <c:showCatName val="0"/>
          <c:showSerName val="0"/>
          <c:showPercent val="0"/>
          <c:showBubbleSize val="0"/>
        </c:dLbls>
        <c:dropLines>
          <c:spPr>
            <a:ln w="9525" cap="flat" cmpd="sng" algn="ctr">
              <a:noFill/>
              <a:round/>
            </a:ln>
            <a:effectLst/>
          </c:spPr>
        </c:dropLines>
        <c:smooth val="0"/>
        <c:axId val="940361072"/>
        <c:axId val="940351088"/>
      </c:lineChart>
      <c:catAx>
        <c:axId val="94036107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940351088"/>
        <c:crosses val="autoZero"/>
        <c:auto val="1"/>
        <c:lblAlgn val="ctr"/>
        <c:lblOffset val="100"/>
        <c:noMultiLvlLbl val="0"/>
      </c:catAx>
      <c:valAx>
        <c:axId val="940351088"/>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40361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PnL (hedging frequency  1)</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'2.a) Frequency'!$K$1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'2.a) Frequency'!$K$2:$K$46</c:f>
              <c:numCache>
                <c:formatCode>0.000</c:formatCode>
                <c:ptCount val="45"/>
                <c:pt idx="0">
                  <c:v>0</c:v>
                </c:pt>
                <c:pt idx="1">
                  <c:v>7.8231444361230862E-3</c:v>
                </c:pt>
                <c:pt idx="2">
                  <c:v>-6.3229038964696116E-4</c:v>
                </c:pt>
                <c:pt idx="3">
                  <c:v>7.2882451012359906E-4</c:v>
                </c:pt>
                <c:pt idx="4">
                  <c:v>6.3746806670524903E-3</c:v>
                </c:pt>
                <c:pt idx="5">
                  <c:v>1.14133912375744E-2</c:v>
                </c:pt>
                <c:pt idx="6">
                  <c:v>1.6471208364352091E-2</c:v>
                </c:pt>
                <c:pt idx="7">
                  <c:v>2.3999283715624375E-2</c:v>
                </c:pt>
                <c:pt idx="8">
                  <c:v>3.4527247974989017E-2</c:v>
                </c:pt>
                <c:pt idx="9">
                  <c:v>4.4910131097680384E-2</c:v>
                </c:pt>
                <c:pt idx="10">
                  <c:v>5.999006718090738E-2</c:v>
                </c:pt>
                <c:pt idx="11">
                  <c:v>5.9136590449098969E-2</c:v>
                </c:pt>
                <c:pt idx="12">
                  <c:v>6.5093050798519847E-2</c:v>
                </c:pt>
                <c:pt idx="13">
                  <c:v>5.3855008716872738E-2</c:v>
                </c:pt>
                <c:pt idx="14">
                  <c:v>3.1450731594996117E-2</c:v>
                </c:pt>
                <c:pt idx="15">
                  <c:v>3.7899091439118932E-2</c:v>
                </c:pt>
                <c:pt idx="16">
                  <c:v>4.7873844814515593E-2</c:v>
                </c:pt>
                <c:pt idx="17">
                  <c:v>5.4375013904105582E-2</c:v>
                </c:pt>
                <c:pt idx="18">
                  <c:v>5.5668853774446192E-2</c:v>
                </c:pt>
                <c:pt idx="19">
                  <c:v>6.3416328950371234E-2</c:v>
                </c:pt>
                <c:pt idx="20">
                  <c:v>6.8845994069469285E-2</c:v>
                </c:pt>
                <c:pt idx="21">
                  <c:v>6.7839045798834416E-2</c:v>
                </c:pt>
                <c:pt idx="22">
                  <c:v>7.2814195867967321E-2</c:v>
                </c:pt>
                <c:pt idx="23">
                  <c:v>6.3791263908873547E-2</c:v>
                </c:pt>
                <c:pt idx="24">
                  <c:v>6.7148523920856365E-2</c:v>
                </c:pt>
                <c:pt idx="25">
                  <c:v>6.9974515369146853E-2</c:v>
                </c:pt>
                <c:pt idx="26">
                  <c:v>7.273387897380923E-2</c:v>
                </c:pt>
                <c:pt idx="27">
                  <c:v>6.6415825949433363E-2</c:v>
                </c:pt>
                <c:pt idx="28">
                  <c:v>6.6750548962910786E-2</c:v>
                </c:pt>
                <c:pt idx="29">
                  <c:v>6.6511038796268462E-2</c:v>
                </c:pt>
                <c:pt idx="30">
                  <c:v>6.6567358652499548E-2</c:v>
                </c:pt>
                <c:pt idx="31">
                  <c:v>6.6631505577860156E-2</c:v>
                </c:pt>
                <c:pt idx="32">
                  <c:v>6.6714841316591944E-2</c:v>
                </c:pt>
                <c:pt idx="33">
                  <c:v>6.6607753453936297E-2</c:v>
                </c:pt>
                <c:pt idx="34">
                  <c:v>6.680964457892008E-2</c:v>
                </c:pt>
                <c:pt idx="35">
                  <c:v>6.7192932105924474E-2</c:v>
                </c:pt>
                <c:pt idx="36">
                  <c:v>6.7494652662647106E-2</c:v>
                </c:pt>
                <c:pt idx="37">
                  <c:v>6.7423409933793602E-2</c:v>
                </c:pt>
                <c:pt idx="38">
                  <c:v>6.7452185585024971E-2</c:v>
                </c:pt>
                <c:pt idx="39">
                  <c:v>6.7471741475033639E-2</c:v>
                </c:pt>
                <c:pt idx="40">
                  <c:v>6.7490210252690669E-2</c:v>
                </c:pt>
                <c:pt idx="41">
                  <c:v>6.7499798582334625E-2</c:v>
                </c:pt>
                <c:pt idx="42">
                  <c:v>6.7506680294806304E-2</c:v>
                </c:pt>
                <c:pt idx="43">
                  <c:v>6.7512824734047336E-2</c:v>
                </c:pt>
                <c:pt idx="44">
                  <c:v>6.7518827890325858E-2</c:v>
                </c:pt>
              </c:numCache>
            </c:numRef>
          </c:val>
          <c:smooth val="0"/>
          <c:extLst>
            <c:ext xmlns:c16="http://schemas.microsoft.com/office/drawing/2014/chart" uri="{C3380CC4-5D6E-409C-BE32-E72D297353CC}">
              <c16:uniqueId val="{00000000-8E0D-4D6C-943A-FCE405540BCE}"/>
            </c:ext>
          </c:extLst>
        </c:ser>
        <c:dLbls>
          <c:showLegendKey val="0"/>
          <c:showVal val="0"/>
          <c:showCatName val="0"/>
          <c:showSerName val="0"/>
          <c:showPercent val="0"/>
          <c:showBubbleSize val="0"/>
        </c:dLbls>
        <c:dropLines>
          <c:spPr>
            <a:ln w="9525" cap="flat" cmpd="sng" algn="ctr">
              <a:noFill/>
              <a:round/>
            </a:ln>
            <a:effectLst/>
          </c:spPr>
        </c:dropLines>
        <c:smooth val="0"/>
        <c:axId val="940228368"/>
        <c:axId val="940215056"/>
      </c:lineChart>
      <c:catAx>
        <c:axId val="940228368"/>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940215056"/>
        <c:crosses val="autoZero"/>
        <c:auto val="1"/>
        <c:lblAlgn val="ctr"/>
        <c:lblOffset val="100"/>
        <c:noMultiLvlLbl val="0"/>
      </c:catAx>
      <c:valAx>
        <c:axId val="940215056"/>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40228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PnL (hedging frequency 2)</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'2.a) Frequency'!$T$1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'2.a) Frequency'!$T$2:$T$181</c:f>
              <c:numCache>
                <c:formatCode>0.000</c:formatCode>
                <c:ptCount val="180"/>
                <c:pt idx="0">
                  <c:v>0</c:v>
                </c:pt>
                <c:pt idx="1">
                  <c:v>2.7867357397705073E-3</c:v>
                </c:pt>
                <c:pt idx="2">
                  <c:v>-5.2786357906187131E-4</c:v>
                </c:pt>
                <c:pt idx="3">
                  <c:v>1.0395593877139397E-3</c:v>
                </c:pt>
                <c:pt idx="4">
                  <c:v>2.1165071531643043E-3</c:v>
                </c:pt>
                <c:pt idx="5">
                  <c:v>3.5036092512467643E-3</c:v>
                </c:pt>
                <c:pt idx="6">
                  <c:v>4.5701283141959537E-3</c:v>
                </c:pt>
                <c:pt idx="7">
                  <c:v>5.5743344288825547E-3</c:v>
                </c:pt>
                <c:pt idx="8">
                  <c:v>4.8880506905950583E-3</c:v>
                </c:pt>
                <c:pt idx="9">
                  <c:v>6.4549127786102667E-3</c:v>
                </c:pt>
                <c:pt idx="10">
                  <c:v>3.2980719084749199E-3</c:v>
                </c:pt>
                <c:pt idx="11">
                  <c:v>4.4520090527160883E-3</c:v>
                </c:pt>
                <c:pt idx="12">
                  <c:v>1.0491172394871962E-3</c:v>
                </c:pt>
                <c:pt idx="13">
                  <c:v>-1.0646354839032313E-3</c:v>
                </c:pt>
                <c:pt idx="14">
                  <c:v>-1.2347712624119489E-2</c:v>
                </c:pt>
                <c:pt idx="15">
                  <c:v>-8.3150700385933307E-3</c:v>
                </c:pt>
                <c:pt idx="16">
                  <c:v>-3.8986040339479278E-3</c:v>
                </c:pt>
                <c:pt idx="17">
                  <c:v>-6.7815152504492326E-3</c:v>
                </c:pt>
                <c:pt idx="18">
                  <c:v>-1.5065575081205651E-3</c:v>
                </c:pt>
                <c:pt idx="19">
                  <c:v>1.1058254531743916E-3</c:v>
                </c:pt>
                <c:pt idx="20">
                  <c:v>5.5999993931599157E-4</c:v>
                </c:pt>
                <c:pt idx="21">
                  <c:v>-5.8299627986503344E-3</c:v>
                </c:pt>
                <c:pt idx="22">
                  <c:v>-9.4172977884598996E-4</c:v>
                </c:pt>
                <c:pt idx="23">
                  <c:v>1.8657669187398529E-3</c:v>
                </c:pt>
                <c:pt idx="24">
                  <c:v>4.4287145405564887E-3</c:v>
                </c:pt>
                <c:pt idx="25">
                  <c:v>8.8891365742068684E-3</c:v>
                </c:pt>
                <c:pt idx="26">
                  <c:v>1.3395528691177216E-2</c:v>
                </c:pt>
                <c:pt idx="27">
                  <c:v>1.8270161035795485E-2</c:v>
                </c:pt>
                <c:pt idx="28">
                  <c:v>2.1085638253578343E-2</c:v>
                </c:pt>
                <c:pt idx="29">
                  <c:v>2.5635288795369915E-2</c:v>
                </c:pt>
                <c:pt idx="30">
                  <c:v>2.6973943277324108E-2</c:v>
                </c:pt>
                <c:pt idx="31">
                  <c:v>2.2282078110361314E-2</c:v>
                </c:pt>
                <c:pt idx="32">
                  <c:v>2.054577948074332E-2</c:v>
                </c:pt>
                <c:pt idx="33">
                  <c:v>1.8077589855340304E-2</c:v>
                </c:pt>
                <c:pt idx="34">
                  <c:v>2.1447743204768666E-2</c:v>
                </c:pt>
                <c:pt idx="35">
                  <c:v>1.9210602464418081E-2</c:v>
                </c:pt>
                <c:pt idx="36">
                  <c:v>2.1054264612399287E-2</c:v>
                </c:pt>
                <c:pt idx="37">
                  <c:v>1.392897351357536E-2</c:v>
                </c:pt>
                <c:pt idx="38">
                  <c:v>1.4042231874326405E-2</c:v>
                </c:pt>
                <c:pt idx="39">
                  <c:v>1.9358623699234911E-2</c:v>
                </c:pt>
                <c:pt idx="40">
                  <c:v>2.4791211290457027E-2</c:v>
                </c:pt>
                <c:pt idx="41">
                  <c:v>2.7547160761728917E-2</c:v>
                </c:pt>
                <c:pt idx="42">
                  <c:v>2.8157688970707251E-2</c:v>
                </c:pt>
                <c:pt idx="43">
                  <c:v>3.3668662341825972E-2</c:v>
                </c:pt>
                <c:pt idx="44">
                  <c:v>3.4976987496196821E-2</c:v>
                </c:pt>
                <c:pt idx="45">
                  <c:v>3.9334712295666874E-2</c:v>
                </c:pt>
                <c:pt idx="46">
                  <c:v>4.4481657750560899E-2</c:v>
                </c:pt>
                <c:pt idx="47">
                  <c:v>4.3879865276481744E-2</c:v>
                </c:pt>
                <c:pt idx="48">
                  <c:v>4.8503847515131315E-2</c:v>
                </c:pt>
                <c:pt idx="49">
                  <c:v>4.487823049652484E-2</c:v>
                </c:pt>
                <c:pt idx="50">
                  <c:v>4.602608504462713E-2</c:v>
                </c:pt>
                <c:pt idx="51">
                  <c:v>4.931424072024021E-2</c:v>
                </c:pt>
                <c:pt idx="52">
                  <c:v>5.3661967985760617E-2</c:v>
                </c:pt>
                <c:pt idx="53">
                  <c:v>5.41453974905029E-2</c:v>
                </c:pt>
                <c:pt idx="54">
                  <c:v>3.5118401884155381E-2</c:v>
                </c:pt>
                <c:pt idx="55">
                  <c:v>4.0076295577676668E-2</c:v>
                </c:pt>
                <c:pt idx="56">
                  <c:v>1.1356595855462115E-2</c:v>
                </c:pt>
                <c:pt idx="57">
                  <c:v>1.487284170811079E-2</c:v>
                </c:pt>
                <c:pt idx="58">
                  <c:v>1.7158156639017458E-2</c:v>
                </c:pt>
                <c:pt idx="59">
                  <c:v>1.9220206007521667E-2</c:v>
                </c:pt>
                <c:pt idx="60">
                  <c:v>1.7621621820779809E-2</c:v>
                </c:pt>
                <c:pt idx="61">
                  <c:v>1.8586056936552076E-2</c:v>
                </c:pt>
                <c:pt idx="62">
                  <c:v>1.8897060624124662E-2</c:v>
                </c:pt>
                <c:pt idx="63">
                  <c:v>1.63798762298554E-2</c:v>
                </c:pt>
                <c:pt idx="64">
                  <c:v>1.2299663635978453E-3</c:v>
                </c:pt>
                <c:pt idx="65">
                  <c:v>8.0975415264901429E-4</c:v>
                </c:pt>
                <c:pt idx="66">
                  <c:v>2.7025771711732399E-3</c:v>
                </c:pt>
                <c:pt idx="67">
                  <c:v>2.9328121331429063E-3</c:v>
                </c:pt>
                <c:pt idx="68">
                  <c:v>-2.9139527846298169E-3</c:v>
                </c:pt>
                <c:pt idx="69">
                  <c:v>-3.3599955998363518E-3</c:v>
                </c:pt>
                <c:pt idx="70">
                  <c:v>-4.8981433803355068E-4</c:v>
                </c:pt>
                <c:pt idx="71">
                  <c:v>1.6147864969275061E-3</c:v>
                </c:pt>
                <c:pt idx="72">
                  <c:v>9.1331133726738067E-4</c:v>
                </c:pt>
                <c:pt idx="73">
                  <c:v>2.2673814911328555E-3</c:v>
                </c:pt>
                <c:pt idx="74">
                  <c:v>-4.1631160691797675E-3</c:v>
                </c:pt>
                <c:pt idx="75">
                  <c:v>-3.7527631358463959E-3</c:v>
                </c:pt>
                <c:pt idx="76">
                  <c:v>-2.7250412086278764E-3</c:v>
                </c:pt>
                <c:pt idx="77">
                  <c:v>-1.666590169101631E-3</c:v>
                </c:pt>
                <c:pt idx="78">
                  <c:v>3.1090437539239846E-4</c:v>
                </c:pt>
                <c:pt idx="79">
                  <c:v>2.6677527720757183E-3</c:v>
                </c:pt>
                <c:pt idx="80">
                  <c:v>5.0512428665851206E-3</c:v>
                </c:pt>
                <c:pt idx="81">
                  <c:v>5.981882876106806E-3</c:v>
                </c:pt>
                <c:pt idx="82">
                  <c:v>8.7332204079410281E-3</c:v>
                </c:pt>
                <c:pt idx="83">
                  <c:v>9.3187385565863257E-3</c:v>
                </c:pt>
                <c:pt idx="84">
                  <c:v>9.867524180524917E-3</c:v>
                </c:pt>
                <c:pt idx="85">
                  <c:v>1.1567611174006773E-2</c:v>
                </c:pt>
                <c:pt idx="86">
                  <c:v>1.3490750888172906E-2</c:v>
                </c:pt>
                <c:pt idx="87">
                  <c:v>1.5002615645665879E-2</c:v>
                </c:pt>
                <c:pt idx="88">
                  <c:v>1.6818547221448342E-2</c:v>
                </c:pt>
                <c:pt idx="89">
                  <c:v>1.8491786729732951E-2</c:v>
                </c:pt>
                <c:pt idx="90">
                  <c:v>2.0209789116688415E-2</c:v>
                </c:pt>
                <c:pt idx="91">
                  <c:v>1.7136296200735014E-2</c:v>
                </c:pt>
                <c:pt idx="92">
                  <c:v>1.836956212711939E-2</c:v>
                </c:pt>
                <c:pt idx="93">
                  <c:v>1.860426895391781E-2</c:v>
                </c:pt>
                <c:pt idx="94">
                  <c:v>1.6437123443863111E-2</c:v>
                </c:pt>
                <c:pt idx="95">
                  <c:v>1.4770702435159024E-2</c:v>
                </c:pt>
                <c:pt idx="96">
                  <c:v>4.2425538576896515E-3</c:v>
                </c:pt>
                <c:pt idx="97">
                  <c:v>4.6666638509185177E-3</c:v>
                </c:pt>
                <c:pt idx="98">
                  <c:v>7.9317099774803279E-3</c:v>
                </c:pt>
                <c:pt idx="99">
                  <c:v>9.2151255654026598E-3</c:v>
                </c:pt>
                <c:pt idx="100">
                  <c:v>-8.5890607282696485E-3</c:v>
                </c:pt>
                <c:pt idx="101">
                  <c:v>-5.830778410630677E-3</c:v>
                </c:pt>
                <c:pt idx="102">
                  <c:v>-5.7068254865746681E-3</c:v>
                </c:pt>
                <c:pt idx="103">
                  <c:v>-2.1950980286845057E-3</c:v>
                </c:pt>
                <c:pt idx="104">
                  <c:v>-1.7862249352306001E-2</c:v>
                </c:pt>
                <c:pt idx="105">
                  <c:v>-1.5431379449242028E-2</c:v>
                </c:pt>
                <c:pt idx="106">
                  <c:v>-1.2968550441675816E-2</c:v>
                </c:pt>
                <c:pt idx="107">
                  <c:v>-1.4948597921477166E-2</c:v>
                </c:pt>
                <c:pt idx="108">
                  <c:v>-1.6531346272272811E-2</c:v>
                </c:pt>
                <c:pt idx="109">
                  <c:v>-1.5436648196594439E-2</c:v>
                </c:pt>
                <c:pt idx="110">
                  <c:v>-1.402277818416605E-2</c:v>
                </c:pt>
                <c:pt idx="111">
                  <c:v>-1.2514747630898868E-2</c:v>
                </c:pt>
                <c:pt idx="112">
                  <c:v>-1.1538618881798222E-2</c:v>
                </c:pt>
                <c:pt idx="113">
                  <c:v>-1.0771991810423702E-2</c:v>
                </c:pt>
                <c:pt idx="114">
                  <c:v>-1.0299660203922437E-2</c:v>
                </c:pt>
                <c:pt idx="115">
                  <c:v>-9.441085568546826E-3</c:v>
                </c:pt>
                <c:pt idx="116">
                  <c:v>-8.5001588860329561E-3</c:v>
                </c:pt>
                <c:pt idx="117">
                  <c:v>-7.6104988069563666E-3</c:v>
                </c:pt>
                <c:pt idx="118">
                  <c:v>-7.4173672196401058E-3</c:v>
                </c:pt>
                <c:pt idx="119">
                  <c:v>-6.3652276839449573E-3</c:v>
                </c:pt>
                <c:pt idx="120">
                  <c:v>-5.5004652782295292E-3</c:v>
                </c:pt>
                <c:pt idx="121">
                  <c:v>-4.3305280032526344E-3</c:v>
                </c:pt>
                <c:pt idx="122">
                  <c:v>-3.14337277543425E-3</c:v>
                </c:pt>
                <c:pt idx="123">
                  <c:v>-5.1487471870754267E-3</c:v>
                </c:pt>
                <c:pt idx="124">
                  <c:v>-3.3622040939109768E-3</c:v>
                </c:pt>
                <c:pt idx="125">
                  <c:v>-1.3337972468916992E-3</c:v>
                </c:pt>
                <c:pt idx="126">
                  <c:v>-8.1476698724303534E-4</c:v>
                </c:pt>
                <c:pt idx="127">
                  <c:v>7.7380585818356828E-4</c:v>
                </c:pt>
                <c:pt idx="128">
                  <c:v>1.936220967325368E-3</c:v>
                </c:pt>
                <c:pt idx="129">
                  <c:v>3.7459236861669409E-3</c:v>
                </c:pt>
                <c:pt idx="130">
                  <c:v>2.8167291153187932E-3</c:v>
                </c:pt>
                <c:pt idx="131">
                  <c:v>4.1499905207585605E-3</c:v>
                </c:pt>
                <c:pt idx="132">
                  <c:v>6.0688396109430526E-3</c:v>
                </c:pt>
                <c:pt idx="133">
                  <c:v>5.3578884123076168E-3</c:v>
                </c:pt>
                <c:pt idx="134">
                  <c:v>6.998717111672291E-3</c:v>
                </c:pt>
                <c:pt idx="135">
                  <c:v>9.0460881538874036E-3</c:v>
                </c:pt>
                <c:pt idx="136">
                  <c:v>1.1127629000553894E-3</c:v>
                </c:pt>
                <c:pt idx="137">
                  <c:v>1.6987899615355569E-3</c:v>
                </c:pt>
                <c:pt idx="138">
                  <c:v>-1.6890722841963121E-3</c:v>
                </c:pt>
                <c:pt idx="139">
                  <c:v>-5.1070975650460357E-4</c:v>
                </c:pt>
                <c:pt idx="140">
                  <c:v>1.5740167053443187E-3</c:v>
                </c:pt>
                <c:pt idx="141">
                  <c:v>3.6975396264005145E-3</c:v>
                </c:pt>
                <c:pt idx="142">
                  <c:v>4.6849920448222247E-3</c:v>
                </c:pt>
                <c:pt idx="143">
                  <c:v>6.4128667305486838E-3</c:v>
                </c:pt>
                <c:pt idx="144">
                  <c:v>7.3555964441219361E-3</c:v>
                </c:pt>
                <c:pt idx="145">
                  <c:v>7.5806566041669785E-3</c:v>
                </c:pt>
                <c:pt idx="146">
                  <c:v>4.9417709460453131E-3</c:v>
                </c:pt>
                <c:pt idx="147">
                  <c:v>6.7255716808772674E-3</c:v>
                </c:pt>
                <c:pt idx="148">
                  <c:v>8.2242948363690921E-3</c:v>
                </c:pt>
                <c:pt idx="149">
                  <c:v>6.3327789233719196E-3</c:v>
                </c:pt>
                <c:pt idx="150">
                  <c:v>7.022023266085883E-3</c:v>
                </c:pt>
                <c:pt idx="151">
                  <c:v>7.6405592577246245E-3</c:v>
                </c:pt>
                <c:pt idx="152">
                  <c:v>8.3851215121647765E-3</c:v>
                </c:pt>
                <c:pt idx="153">
                  <c:v>8.9481098949237142E-3</c:v>
                </c:pt>
                <c:pt idx="154">
                  <c:v>8.2119068282083783E-3</c:v>
                </c:pt>
                <c:pt idx="155">
                  <c:v>3.6208496557631961E-3</c:v>
                </c:pt>
                <c:pt idx="156">
                  <c:v>6.3005321962893851E-3</c:v>
                </c:pt>
                <c:pt idx="157">
                  <c:v>9.0311806882555322E-3</c:v>
                </c:pt>
                <c:pt idx="158">
                  <c:v>1.1707710585397418E-2</c:v>
                </c:pt>
                <c:pt idx="159">
                  <c:v>8.8987328761820934E-3</c:v>
                </c:pt>
                <c:pt idx="160">
                  <c:v>8.7358456108902281E-3</c:v>
                </c:pt>
                <c:pt idx="161">
                  <c:v>9.0017563676423312E-3</c:v>
                </c:pt>
                <c:pt idx="162">
                  <c:v>7.8165679879221329E-3</c:v>
                </c:pt>
                <c:pt idx="163">
                  <c:v>7.7813408988558737E-3</c:v>
                </c:pt>
                <c:pt idx="164">
                  <c:v>7.7966826683562064E-3</c:v>
                </c:pt>
                <c:pt idx="165">
                  <c:v>7.8083790376087146E-3</c:v>
                </c:pt>
                <c:pt idx="166">
                  <c:v>7.8167282704091432E-3</c:v>
                </c:pt>
                <c:pt idx="167">
                  <c:v>7.8230538308164625E-3</c:v>
                </c:pt>
                <c:pt idx="168">
                  <c:v>7.8096153749888627E-3</c:v>
                </c:pt>
                <c:pt idx="169">
                  <c:v>7.8099942497194211E-3</c:v>
                </c:pt>
                <c:pt idx="170">
                  <c:v>7.8100031333913833E-3</c:v>
                </c:pt>
                <c:pt idx="171">
                  <c:v>7.8101767143555689E-3</c:v>
                </c:pt>
                <c:pt idx="172">
                  <c:v>7.8103503857968751E-3</c:v>
                </c:pt>
                <c:pt idx="173">
                  <c:v>7.8105239631634351E-3</c:v>
                </c:pt>
                <c:pt idx="174">
                  <c:v>7.8106975331828331E-3</c:v>
                </c:pt>
                <c:pt idx="175">
                  <c:v>7.810871106160972E-3</c:v>
                </c:pt>
                <c:pt idx="176">
                  <c:v>7.8110446830031424E-3</c:v>
                </c:pt>
                <c:pt idx="177">
                  <c:v>7.8112182637025459E-3</c:v>
                </c:pt>
                <c:pt idx="178">
                  <c:v>7.8113918482593378E-3</c:v>
                </c:pt>
                <c:pt idx="179">
                  <c:v>7.8115654366736065E-3</c:v>
                </c:pt>
              </c:numCache>
            </c:numRef>
          </c:val>
          <c:smooth val="0"/>
          <c:extLst>
            <c:ext xmlns:c16="http://schemas.microsoft.com/office/drawing/2014/chart" uri="{C3380CC4-5D6E-409C-BE32-E72D297353CC}">
              <c16:uniqueId val="{00000000-083C-41F4-871B-9EE01AE4C15D}"/>
            </c:ext>
          </c:extLst>
        </c:ser>
        <c:dLbls>
          <c:showLegendKey val="0"/>
          <c:showVal val="0"/>
          <c:showCatName val="0"/>
          <c:showSerName val="0"/>
          <c:showPercent val="0"/>
          <c:showBubbleSize val="0"/>
        </c:dLbls>
        <c:dropLines>
          <c:spPr>
            <a:ln w="9525" cap="flat" cmpd="sng" algn="ctr">
              <a:noFill/>
              <a:round/>
            </a:ln>
            <a:effectLst/>
          </c:spPr>
        </c:dropLines>
        <c:smooth val="0"/>
        <c:axId val="940368976"/>
        <c:axId val="940371056"/>
      </c:lineChart>
      <c:catAx>
        <c:axId val="940368976"/>
        <c:scaling>
          <c:orientation val="minMax"/>
        </c:scaling>
        <c:delete val="0"/>
        <c:axPos val="b"/>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940371056"/>
        <c:crosses val="autoZero"/>
        <c:auto val="1"/>
        <c:lblAlgn val="ctr"/>
        <c:lblOffset val="100"/>
        <c:noMultiLvlLbl val="0"/>
      </c:catAx>
      <c:valAx>
        <c:axId val="940371056"/>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40368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PnL of the hedging operation (rangy scenario)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'2.b) Dynamics'!$K$1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'2.b) Dynamics'!$K$2:$K$91</c:f>
              <c:numCache>
                <c:formatCode>0.000</c:formatCode>
                <c:ptCount val="90"/>
                <c:pt idx="0">
                  <c:v>0</c:v>
                </c:pt>
                <c:pt idx="1">
                  <c:v>5.9057410368945629E-4</c:v>
                </c:pt>
                <c:pt idx="2">
                  <c:v>2.9450861489157543E-3</c:v>
                </c:pt>
                <c:pt idx="3">
                  <c:v>-2.4233536280884316E-3</c:v>
                </c:pt>
                <c:pt idx="4">
                  <c:v>-2.443196899043043E-3</c:v>
                </c:pt>
                <c:pt idx="5">
                  <c:v>4.031772540302625E-3</c:v>
                </c:pt>
                <c:pt idx="6">
                  <c:v>-1.9220968332014698E-2</c:v>
                </c:pt>
                <c:pt idx="7">
                  <c:v>-2.289191714597083E-2</c:v>
                </c:pt>
                <c:pt idx="8">
                  <c:v>-2.8785197700032628E-2</c:v>
                </c:pt>
                <c:pt idx="9">
                  <c:v>-2.1424479280721387E-2</c:v>
                </c:pt>
                <c:pt idx="10">
                  <c:v>-1.7865654913145734E-2</c:v>
                </c:pt>
                <c:pt idx="11">
                  <c:v>-1.2013966559621503E-2</c:v>
                </c:pt>
                <c:pt idx="12">
                  <c:v>-1.1323088235354273E-2</c:v>
                </c:pt>
                <c:pt idx="13">
                  <c:v>-1.8038526347008699E-2</c:v>
                </c:pt>
                <c:pt idx="14">
                  <c:v>-1.7294018318019355E-2</c:v>
                </c:pt>
                <c:pt idx="15">
                  <c:v>-8.6350485980497549E-3</c:v>
                </c:pt>
                <c:pt idx="16">
                  <c:v>4.0938142408364353E-4</c:v>
                </c:pt>
                <c:pt idx="17">
                  <c:v>1.0308683531649154E-2</c:v>
                </c:pt>
                <c:pt idx="18">
                  <c:v>1.6771228519393944E-2</c:v>
                </c:pt>
                <c:pt idx="19">
                  <c:v>2.7096233196914676E-2</c:v>
                </c:pt>
                <c:pt idx="20">
                  <c:v>3.6914720986122584E-2</c:v>
                </c:pt>
                <c:pt idx="21">
                  <c:v>4.5912424847133093E-2</c:v>
                </c:pt>
                <c:pt idx="22">
                  <c:v>5.6684281573493478E-2</c:v>
                </c:pt>
                <c:pt idx="23">
                  <c:v>6.2801827714033198E-2</c:v>
                </c:pt>
                <c:pt idx="24">
                  <c:v>7.3346928985784432E-2</c:v>
                </c:pt>
                <c:pt idx="25">
                  <c:v>6.8954050544925427E-2</c:v>
                </c:pt>
                <c:pt idx="26">
                  <c:v>6.4170165754179942E-2</c:v>
                </c:pt>
                <c:pt idx="27">
                  <c:v>5.2531282915545874E-2</c:v>
                </c:pt>
                <c:pt idx="28">
                  <c:v>6.1547893000578502E-2</c:v>
                </c:pt>
                <c:pt idx="29">
                  <c:v>6.9324154899122581E-2</c:v>
                </c:pt>
                <c:pt idx="30">
                  <c:v>7.873457039777243E-2</c:v>
                </c:pt>
                <c:pt idx="31">
                  <c:v>5.7487904164991332E-2</c:v>
                </c:pt>
                <c:pt idx="32">
                  <c:v>5.9150168923788882E-2</c:v>
                </c:pt>
                <c:pt idx="33">
                  <c:v>4.9345643661883543E-2</c:v>
                </c:pt>
                <c:pt idx="34">
                  <c:v>5.8130189009609812E-2</c:v>
                </c:pt>
                <c:pt idx="35">
                  <c:v>4.7216958429008193E-2</c:v>
                </c:pt>
                <c:pt idx="36">
                  <c:v>5.3607869546043907E-2</c:v>
                </c:pt>
                <c:pt idx="37">
                  <c:v>6.3720825396997138E-2</c:v>
                </c:pt>
                <c:pt idx="38">
                  <c:v>-1.4006346907364353E-2</c:v>
                </c:pt>
                <c:pt idx="39">
                  <c:v>-2.2468047306637262E-2</c:v>
                </c:pt>
                <c:pt idx="40">
                  <c:v>-3.4261993851247174E-2</c:v>
                </c:pt>
                <c:pt idx="41">
                  <c:v>-2.7271595820547057E-2</c:v>
                </c:pt>
                <c:pt idx="42">
                  <c:v>-1.9926682108720895E-2</c:v>
                </c:pt>
                <c:pt idx="43">
                  <c:v>-1.5592184505714646E-2</c:v>
                </c:pt>
                <c:pt idx="44">
                  <c:v>-1.9345171664536226E-2</c:v>
                </c:pt>
                <c:pt idx="45">
                  <c:v>-1.253334745532414E-2</c:v>
                </c:pt>
                <c:pt idx="46">
                  <c:v>-9.2192881403779792E-3</c:v>
                </c:pt>
                <c:pt idx="47">
                  <c:v>-3.2716960477387994E-2</c:v>
                </c:pt>
                <c:pt idx="48">
                  <c:v>-2.6370337064922422E-2</c:v>
                </c:pt>
                <c:pt idx="49">
                  <c:v>-2.0300730546799498E-2</c:v>
                </c:pt>
                <c:pt idx="50">
                  <c:v>-1.4090092852863834E-2</c:v>
                </c:pt>
                <c:pt idx="51">
                  <c:v>-1.0019849224400718E-2</c:v>
                </c:pt>
                <c:pt idx="52">
                  <c:v>-4.2432168392214087E-3</c:v>
                </c:pt>
                <c:pt idx="53">
                  <c:v>-2.6729522264359595E-3</c:v>
                </c:pt>
                <c:pt idx="54">
                  <c:v>3.0945211584802734E-3</c:v>
                </c:pt>
                <c:pt idx="55">
                  <c:v>1.0617246335403382E-2</c:v>
                </c:pt>
                <c:pt idx="56">
                  <c:v>1.6996798176438607E-2</c:v>
                </c:pt>
                <c:pt idx="57">
                  <c:v>-3.1669096738120572E-3</c:v>
                </c:pt>
                <c:pt idx="58">
                  <c:v>-8.0357588366934546E-3</c:v>
                </c:pt>
                <c:pt idx="59">
                  <c:v>-9.7242446915526831E-3</c:v>
                </c:pt>
                <c:pt idx="60">
                  <c:v>-1.4952977887977947E-2</c:v>
                </c:pt>
                <c:pt idx="61">
                  <c:v>-1.3246989020634738E-2</c:v>
                </c:pt>
                <c:pt idx="62">
                  <c:v>-1.0257332657541016E-2</c:v>
                </c:pt>
                <c:pt idx="63">
                  <c:v>-4.9122258279267542E-3</c:v>
                </c:pt>
                <c:pt idx="64">
                  <c:v>-7.2862398459885118E-3</c:v>
                </c:pt>
                <c:pt idx="65">
                  <c:v>-3.8434802429774019E-3</c:v>
                </c:pt>
                <c:pt idx="66">
                  <c:v>-2.7751536005129682E-4</c:v>
                </c:pt>
                <c:pt idx="67">
                  <c:v>-6.9228713726571939E-4</c:v>
                </c:pt>
                <c:pt idx="68">
                  <c:v>-3.7416737561014254E-3</c:v>
                </c:pt>
                <c:pt idx="69">
                  <c:v>8.0165893538600846E-4</c:v>
                </c:pt>
                <c:pt idx="70">
                  <c:v>-3.9359704481780125E-4</c:v>
                </c:pt>
                <c:pt idx="71">
                  <c:v>-1.6563629601763774E-3</c:v>
                </c:pt>
                <c:pt idx="72">
                  <c:v>-1.7416309977684973E-3</c:v>
                </c:pt>
                <c:pt idx="73">
                  <c:v>-1.4937163338078069E-3</c:v>
                </c:pt>
                <c:pt idx="74">
                  <c:v>4.3194360229383694E-4</c:v>
                </c:pt>
                <c:pt idx="75">
                  <c:v>-1.0857207545143081E-2</c:v>
                </c:pt>
                <c:pt idx="76">
                  <c:v>-1.5876474104671006E-2</c:v>
                </c:pt>
                <c:pt idx="77">
                  <c:v>-1.6406121968619999E-2</c:v>
                </c:pt>
                <c:pt idx="78">
                  <c:v>-1.5425553881291059E-2</c:v>
                </c:pt>
                <c:pt idx="79">
                  <c:v>-1.4695553762929716E-2</c:v>
                </c:pt>
                <c:pt idx="80">
                  <c:v>-1.4201526935216504E-2</c:v>
                </c:pt>
                <c:pt idx="81">
                  <c:v>-1.3532547019031544E-2</c:v>
                </c:pt>
                <c:pt idx="82">
                  <c:v>-1.3839851185622993E-2</c:v>
                </c:pt>
                <c:pt idx="83">
                  <c:v>-1.3710642006707787E-2</c:v>
                </c:pt>
                <c:pt idx="84">
                  <c:v>-1.3640510779858679E-2</c:v>
                </c:pt>
                <c:pt idx="85">
                  <c:v>-1.3598019084182173E-2</c:v>
                </c:pt>
                <c:pt idx="86">
                  <c:v>-1.3591033099349824E-2</c:v>
                </c:pt>
                <c:pt idx="87">
                  <c:v>-1.3591762160386014E-2</c:v>
                </c:pt>
                <c:pt idx="88">
                  <c:v>-1.3592377744831631E-2</c:v>
                </c:pt>
                <c:pt idx="89">
                  <c:v>-1.359298186402437E-2</c:v>
                </c:pt>
              </c:numCache>
            </c:numRef>
          </c:val>
          <c:smooth val="0"/>
          <c:extLst>
            <c:ext xmlns:c16="http://schemas.microsoft.com/office/drawing/2014/chart" uri="{C3380CC4-5D6E-409C-BE32-E72D297353CC}">
              <c16:uniqueId val="{00000000-ACE5-43DA-A842-0B326B1CD308}"/>
            </c:ext>
          </c:extLst>
        </c:ser>
        <c:dLbls>
          <c:showLegendKey val="0"/>
          <c:showVal val="0"/>
          <c:showCatName val="0"/>
          <c:showSerName val="0"/>
          <c:showPercent val="0"/>
          <c:showBubbleSize val="0"/>
        </c:dLbls>
        <c:dropLines>
          <c:spPr>
            <a:ln w="9525" cap="flat" cmpd="sng" algn="ctr">
              <a:noFill/>
              <a:round/>
            </a:ln>
            <a:effectLst/>
          </c:spPr>
        </c:dropLines>
        <c:smooth val="0"/>
        <c:axId val="2109878048"/>
        <c:axId val="2109853920"/>
      </c:lineChart>
      <c:catAx>
        <c:axId val="2109878048"/>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2109853920"/>
        <c:crosses val="autoZero"/>
        <c:auto val="1"/>
        <c:lblAlgn val="ctr"/>
        <c:lblOffset val="100"/>
        <c:noMultiLvlLbl val="0"/>
      </c:catAx>
      <c:valAx>
        <c:axId val="2109853920"/>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10987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PnL of the hedging operation (trendy scenario)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'2.b) Dynamics'!$T$1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'2.b) Dynamics'!$T$2:$T$91</c:f>
              <c:numCache>
                <c:formatCode>0.000</c:formatCode>
                <c:ptCount val="90"/>
                <c:pt idx="0">
                  <c:v>0</c:v>
                </c:pt>
                <c:pt idx="1">
                  <c:v>1.4054544295153404E-3</c:v>
                </c:pt>
                <c:pt idx="2">
                  <c:v>-1.9048398346489748E-2</c:v>
                </c:pt>
                <c:pt idx="3">
                  <c:v>-2.4002245066725214E-2</c:v>
                </c:pt>
                <c:pt idx="4">
                  <c:v>-2.4961054117287995E-2</c:v>
                </c:pt>
                <c:pt idx="5">
                  <c:v>-2.5882398242404792E-2</c:v>
                </c:pt>
                <c:pt idx="6">
                  <c:v>-1.3128629032278738E-2</c:v>
                </c:pt>
                <c:pt idx="7">
                  <c:v>-9.131818735900632E-3</c:v>
                </c:pt>
                <c:pt idx="8">
                  <c:v>-9.0719105676382306E-3</c:v>
                </c:pt>
                <c:pt idx="9">
                  <c:v>-5.5527748634285778E-2</c:v>
                </c:pt>
                <c:pt idx="10">
                  <c:v>-4.4789807503260448E-2</c:v>
                </c:pt>
                <c:pt idx="11">
                  <c:v>-8.5867712338504099E-2</c:v>
                </c:pt>
                <c:pt idx="12">
                  <c:v>-0.16642292522265301</c:v>
                </c:pt>
                <c:pt idx="13">
                  <c:v>-0.15324579024419549</c:v>
                </c:pt>
                <c:pt idx="14">
                  <c:v>-0.1391037713669272</c:v>
                </c:pt>
                <c:pt idx="15">
                  <c:v>-0.12570533492788893</c:v>
                </c:pt>
                <c:pt idx="16">
                  <c:v>-0.11615364301375664</c:v>
                </c:pt>
                <c:pt idx="17">
                  <c:v>-0.12267308517555087</c:v>
                </c:pt>
                <c:pt idx="18">
                  <c:v>-0.11330318923030713</c:v>
                </c:pt>
                <c:pt idx="19">
                  <c:v>-0.11985290276848382</c:v>
                </c:pt>
                <c:pt idx="20">
                  <c:v>-0.16296373855038215</c:v>
                </c:pt>
                <c:pt idx="21">
                  <c:v>-0.15309508100701841</c:v>
                </c:pt>
                <c:pt idx="22">
                  <c:v>-0.15381923186459989</c:v>
                </c:pt>
                <c:pt idx="23">
                  <c:v>-0.14708516469572341</c:v>
                </c:pt>
                <c:pt idx="24">
                  <c:v>-0.13926124785343408</c:v>
                </c:pt>
                <c:pt idx="25">
                  <c:v>-0.13034841872701275</c:v>
                </c:pt>
                <c:pt idx="26">
                  <c:v>-0.12078685570601433</c:v>
                </c:pt>
                <c:pt idx="27">
                  <c:v>-0.11363273644103256</c:v>
                </c:pt>
                <c:pt idx="28">
                  <c:v>-0.12060024812676495</c:v>
                </c:pt>
                <c:pt idx="29">
                  <c:v>-0.13888408936092134</c:v>
                </c:pt>
                <c:pt idx="30">
                  <c:v>-0.16592150288394159</c:v>
                </c:pt>
                <c:pt idx="31">
                  <c:v>-0.15896654911407992</c:v>
                </c:pt>
                <c:pt idx="32">
                  <c:v>-0.17089560034864348</c:v>
                </c:pt>
                <c:pt idx="33">
                  <c:v>-0.19329524389946506</c:v>
                </c:pt>
                <c:pt idx="34">
                  <c:v>-0.19606417037408086</c:v>
                </c:pt>
                <c:pt idx="35">
                  <c:v>-0.19684745915139246</c:v>
                </c:pt>
                <c:pt idx="36">
                  <c:v>-0.20521849222864574</c:v>
                </c:pt>
                <c:pt idx="37">
                  <c:v>-0.20648911532920522</c:v>
                </c:pt>
                <c:pt idx="38">
                  <c:v>-0.20669463765205265</c:v>
                </c:pt>
                <c:pt idx="39">
                  <c:v>-0.20667580873065461</c:v>
                </c:pt>
                <c:pt idx="40">
                  <c:v>-0.20670302279848229</c:v>
                </c:pt>
                <c:pt idx="41">
                  <c:v>-0.20668709914684769</c:v>
                </c:pt>
                <c:pt idx="42">
                  <c:v>-0.20674321820021291</c:v>
                </c:pt>
                <c:pt idx="43">
                  <c:v>-0.20675701089869492</c:v>
                </c:pt>
                <c:pt idx="44">
                  <c:v>-0.20679976845778825</c:v>
                </c:pt>
                <c:pt idx="45">
                  <c:v>-0.20680494878103062</c:v>
                </c:pt>
                <c:pt idx="46">
                  <c:v>-0.20681090438086258</c:v>
                </c:pt>
                <c:pt idx="47">
                  <c:v>-0.20683989071025977</c:v>
                </c:pt>
                <c:pt idx="48">
                  <c:v>-0.20684984747521185</c:v>
                </c:pt>
                <c:pt idx="49">
                  <c:v>-0.20685953840709459</c:v>
                </c:pt>
                <c:pt idx="50">
                  <c:v>-0.2068687314625457</c:v>
                </c:pt>
                <c:pt idx="51">
                  <c:v>-0.20687791765958252</c:v>
                </c:pt>
                <c:pt idx="52">
                  <c:v>-0.20688711170039298</c:v>
                </c:pt>
                <c:pt idx="53">
                  <c:v>-0.20689630332834597</c:v>
                </c:pt>
                <c:pt idx="54">
                  <c:v>-0.20690549698474214</c:v>
                </c:pt>
                <c:pt idx="55">
                  <c:v>-0.20691469410880003</c:v>
                </c:pt>
                <c:pt idx="56">
                  <c:v>-0.20692389110423193</c:v>
                </c:pt>
                <c:pt idx="57">
                  <c:v>-0.20693308800751709</c:v>
                </c:pt>
                <c:pt idx="58">
                  <c:v>-0.20694228523729663</c:v>
                </c:pt>
                <c:pt idx="59">
                  <c:v>-0.20695148287738618</c:v>
                </c:pt>
                <c:pt idx="60">
                  <c:v>-0.20696068092553332</c:v>
                </c:pt>
                <c:pt idx="61">
                  <c:v>-0.20696987938242017</c:v>
                </c:pt>
                <c:pt idx="62">
                  <c:v>-0.20697907824814621</c:v>
                </c:pt>
                <c:pt idx="63">
                  <c:v>-0.20698827752271143</c:v>
                </c:pt>
                <c:pt idx="64">
                  <c:v>-0.20699747720615136</c:v>
                </c:pt>
                <c:pt idx="65">
                  <c:v>-0.20700667729847311</c:v>
                </c:pt>
                <c:pt idx="66">
                  <c:v>-0.20701587779969088</c:v>
                </c:pt>
                <c:pt idx="67">
                  <c:v>-0.20702507870983311</c:v>
                </c:pt>
                <c:pt idx="68">
                  <c:v>-0.207034280028914</c:v>
                </c:pt>
                <c:pt idx="69">
                  <c:v>-0.20704348175694776</c:v>
                </c:pt>
                <c:pt idx="70">
                  <c:v>-0.2070526838939557</c:v>
                </c:pt>
                <c:pt idx="71">
                  <c:v>-0.20706188643995205</c:v>
                </c:pt>
                <c:pt idx="72">
                  <c:v>-0.20707108939497232</c:v>
                </c:pt>
                <c:pt idx="73">
                  <c:v>-0.20708029275901652</c:v>
                </c:pt>
                <c:pt idx="74">
                  <c:v>-0.20708949653210595</c:v>
                </c:pt>
                <c:pt idx="75">
                  <c:v>-0.20709870071426195</c:v>
                </c:pt>
                <c:pt idx="76">
                  <c:v>-0.20710790530549872</c:v>
                </c:pt>
                <c:pt idx="77">
                  <c:v>-0.20711711030583757</c:v>
                </c:pt>
                <c:pt idx="78">
                  <c:v>-0.20712631571530693</c:v>
                </c:pt>
                <c:pt idx="79">
                  <c:v>-0.2071355215339139</c:v>
                </c:pt>
                <c:pt idx="80">
                  <c:v>-0.20714472776166559</c:v>
                </c:pt>
                <c:pt idx="81">
                  <c:v>-0.20715393439859753</c:v>
                </c:pt>
                <c:pt idx="82">
                  <c:v>-0.20716314144472392</c:v>
                </c:pt>
                <c:pt idx="83">
                  <c:v>-0.20717234890005187</c:v>
                </c:pt>
                <c:pt idx="84">
                  <c:v>-0.20718155676462402</c:v>
                </c:pt>
                <c:pt idx="85">
                  <c:v>-0.20719076503843326</c:v>
                </c:pt>
                <c:pt idx="86">
                  <c:v>-0.207199973721508</c:v>
                </c:pt>
                <c:pt idx="87">
                  <c:v>-0.20720918281386957</c:v>
                </c:pt>
                <c:pt idx="88">
                  <c:v>-0.20721839231553929</c:v>
                </c:pt>
                <c:pt idx="89">
                  <c:v>-0.20722760222652425</c:v>
                </c:pt>
              </c:numCache>
            </c:numRef>
          </c:val>
          <c:smooth val="0"/>
          <c:extLst>
            <c:ext xmlns:c16="http://schemas.microsoft.com/office/drawing/2014/chart" uri="{C3380CC4-5D6E-409C-BE32-E72D297353CC}">
              <c16:uniqueId val="{00000000-C004-4D9C-BE03-0D8C1BBDBC57}"/>
            </c:ext>
          </c:extLst>
        </c:ser>
        <c:dLbls>
          <c:showLegendKey val="0"/>
          <c:showVal val="0"/>
          <c:showCatName val="0"/>
          <c:showSerName val="0"/>
          <c:showPercent val="0"/>
          <c:showBubbleSize val="0"/>
        </c:dLbls>
        <c:dropLines>
          <c:spPr>
            <a:ln w="9525" cap="flat" cmpd="sng" algn="ctr">
              <a:noFill/>
              <a:round/>
            </a:ln>
            <a:effectLst/>
          </c:spPr>
        </c:dropLines>
        <c:smooth val="0"/>
        <c:axId val="408881344"/>
        <c:axId val="408902144"/>
      </c:lineChart>
      <c:catAx>
        <c:axId val="408881344"/>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08902144"/>
        <c:crosses val="autoZero"/>
        <c:auto val="1"/>
        <c:lblAlgn val="ctr"/>
        <c:lblOffset val="100"/>
        <c:noMultiLvlLbl val="0"/>
      </c:catAx>
      <c:valAx>
        <c:axId val="408902144"/>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08881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'2.c) Transaction costs'!$O$1</c:f>
              <c:strCache>
                <c:ptCount val="1"/>
                <c:pt idx="0">
                  <c:v>Pnl without transaction costs</c:v>
                </c:pt>
              </c:strCache>
            </c:strRef>
          </c:tx>
          <c:spPr>
            <a:ln w="34925" cap="rnd">
              <a:solidFill>
                <a:schemeClr val="lt1"/>
              </a:solidFill>
              <a:round/>
            </a:ln>
            <a:effectLst>
              <a:outerShdw dist="25400" dir="2700000" algn="tl" rotWithShape="0">
                <a:schemeClr val="accent1"/>
              </a:outerShdw>
            </a:effectLst>
          </c:spPr>
          <c:marker>
            <c:symbol val="none"/>
          </c:marker>
          <c:val>
            <c:numRef>
              <c:f>'2.c) Transaction costs'!$O$2:$O$91</c:f>
              <c:numCache>
                <c:formatCode>0.000</c:formatCode>
                <c:ptCount val="90"/>
                <c:pt idx="0">
                  <c:v>0</c:v>
                </c:pt>
                <c:pt idx="1">
                  <c:v>-1.9607921402231554E-4</c:v>
                </c:pt>
                <c:pt idx="2">
                  <c:v>5.2905903437772128E-4</c:v>
                </c:pt>
                <c:pt idx="3">
                  <c:v>6.1333311852573846E-4</c:v>
                </c:pt>
                <c:pt idx="4">
                  <c:v>7.3574659613040438E-4</c:v>
                </c:pt>
                <c:pt idx="5">
                  <c:v>6.9254688348296956E-4</c:v>
                </c:pt>
                <c:pt idx="6">
                  <c:v>2.901068779859739E-4</c:v>
                </c:pt>
                <c:pt idx="7">
                  <c:v>3.4701893506738912E-5</c:v>
                </c:pt>
                <c:pt idx="8">
                  <c:v>-7.2324766901876725E-4</c:v>
                </c:pt>
                <c:pt idx="9">
                  <c:v>-1.311150175157122E-3</c:v>
                </c:pt>
                <c:pt idx="10">
                  <c:v>-2.8649190812354841E-3</c:v>
                </c:pt>
                <c:pt idx="11">
                  <c:v>-5.3723971614969002E-3</c:v>
                </c:pt>
                <c:pt idx="12">
                  <c:v>-6.0929798281199044E-3</c:v>
                </c:pt>
                <c:pt idx="13">
                  <c:v>-6.7061864590433895E-3</c:v>
                </c:pt>
                <c:pt idx="14">
                  <c:v>-7.5445959715805255E-3</c:v>
                </c:pt>
                <c:pt idx="15">
                  <c:v>-7.4410080674133794E-3</c:v>
                </c:pt>
                <c:pt idx="16">
                  <c:v>-9.6556757843979657E-3</c:v>
                </c:pt>
                <c:pt idx="17">
                  <c:v>-9.6995525787076931E-3</c:v>
                </c:pt>
                <c:pt idx="18">
                  <c:v>-1.2059140115707211E-2</c:v>
                </c:pt>
                <c:pt idx="19">
                  <c:v>-1.0145446258123428E-2</c:v>
                </c:pt>
                <c:pt idx="20">
                  <c:v>-9.3315973414915265E-3</c:v>
                </c:pt>
                <c:pt idx="21">
                  <c:v>-1.2401005407516902E-2</c:v>
                </c:pt>
                <c:pt idx="22">
                  <c:v>-1.1122524295845385E-2</c:v>
                </c:pt>
                <c:pt idx="23">
                  <c:v>-9.941654020676774E-3</c:v>
                </c:pt>
                <c:pt idx="24">
                  <c:v>-9.6903710657006703E-3</c:v>
                </c:pt>
                <c:pt idx="25">
                  <c:v>-9.8449402050436174E-3</c:v>
                </c:pt>
                <c:pt idx="26">
                  <c:v>-1.0647909214410056E-2</c:v>
                </c:pt>
                <c:pt idx="27">
                  <c:v>-9.6083156204988807E-3</c:v>
                </c:pt>
                <c:pt idx="28">
                  <c:v>-9.6304826192794429E-3</c:v>
                </c:pt>
                <c:pt idx="29">
                  <c:v>-9.4136330607442198E-3</c:v>
                </c:pt>
                <c:pt idx="30">
                  <c:v>-9.3367682634412363E-3</c:v>
                </c:pt>
                <c:pt idx="31">
                  <c:v>-9.0322925120816799E-3</c:v>
                </c:pt>
                <c:pt idx="32">
                  <c:v>-8.5126189641516678E-3</c:v>
                </c:pt>
                <c:pt idx="33">
                  <c:v>-8.7439780448296048E-3</c:v>
                </c:pt>
                <c:pt idx="34">
                  <c:v>-8.8387234804691191E-3</c:v>
                </c:pt>
                <c:pt idx="35">
                  <c:v>-8.9520953742255396E-3</c:v>
                </c:pt>
                <c:pt idx="36">
                  <c:v>-9.0337458758634661E-3</c:v>
                </c:pt>
                <c:pt idx="37">
                  <c:v>-9.1149110917831261E-3</c:v>
                </c:pt>
                <c:pt idx="38">
                  <c:v>-8.2270315426117152E-3</c:v>
                </c:pt>
                <c:pt idx="39">
                  <c:v>-8.2289337787858942E-3</c:v>
                </c:pt>
                <c:pt idx="40">
                  <c:v>-8.221727186561131E-3</c:v>
                </c:pt>
                <c:pt idx="41">
                  <c:v>-8.2232282563075351E-3</c:v>
                </c:pt>
                <c:pt idx="42">
                  <c:v>-8.2012687566974697E-3</c:v>
                </c:pt>
                <c:pt idx="43">
                  <c:v>-8.2125409760545869E-3</c:v>
                </c:pt>
                <c:pt idx="44">
                  <c:v>-8.2256576708141863E-3</c:v>
                </c:pt>
                <c:pt idx="45">
                  <c:v>-8.2217851399949832E-3</c:v>
                </c:pt>
                <c:pt idx="46">
                  <c:v>-8.2263081091013858E-3</c:v>
                </c:pt>
                <c:pt idx="47">
                  <c:v>-8.232752420645589E-3</c:v>
                </c:pt>
                <c:pt idx="48">
                  <c:v>-8.2382558483523865E-3</c:v>
                </c:pt>
                <c:pt idx="49">
                  <c:v>-8.2367287881510882E-3</c:v>
                </c:pt>
                <c:pt idx="50">
                  <c:v>-8.2322984462567111E-3</c:v>
                </c:pt>
                <c:pt idx="51">
                  <c:v>-8.2339099277139258E-3</c:v>
                </c:pt>
                <c:pt idx="52">
                  <c:v>-8.2371128760196852E-3</c:v>
                </c:pt>
                <c:pt idx="53">
                  <c:v>-8.2351459221627829E-3</c:v>
                </c:pt>
                <c:pt idx="54">
                  <c:v>-8.2378019536552757E-3</c:v>
                </c:pt>
                <c:pt idx="55">
                  <c:v>-8.2393854295942093E-3</c:v>
                </c:pt>
                <c:pt idx="56">
                  <c:v>-8.2405160561018157E-3</c:v>
                </c:pt>
                <c:pt idx="57">
                  <c:v>-8.2424396503338621E-3</c:v>
                </c:pt>
                <c:pt idx="58">
                  <c:v>-8.2434767039201093E-3</c:v>
                </c:pt>
                <c:pt idx="59">
                  <c:v>-8.2440141857181518E-3</c:v>
                </c:pt>
                <c:pt idx="60">
                  <c:v>-8.2443882604027394E-3</c:v>
                </c:pt>
                <c:pt idx="61">
                  <c:v>-8.2448419559021952E-3</c:v>
                </c:pt>
                <c:pt idx="62">
                  <c:v>-8.2451527632817646E-3</c:v>
                </c:pt>
                <c:pt idx="63">
                  <c:v>-8.2455479706289303E-3</c:v>
                </c:pt>
                <c:pt idx="64">
                  <c:v>-8.2459257562030909E-3</c:v>
                </c:pt>
                <c:pt idx="65">
                  <c:v>-8.2463010024408333E-3</c:v>
                </c:pt>
                <c:pt idx="66">
                  <c:v>-8.2466628005050113E-3</c:v>
                </c:pt>
                <c:pt idx="67">
                  <c:v>-8.2470252130612733E-3</c:v>
                </c:pt>
                <c:pt idx="68">
                  <c:v>-8.2473983403559218E-3</c:v>
                </c:pt>
                <c:pt idx="69">
                  <c:v>-8.2477645317407845E-3</c:v>
                </c:pt>
                <c:pt idx="70">
                  <c:v>-8.2481326733066535E-3</c:v>
                </c:pt>
                <c:pt idx="71">
                  <c:v>-8.2484992915954816E-3</c:v>
                </c:pt>
                <c:pt idx="72">
                  <c:v>-8.24886586889155E-3</c:v>
                </c:pt>
                <c:pt idx="73">
                  <c:v>-8.2492324936688753E-3</c:v>
                </c:pt>
                <c:pt idx="74">
                  <c:v>-8.2495991343395393E-3</c:v>
                </c:pt>
                <c:pt idx="75">
                  <c:v>-8.2499657913741829E-3</c:v>
                </c:pt>
                <c:pt idx="76">
                  <c:v>-8.2503324646706414E-3</c:v>
                </c:pt>
                <c:pt idx="77">
                  <c:v>-8.2506991542621692E-3</c:v>
                </c:pt>
                <c:pt idx="78">
                  <c:v>-8.2510658601513218E-3</c:v>
                </c:pt>
                <c:pt idx="79">
                  <c:v>-8.2514325823388711E-3</c:v>
                </c:pt>
                <c:pt idx="80">
                  <c:v>-8.2517993208255473E-3</c:v>
                </c:pt>
                <c:pt idx="81">
                  <c:v>-8.2521660756120739E-3</c:v>
                </c:pt>
                <c:pt idx="82">
                  <c:v>-8.252532846699176E-3</c:v>
                </c:pt>
                <c:pt idx="83">
                  <c:v>-8.2528996340875769E-3</c:v>
                </c:pt>
                <c:pt idx="84">
                  <c:v>-8.2532664377780018E-3</c:v>
                </c:pt>
                <c:pt idx="85">
                  <c:v>-8.2536332577711757E-3</c:v>
                </c:pt>
                <c:pt idx="86">
                  <c:v>-8.2540000940678222E-3</c:v>
                </c:pt>
                <c:pt idx="87">
                  <c:v>-8.2543669466686662E-3</c:v>
                </c:pt>
                <c:pt idx="88">
                  <c:v>-8.2547338155744329E-3</c:v>
                </c:pt>
                <c:pt idx="89">
                  <c:v>-8.2551007007858473E-3</c:v>
                </c:pt>
              </c:numCache>
            </c:numRef>
          </c:val>
          <c:smooth val="0"/>
          <c:extLst>
            <c:ext xmlns:c16="http://schemas.microsoft.com/office/drawing/2014/chart" uri="{C3380CC4-5D6E-409C-BE32-E72D297353CC}">
              <c16:uniqueId val="{00000000-F9D7-4486-A330-A54EE5D899D1}"/>
            </c:ext>
          </c:extLst>
        </c:ser>
        <c:dLbls>
          <c:showLegendKey val="0"/>
          <c:showVal val="0"/>
          <c:showCatName val="0"/>
          <c:showSerName val="0"/>
          <c:showPercent val="0"/>
          <c:showBubbleSize val="0"/>
        </c:dLbls>
        <c:dropLines>
          <c:spPr>
            <a:ln w="9525" cap="flat" cmpd="sng" algn="ctr">
              <a:noFill/>
              <a:round/>
            </a:ln>
            <a:effectLst/>
          </c:spPr>
        </c:dropLines>
        <c:smooth val="0"/>
        <c:axId val="2090776688"/>
        <c:axId val="2090777520"/>
      </c:lineChart>
      <c:catAx>
        <c:axId val="2090776688"/>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2090777520"/>
        <c:crosses val="autoZero"/>
        <c:auto val="1"/>
        <c:lblAlgn val="ctr"/>
        <c:lblOffset val="100"/>
        <c:noMultiLvlLbl val="0"/>
      </c:catAx>
      <c:valAx>
        <c:axId val="2090777520"/>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90776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'2.c) Transaction costs'!$P$1</c:f>
              <c:strCache>
                <c:ptCount val="1"/>
                <c:pt idx="0">
                  <c:v>PnL with transaction costs</c:v>
                </c:pt>
              </c:strCache>
            </c:strRef>
          </c:tx>
          <c:spPr>
            <a:ln w="34925" cap="rnd">
              <a:solidFill>
                <a:schemeClr val="lt1"/>
              </a:solidFill>
              <a:round/>
            </a:ln>
            <a:effectLst>
              <a:outerShdw dist="25400" dir="2700000" algn="tl" rotWithShape="0">
                <a:schemeClr val="accent1"/>
              </a:outerShdw>
            </a:effectLst>
          </c:spPr>
          <c:marker>
            <c:symbol val="none"/>
          </c:marker>
          <c:val>
            <c:numRef>
              <c:f>'2.c) Transaction costs'!$P$2:$P$91</c:f>
              <c:numCache>
                <c:formatCode>0.000</c:formatCode>
                <c:ptCount val="90"/>
                <c:pt idx="0">
                  <c:v>0</c:v>
                </c:pt>
                <c:pt idx="1">
                  <c:v>-1.2638635964106399E-3</c:v>
                </c:pt>
                <c:pt idx="2">
                  <c:v>-3.0070886679003338E-2</c:v>
                </c:pt>
                <c:pt idx="3">
                  <c:v>-7.3557838753474762E-3</c:v>
                </c:pt>
                <c:pt idx="4">
                  <c:v>-8.415857432048722E-3</c:v>
                </c:pt>
                <c:pt idx="5">
                  <c:v>-2.9573675405829463E-3</c:v>
                </c:pt>
                <c:pt idx="6">
                  <c:v>-8.431890164776093E-3</c:v>
                </c:pt>
                <c:pt idx="7">
                  <c:v>-2.8152447834598167E-3</c:v>
                </c:pt>
                <c:pt idx="8">
                  <c:v>-2.2708535331394889E-2</c:v>
                </c:pt>
                <c:pt idx="9">
                  <c:v>-9.5663953061427442E-2</c:v>
                </c:pt>
                <c:pt idx="10">
                  <c:v>-4.8715715410793878E-2</c:v>
                </c:pt>
                <c:pt idx="11">
                  <c:v>-0.15957685942434705</c:v>
                </c:pt>
                <c:pt idx="12">
                  <c:v>-9.4473738079224434E-2</c:v>
                </c:pt>
                <c:pt idx="13">
                  <c:v>-1.4796193800879329E-2</c:v>
                </c:pt>
                <c:pt idx="14">
                  <c:v>-2.1544516630072341E-2</c:v>
                </c:pt>
                <c:pt idx="15">
                  <c:v>-2.163989864539459E-2</c:v>
                </c:pt>
                <c:pt idx="16">
                  <c:v>-9.2042899877016041E-2</c:v>
                </c:pt>
                <c:pt idx="17">
                  <c:v>-2.3241574922612879E-2</c:v>
                </c:pt>
                <c:pt idx="18">
                  <c:v>-6.9845013356062663E-2</c:v>
                </c:pt>
                <c:pt idx="19">
                  <c:v>-7.6961316273573124E-2</c:v>
                </c:pt>
                <c:pt idx="20">
                  <c:v>-4.7476962775871927E-2</c:v>
                </c:pt>
                <c:pt idx="21">
                  <c:v>-0.11504306718048933</c:v>
                </c:pt>
                <c:pt idx="22">
                  <c:v>-0.21018130233821219</c:v>
                </c:pt>
                <c:pt idx="23">
                  <c:v>-5.1765692970340692E-2</c:v>
                </c:pt>
                <c:pt idx="24">
                  <c:v>-2.4562456923747228E-2</c:v>
                </c:pt>
                <c:pt idx="25">
                  <c:v>-1.3165897597050077E-2</c:v>
                </c:pt>
                <c:pt idx="26">
                  <c:v>-3.9408293252641488E-2</c:v>
                </c:pt>
                <c:pt idx="27">
                  <c:v>-4.4413225985333551E-2</c:v>
                </c:pt>
                <c:pt idx="28">
                  <c:v>-1.010935448805993E-2</c:v>
                </c:pt>
                <c:pt idx="29">
                  <c:v>-1.5806731963046008E-2</c:v>
                </c:pt>
                <c:pt idx="30">
                  <c:v>-1.1504239444389311E-2</c:v>
                </c:pt>
                <c:pt idx="31">
                  <c:v>-2.0003452059279642E-2</c:v>
                </c:pt>
                <c:pt idx="32">
                  <c:v>-3.1814579695849401E-2</c:v>
                </c:pt>
                <c:pt idx="33">
                  <c:v>-1.5952545414058463E-2</c:v>
                </c:pt>
                <c:pt idx="34">
                  <c:v>-1.8649020750160027E-2</c:v>
                </c:pt>
                <c:pt idx="35">
                  <c:v>-1.4979694117035751E-2</c:v>
                </c:pt>
                <c:pt idx="36">
                  <c:v>-1.0899498909097111E-2</c:v>
                </c:pt>
                <c:pt idx="37">
                  <c:v>-1.2403305472948411E-2</c:v>
                </c:pt>
                <c:pt idx="38">
                  <c:v>-1.2504202499889799E-2</c:v>
                </c:pt>
                <c:pt idx="39">
                  <c:v>-8.2732874776477693E-3</c:v>
                </c:pt>
                <c:pt idx="40">
                  <c:v>-8.3396828266628451E-3</c:v>
                </c:pt>
                <c:pt idx="41">
                  <c:v>-8.2631422616358582E-3</c:v>
                </c:pt>
                <c:pt idx="42">
                  <c:v>-8.6964022400505547E-3</c:v>
                </c:pt>
                <c:pt idx="43">
                  <c:v>-9.09796365450166E-3</c:v>
                </c:pt>
                <c:pt idx="44">
                  <c:v>-8.5509040507049851E-3</c:v>
                </c:pt>
                <c:pt idx="45">
                  <c:v>-8.2827896997105452E-3</c:v>
                </c:pt>
                <c:pt idx="46">
                  <c:v>-8.3077830406057523E-3</c:v>
                </c:pt>
                <c:pt idx="47">
                  <c:v>-8.3486855665544004E-3</c:v>
                </c:pt>
                <c:pt idx="48">
                  <c:v>-8.3931395507459965E-3</c:v>
                </c:pt>
                <c:pt idx="49">
                  <c:v>-8.2622024703216581E-3</c:v>
                </c:pt>
                <c:pt idx="50">
                  <c:v>-8.4046430411748481E-3</c:v>
                </c:pt>
                <c:pt idx="51">
                  <c:v>-8.2659078032175475E-3</c:v>
                </c:pt>
                <c:pt idx="52">
                  <c:v>-8.4292658783536763E-3</c:v>
                </c:pt>
                <c:pt idx="53">
                  <c:v>-8.2698764806898306E-3</c:v>
                </c:pt>
                <c:pt idx="54">
                  <c:v>-8.2804083079201802E-3</c:v>
                </c:pt>
                <c:pt idx="55">
                  <c:v>-8.2630118733473673E-3</c:v>
                </c:pt>
                <c:pt idx="56">
                  <c:v>-8.2562873280844461E-3</c:v>
                </c:pt>
                <c:pt idx="57">
                  <c:v>-8.2775404933856933E-3</c:v>
                </c:pt>
                <c:pt idx="58">
                  <c:v>-8.2555955517142655E-3</c:v>
                </c:pt>
                <c:pt idx="59">
                  <c:v>-8.2548167777908993E-3</c:v>
                </c:pt>
                <c:pt idx="60">
                  <c:v>-8.2448623800334513E-3</c:v>
                </c:pt>
                <c:pt idx="61">
                  <c:v>-8.2470181354951499E-3</c:v>
                </c:pt>
                <c:pt idx="62">
                  <c:v>-8.2465414885841137E-3</c:v>
                </c:pt>
                <c:pt idx="63">
                  <c:v>-8.247392581760259E-3</c:v>
                </c:pt>
                <c:pt idx="64">
                  <c:v>-8.2461264544878721E-3</c:v>
                </c:pt>
                <c:pt idx="65">
                  <c:v>-8.2464610791814202E-3</c:v>
                </c:pt>
                <c:pt idx="66">
                  <c:v>-8.2467211706714252E-3</c:v>
                </c:pt>
                <c:pt idx="67">
                  <c:v>-8.2470436216385921E-3</c:v>
                </c:pt>
                <c:pt idx="68">
                  <c:v>-8.2475219254336783E-3</c:v>
                </c:pt>
                <c:pt idx="69">
                  <c:v>-8.2477774311027017E-3</c:v>
                </c:pt>
                <c:pt idx="70">
                  <c:v>-8.2481680188664485E-3</c:v>
                </c:pt>
                <c:pt idx="71">
                  <c:v>-8.2485129641504448E-3</c:v>
                </c:pt>
                <c:pt idx="72">
                  <c:v>-8.2488735791956883E-3</c:v>
                </c:pt>
                <c:pt idx="73">
                  <c:v>-8.2492398314904947E-3</c:v>
                </c:pt>
                <c:pt idx="74">
                  <c:v>-8.2496064672255755E-3</c:v>
                </c:pt>
                <c:pt idx="75">
                  <c:v>-8.249973125047716E-3</c:v>
                </c:pt>
                <c:pt idx="76">
                  <c:v>-8.2503397981691894E-3</c:v>
                </c:pt>
                <c:pt idx="77">
                  <c:v>-8.2507064880547893E-3</c:v>
                </c:pt>
                <c:pt idx="78">
                  <c:v>-8.2510731942691644E-3</c:v>
                </c:pt>
                <c:pt idx="79">
                  <c:v>-8.2514399167826231E-3</c:v>
                </c:pt>
                <c:pt idx="80">
                  <c:v>-8.2518066555952816E-3</c:v>
                </c:pt>
                <c:pt idx="81">
                  <c:v>-8.2521734107078044E-3</c:v>
                </c:pt>
                <c:pt idx="82">
                  <c:v>-8.2525401821209182E-3</c:v>
                </c:pt>
                <c:pt idx="83">
                  <c:v>-8.2529069698353448E-3</c:v>
                </c:pt>
                <c:pt idx="84">
                  <c:v>-8.253273773851811E-3</c:v>
                </c:pt>
                <c:pt idx="85">
                  <c:v>-8.2536405941710383E-3</c:v>
                </c:pt>
                <c:pt idx="86">
                  <c:v>-8.2540074307937555E-3</c:v>
                </c:pt>
                <c:pt idx="87">
                  <c:v>-8.2543742837206825E-3</c:v>
                </c:pt>
                <c:pt idx="88">
                  <c:v>-8.2547411529525477E-3</c:v>
                </c:pt>
                <c:pt idx="89">
                  <c:v>-8.2551080384900763E-3</c:v>
                </c:pt>
              </c:numCache>
            </c:numRef>
          </c:val>
          <c:smooth val="0"/>
          <c:extLst>
            <c:ext xmlns:c16="http://schemas.microsoft.com/office/drawing/2014/chart" uri="{C3380CC4-5D6E-409C-BE32-E72D297353CC}">
              <c16:uniqueId val="{00000000-FB0C-4B6F-BBF0-ED67121D6E2A}"/>
            </c:ext>
          </c:extLst>
        </c:ser>
        <c:dLbls>
          <c:showLegendKey val="0"/>
          <c:showVal val="0"/>
          <c:showCatName val="0"/>
          <c:showSerName val="0"/>
          <c:showPercent val="0"/>
          <c:showBubbleSize val="0"/>
        </c:dLbls>
        <c:dropLines>
          <c:spPr>
            <a:ln w="9525" cap="flat" cmpd="sng" algn="ctr">
              <a:noFill/>
              <a:round/>
            </a:ln>
            <a:effectLst/>
          </c:spPr>
        </c:dropLines>
        <c:smooth val="0"/>
        <c:axId val="820892944"/>
        <c:axId val="820890032"/>
      </c:lineChart>
      <c:catAx>
        <c:axId val="820892944"/>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820890032"/>
        <c:crosses val="autoZero"/>
        <c:auto val="1"/>
        <c:lblAlgn val="ctr"/>
        <c:lblOffset val="100"/>
        <c:noMultiLvlLbl val="0"/>
      </c:catAx>
      <c:valAx>
        <c:axId val="820890032"/>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20892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Pnl of the hedging operation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'2.d) 80% gamma hedging'!$O$1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'2.d) 80% gamma hedging'!$O$2:$O$91</c:f>
              <c:numCache>
                <c:formatCode>0.000</c:formatCode>
                <c:ptCount val="90"/>
                <c:pt idx="0">
                  <c:v>0</c:v>
                </c:pt>
                <c:pt idx="1">
                  <c:v>-1.0654015703845943E-3</c:v>
                </c:pt>
                <c:pt idx="2">
                  <c:v>-1.7572859802882368E-3</c:v>
                </c:pt>
                <c:pt idx="3">
                  <c:v>-3.3432704144933378E-3</c:v>
                </c:pt>
                <c:pt idx="4">
                  <c:v>-1.4948751381630987E-3</c:v>
                </c:pt>
                <c:pt idx="5">
                  <c:v>-1.2201487825889146E-3</c:v>
                </c:pt>
                <c:pt idx="6">
                  <c:v>-1.8362797827858324E-3</c:v>
                </c:pt>
                <c:pt idx="7">
                  <c:v>-9.0436285500899993E-4</c:v>
                </c:pt>
                <c:pt idx="8">
                  <c:v>1.479092696333173E-4</c:v>
                </c:pt>
                <c:pt idx="9">
                  <c:v>2.1866366119105418E-4</c:v>
                </c:pt>
                <c:pt idx="10">
                  <c:v>1.580002072971376E-3</c:v>
                </c:pt>
                <c:pt idx="11">
                  <c:v>1.6171958658428021E-3</c:v>
                </c:pt>
                <c:pt idx="12">
                  <c:v>5.9994729795542767E-4</c:v>
                </c:pt>
                <c:pt idx="13">
                  <c:v>1.2169188324078206E-3</c:v>
                </c:pt>
                <c:pt idx="14">
                  <c:v>2.0080107786579204E-3</c:v>
                </c:pt>
                <c:pt idx="15">
                  <c:v>2.1344221399443031E-3</c:v>
                </c:pt>
                <c:pt idx="16">
                  <c:v>2.3526783371489168E-3</c:v>
                </c:pt>
                <c:pt idx="17">
                  <c:v>2.9304532452129606E-3</c:v>
                </c:pt>
                <c:pt idx="18">
                  <c:v>3.2895117012149977E-3</c:v>
                </c:pt>
                <c:pt idx="19">
                  <c:v>3.1490110490506318E-3</c:v>
                </c:pt>
                <c:pt idx="20">
                  <c:v>4.0081316212793872E-3</c:v>
                </c:pt>
                <c:pt idx="21">
                  <c:v>4.0401410880228084E-3</c:v>
                </c:pt>
                <c:pt idx="22">
                  <c:v>3.8440918813920089E-3</c:v>
                </c:pt>
                <c:pt idx="23">
                  <c:v>3.5955591908491957E-3</c:v>
                </c:pt>
                <c:pt idx="24">
                  <c:v>3.7026245809009262E-3</c:v>
                </c:pt>
                <c:pt idx="25">
                  <c:v>4.0317291574454295E-3</c:v>
                </c:pt>
                <c:pt idx="26">
                  <c:v>4.084688215865051E-3</c:v>
                </c:pt>
                <c:pt idx="27">
                  <c:v>4.0153954585662732E-3</c:v>
                </c:pt>
                <c:pt idx="28">
                  <c:v>4.0677930853010025E-3</c:v>
                </c:pt>
                <c:pt idx="29">
                  <c:v>3.8534056445334031E-3</c:v>
                </c:pt>
                <c:pt idx="30">
                  <c:v>3.7364892943912015E-3</c:v>
                </c:pt>
                <c:pt idx="31">
                  <c:v>3.7219232671687058E-3</c:v>
                </c:pt>
                <c:pt idx="32">
                  <c:v>3.9511263815307646E-3</c:v>
                </c:pt>
                <c:pt idx="33">
                  <c:v>3.8666380974674425E-3</c:v>
                </c:pt>
                <c:pt idx="34">
                  <c:v>3.6465541825857761E-3</c:v>
                </c:pt>
                <c:pt idx="35">
                  <c:v>3.5053402787360299E-3</c:v>
                </c:pt>
                <c:pt idx="36">
                  <c:v>3.4003604244675634E-3</c:v>
                </c:pt>
                <c:pt idx="37">
                  <c:v>3.436469236636569E-3</c:v>
                </c:pt>
                <c:pt idx="38">
                  <c:v>3.6450860074274324E-3</c:v>
                </c:pt>
                <c:pt idx="39">
                  <c:v>3.6978202336389043E-3</c:v>
                </c:pt>
                <c:pt idx="40">
                  <c:v>3.8322345666279567E-3</c:v>
                </c:pt>
                <c:pt idx="41">
                  <c:v>4.1426923347190198E-3</c:v>
                </c:pt>
                <c:pt idx="42">
                  <c:v>3.9982224996236854E-3</c:v>
                </c:pt>
                <c:pt idx="43">
                  <c:v>4.3421405540145924E-3</c:v>
                </c:pt>
                <c:pt idx="44">
                  <c:v>4.642780096560814E-3</c:v>
                </c:pt>
                <c:pt idx="45">
                  <c:v>4.9318857220934098E-3</c:v>
                </c:pt>
                <c:pt idx="46">
                  <c:v>5.3126440807456377E-3</c:v>
                </c:pt>
                <c:pt idx="47">
                  <c:v>4.8072600609119914E-3</c:v>
                </c:pt>
                <c:pt idx="48">
                  <c:v>5.2519260359203401E-3</c:v>
                </c:pt>
                <c:pt idx="49">
                  <c:v>5.020845467550529E-3</c:v>
                </c:pt>
                <c:pt idx="50">
                  <c:v>4.6391189755597972E-3</c:v>
                </c:pt>
                <c:pt idx="51">
                  <c:v>4.8421112889555501E-3</c:v>
                </c:pt>
                <c:pt idx="52">
                  <c:v>5.3920524099371897E-3</c:v>
                </c:pt>
                <c:pt idx="53">
                  <c:v>4.8212537342756795E-3</c:v>
                </c:pt>
                <c:pt idx="54">
                  <c:v>4.3015194793699987E-3</c:v>
                </c:pt>
                <c:pt idx="55">
                  <c:v>3.8864036643332343E-3</c:v>
                </c:pt>
                <c:pt idx="56">
                  <c:v>4.2532924599081937E-3</c:v>
                </c:pt>
                <c:pt idx="57">
                  <c:v>3.7804397062940892E-3</c:v>
                </c:pt>
                <c:pt idx="58">
                  <c:v>3.3726189994154922E-3</c:v>
                </c:pt>
                <c:pt idx="59">
                  <c:v>3.6426577488515161E-3</c:v>
                </c:pt>
                <c:pt idx="60">
                  <c:v>3.868579593927883E-3</c:v>
                </c:pt>
                <c:pt idx="61">
                  <c:v>4.3320973432820278E-3</c:v>
                </c:pt>
                <c:pt idx="62">
                  <c:v>4.8669733991730871E-3</c:v>
                </c:pt>
                <c:pt idx="63">
                  <c:v>4.3128427333963062E-3</c:v>
                </c:pt>
                <c:pt idx="64">
                  <c:v>5.0059047384291219E-3</c:v>
                </c:pt>
                <c:pt idx="65">
                  <c:v>5.6043762081730841E-3</c:v>
                </c:pt>
                <c:pt idx="66">
                  <c:v>6.6269531023059464E-3</c:v>
                </c:pt>
                <c:pt idx="67">
                  <c:v>5.4850122215263641E-3</c:v>
                </c:pt>
                <c:pt idx="68">
                  <c:v>4.8056883591119856E-3</c:v>
                </c:pt>
                <c:pt idx="69">
                  <c:v>4.8707685639721165E-3</c:v>
                </c:pt>
                <c:pt idx="70">
                  <c:v>4.200369588762666E-3</c:v>
                </c:pt>
                <c:pt idx="71">
                  <c:v>3.3350439897120755E-3</c:v>
                </c:pt>
                <c:pt idx="72">
                  <c:v>3.4092814113716331E-3</c:v>
                </c:pt>
                <c:pt idx="73">
                  <c:v>3.6322416899150292E-3</c:v>
                </c:pt>
                <c:pt idx="74">
                  <c:v>3.0034868079912621E-3</c:v>
                </c:pt>
                <c:pt idx="75">
                  <c:v>2.9961821653315306E-3</c:v>
                </c:pt>
                <c:pt idx="76">
                  <c:v>3.0266381322918588E-3</c:v>
                </c:pt>
                <c:pt idx="77">
                  <c:v>3.200112075593748E-3</c:v>
                </c:pt>
                <c:pt idx="78">
                  <c:v>3.2600975753691534E-3</c:v>
                </c:pt>
                <c:pt idx="79">
                  <c:v>3.1143395066422557E-3</c:v>
                </c:pt>
                <c:pt idx="80">
                  <c:v>2.976265533351282E-3</c:v>
                </c:pt>
                <c:pt idx="81">
                  <c:v>2.9537795503076785E-3</c:v>
                </c:pt>
                <c:pt idx="82">
                  <c:v>2.9799037155103978E-3</c:v>
                </c:pt>
                <c:pt idx="83">
                  <c:v>3.0925724978081793E-3</c:v>
                </c:pt>
                <c:pt idx="84">
                  <c:v>2.9486763129845843E-3</c:v>
                </c:pt>
                <c:pt idx="85">
                  <c:v>2.9107474013545763E-3</c:v>
                </c:pt>
                <c:pt idx="86">
                  <c:v>2.9005969771317645E-3</c:v>
                </c:pt>
                <c:pt idx="87">
                  <c:v>2.9000345808292312E-3</c:v>
                </c:pt>
                <c:pt idx="88">
                  <c:v>2.9012477166341401E-3</c:v>
                </c:pt>
                <c:pt idx="89">
                  <c:v>2.9013766630757712E-3</c:v>
                </c:pt>
              </c:numCache>
            </c:numRef>
          </c:val>
          <c:smooth val="0"/>
          <c:extLst>
            <c:ext xmlns:c16="http://schemas.microsoft.com/office/drawing/2014/chart" uri="{C3380CC4-5D6E-409C-BE32-E72D297353CC}">
              <c16:uniqueId val="{00000000-95F3-492F-8BDB-763889EA05F5}"/>
            </c:ext>
          </c:extLst>
        </c:ser>
        <c:dLbls>
          <c:showLegendKey val="0"/>
          <c:showVal val="0"/>
          <c:showCatName val="0"/>
          <c:showSerName val="0"/>
          <c:showPercent val="0"/>
          <c:showBubbleSize val="0"/>
        </c:dLbls>
        <c:dropLines>
          <c:spPr>
            <a:ln w="9525" cap="flat" cmpd="sng" algn="ctr">
              <a:noFill/>
              <a:round/>
            </a:ln>
            <a:effectLst/>
          </c:spPr>
        </c:dropLines>
        <c:smooth val="0"/>
        <c:axId val="1303738688"/>
        <c:axId val="1303745344"/>
      </c:lineChart>
      <c:catAx>
        <c:axId val="1303738688"/>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303745344"/>
        <c:crosses val="autoZero"/>
        <c:auto val="1"/>
        <c:lblAlgn val="ctr"/>
        <c:lblOffset val="100"/>
        <c:noMultiLvlLbl val="0"/>
      </c:catAx>
      <c:valAx>
        <c:axId val="1303745344"/>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03738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'2.e) Gamma-Vega Hedge'!$U$1</c:f>
              <c:strCache>
                <c:ptCount val="1"/>
                <c:pt idx="0">
                  <c:v>Pnl</c:v>
                </c:pt>
              </c:strCache>
            </c:strRef>
          </c:tx>
          <c:spPr>
            <a:ln w="34925" cap="rnd">
              <a:solidFill>
                <a:schemeClr val="lt1"/>
              </a:solidFill>
              <a:round/>
            </a:ln>
            <a:effectLst>
              <a:outerShdw dist="25400" dir="2700000" algn="tl" rotWithShape="0">
                <a:schemeClr val="accent1"/>
              </a:outerShdw>
            </a:effectLst>
          </c:spPr>
          <c:marker>
            <c:symbol val="none"/>
          </c:marker>
          <c:val>
            <c:numRef>
              <c:f>'2.e) Gamma-Vega Hedge'!$U$2:$U$91</c:f>
              <c:numCache>
                <c:formatCode>0.000</c:formatCode>
                <c:ptCount val="90"/>
                <c:pt idx="0">
                  <c:v>0</c:v>
                </c:pt>
                <c:pt idx="1">
                  <c:v>-2.7563374379657724E-4</c:v>
                </c:pt>
                <c:pt idx="2">
                  <c:v>-4.4936827972841265E-4</c:v>
                </c:pt>
                <c:pt idx="3">
                  <c:v>-1.1069092161277716E-3</c:v>
                </c:pt>
                <c:pt idx="4">
                  <c:v>-6.0293444532333318E-4</c:v>
                </c:pt>
                <c:pt idx="5">
                  <c:v>-3.1385926919735851E-4</c:v>
                </c:pt>
                <c:pt idx="6">
                  <c:v>-5.4497308290013535E-4</c:v>
                </c:pt>
                <c:pt idx="7">
                  <c:v>-1.1048082988552865E-3</c:v>
                </c:pt>
                <c:pt idx="8">
                  <c:v>-1.0888896303279383E-3</c:v>
                </c:pt>
                <c:pt idx="9">
                  <c:v>-1.7285643907761772E-3</c:v>
                </c:pt>
                <c:pt idx="10">
                  <c:v>-4.900598269583889E-3</c:v>
                </c:pt>
                <c:pt idx="11">
                  <c:v>-5.2748091239895878E-3</c:v>
                </c:pt>
                <c:pt idx="12">
                  <c:v>-5.0766664819107965E-3</c:v>
                </c:pt>
                <c:pt idx="13">
                  <c:v>-5.512046208409449E-3</c:v>
                </c:pt>
                <c:pt idx="14">
                  <c:v>-5.2346279785940308E-3</c:v>
                </c:pt>
                <c:pt idx="15">
                  <c:v>-4.769021327290901E-3</c:v>
                </c:pt>
                <c:pt idx="16">
                  <c:v>-4.6575645148105305E-3</c:v>
                </c:pt>
                <c:pt idx="17">
                  <c:v>-4.7669595636856688E-3</c:v>
                </c:pt>
                <c:pt idx="18">
                  <c:v>-4.3808710132755557E-3</c:v>
                </c:pt>
                <c:pt idx="19">
                  <c:v>-4.0890981964727402E-3</c:v>
                </c:pt>
                <c:pt idx="20">
                  <c:v>-3.9250273297437577E-3</c:v>
                </c:pt>
                <c:pt idx="21">
                  <c:v>-3.7287491601073475E-3</c:v>
                </c:pt>
                <c:pt idx="22">
                  <c:v>-5.0693847510638879E-3</c:v>
                </c:pt>
                <c:pt idx="23">
                  <c:v>-5.1344034680937956E-3</c:v>
                </c:pt>
                <c:pt idx="24">
                  <c:v>-5.1198961406293542E-3</c:v>
                </c:pt>
                <c:pt idx="25">
                  <c:v>-5.1580033819753623E-3</c:v>
                </c:pt>
                <c:pt idx="26">
                  <c:v>-5.0199643872832489E-3</c:v>
                </c:pt>
                <c:pt idx="27">
                  <c:v>-5.1884780165024624E-3</c:v>
                </c:pt>
                <c:pt idx="28">
                  <c:v>-5.2379353969622677E-3</c:v>
                </c:pt>
                <c:pt idx="29">
                  <c:v>-5.1845842103046547E-3</c:v>
                </c:pt>
                <c:pt idx="30">
                  <c:v>-4.9522259574936722E-3</c:v>
                </c:pt>
                <c:pt idx="31">
                  <c:v>-4.9002759256240314E-3</c:v>
                </c:pt>
                <c:pt idx="32">
                  <c:v>-4.9319007910189061E-3</c:v>
                </c:pt>
                <c:pt idx="33">
                  <c:v>-4.9015028776093761E-3</c:v>
                </c:pt>
                <c:pt idx="34">
                  <c:v>-5.1070738822454054E-3</c:v>
                </c:pt>
                <c:pt idx="35">
                  <c:v>-4.9651407631929878E-3</c:v>
                </c:pt>
                <c:pt idx="36">
                  <c:v>-4.9543631351225415E-3</c:v>
                </c:pt>
                <c:pt idx="37">
                  <c:v>-4.7513369595135746E-3</c:v>
                </c:pt>
                <c:pt idx="38">
                  <c:v>-4.5363491349459384E-3</c:v>
                </c:pt>
                <c:pt idx="39">
                  <c:v>-4.5840115050772567E-3</c:v>
                </c:pt>
                <c:pt idx="40">
                  <c:v>-4.7116029726090858E-3</c:v>
                </c:pt>
                <c:pt idx="41">
                  <c:v>-4.8964259065968907E-3</c:v>
                </c:pt>
                <c:pt idx="42">
                  <c:v>-5.2488614868607675E-3</c:v>
                </c:pt>
                <c:pt idx="43">
                  <c:v>-5.185250743970693E-3</c:v>
                </c:pt>
                <c:pt idx="44">
                  <c:v>-5.5966680197162555E-3</c:v>
                </c:pt>
                <c:pt idx="45">
                  <c:v>-5.4309434637733744E-3</c:v>
                </c:pt>
                <c:pt idx="46">
                  <c:v>-5.6877690145803461E-3</c:v>
                </c:pt>
                <c:pt idx="47">
                  <c:v>-5.1505080555015459E-3</c:v>
                </c:pt>
                <c:pt idx="48">
                  <c:v>-5.1727745854311946E-3</c:v>
                </c:pt>
                <c:pt idx="49">
                  <c:v>-5.7060595343803033E-3</c:v>
                </c:pt>
                <c:pt idx="50">
                  <c:v>-5.2889075452823286E-3</c:v>
                </c:pt>
                <c:pt idx="51">
                  <c:v>-4.753063899222032E-3</c:v>
                </c:pt>
                <c:pt idx="52">
                  <c:v>-4.4778676982402121E-3</c:v>
                </c:pt>
                <c:pt idx="53">
                  <c:v>-3.9220250730802597E-3</c:v>
                </c:pt>
                <c:pt idx="54">
                  <c:v>-4.4705464734968725E-3</c:v>
                </c:pt>
                <c:pt idx="55">
                  <c:v>-3.8049623382366837E-3</c:v>
                </c:pt>
                <c:pt idx="56">
                  <c:v>-4.3970194476102842E-3</c:v>
                </c:pt>
                <c:pt idx="57">
                  <c:v>-4.4015540579006585E-3</c:v>
                </c:pt>
                <c:pt idx="58">
                  <c:v>-4.7945146633994185E-3</c:v>
                </c:pt>
                <c:pt idx="59">
                  <c:v>-5.2094726144684689E-3</c:v>
                </c:pt>
                <c:pt idx="60">
                  <c:v>-4.2519905087951004E-3</c:v>
                </c:pt>
                <c:pt idx="61">
                  <c:v>-4.7048758662167067E-3</c:v>
                </c:pt>
                <c:pt idx="62">
                  <c:v>-4.8680873338210473E-3</c:v>
                </c:pt>
                <c:pt idx="63">
                  <c:v>-5.9181064711736342E-3</c:v>
                </c:pt>
                <c:pt idx="64">
                  <c:v>-6.9124666783375727E-3</c:v>
                </c:pt>
                <c:pt idx="65">
                  <c:v>-7.9042663024631449E-3</c:v>
                </c:pt>
                <c:pt idx="66">
                  <c:v>-7.8133555015264845E-3</c:v>
                </c:pt>
                <c:pt idx="67">
                  <c:v>-7.4294785612606107E-3</c:v>
                </c:pt>
                <c:pt idx="68">
                  <c:v>-7.4630780029577293E-3</c:v>
                </c:pt>
                <c:pt idx="69">
                  <c:v>-7.4267772508335543E-3</c:v>
                </c:pt>
                <c:pt idx="70">
                  <c:v>-8.0697042036965271E-3</c:v>
                </c:pt>
                <c:pt idx="71">
                  <c:v>-8.2390209877913501E-3</c:v>
                </c:pt>
                <c:pt idx="72">
                  <c:v>-7.869213793538405E-3</c:v>
                </c:pt>
                <c:pt idx="73">
                  <c:v>-7.3791383887277032E-3</c:v>
                </c:pt>
                <c:pt idx="74">
                  <c:v>-7.8067721716785186E-3</c:v>
                </c:pt>
                <c:pt idx="75">
                  <c:v>-7.0102476082478798E-3</c:v>
                </c:pt>
                <c:pt idx="76">
                  <c:v>-6.1155841003131817E-3</c:v>
                </c:pt>
                <c:pt idx="77">
                  <c:v>-6.8130579328740878E-3</c:v>
                </c:pt>
                <c:pt idx="78">
                  <c:v>-6.6196535311098433E-3</c:v>
                </c:pt>
                <c:pt idx="79">
                  <c:v>-6.1346299412652653E-3</c:v>
                </c:pt>
                <c:pt idx="80">
                  <c:v>-4.1127729736427756E-3</c:v>
                </c:pt>
                <c:pt idx="81">
                  <c:v>-4.2074385285035144E-3</c:v>
                </c:pt>
                <c:pt idx="82">
                  <c:v>-4.2697703396129159E-3</c:v>
                </c:pt>
                <c:pt idx="83">
                  <c:v>-4.3019411165652263E-3</c:v>
                </c:pt>
                <c:pt idx="84">
                  <c:v>-4.2995553550428268E-3</c:v>
                </c:pt>
                <c:pt idx="85">
                  <c:v>-4.2407080375761342E-3</c:v>
                </c:pt>
                <c:pt idx="86">
                  <c:v>-4.2238244449311927E-3</c:v>
                </c:pt>
                <c:pt idx="87">
                  <c:v>-4.2712158653783012E-3</c:v>
                </c:pt>
                <c:pt idx="88">
                  <c:v>-4.2712311708837138E-3</c:v>
                </c:pt>
                <c:pt idx="89">
                  <c:v>-4.271772025055195E-3</c:v>
                </c:pt>
              </c:numCache>
            </c:numRef>
          </c:val>
          <c:smooth val="0"/>
          <c:extLst>
            <c:ext xmlns:c16="http://schemas.microsoft.com/office/drawing/2014/chart" uri="{C3380CC4-5D6E-409C-BE32-E72D297353CC}">
              <c16:uniqueId val="{00000000-818E-4FBA-B56F-BA50058FDFB3}"/>
            </c:ext>
          </c:extLst>
        </c:ser>
        <c:dLbls>
          <c:showLegendKey val="0"/>
          <c:showVal val="0"/>
          <c:showCatName val="0"/>
          <c:showSerName val="0"/>
          <c:showPercent val="0"/>
          <c:showBubbleSize val="0"/>
        </c:dLbls>
        <c:dropLines>
          <c:spPr>
            <a:ln w="9525" cap="flat" cmpd="sng" algn="ctr">
              <a:noFill/>
              <a:round/>
            </a:ln>
            <a:effectLst/>
          </c:spPr>
        </c:dropLines>
        <c:smooth val="0"/>
        <c:axId val="1293090175"/>
        <c:axId val="1293089759"/>
      </c:lineChart>
      <c:catAx>
        <c:axId val="1293090175"/>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293089759"/>
        <c:crosses val="autoZero"/>
        <c:auto val="1"/>
        <c:lblAlgn val="ctr"/>
        <c:lblOffset val="100"/>
        <c:noMultiLvlLbl val="0"/>
      </c:catAx>
      <c:valAx>
        <c:axId val="1293089759"/>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93090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 dir="row">_xlchart.v1.0</cx:f>
      </cx:numDim>
    </cx:data>
  </cx:chartData>
  <cx:chart>
    <cx:title pos="t" align="ctr" overlay="0"/>
    <cx:plotArea>
      <cx:plotAreaRegion>
        <cx:series layoutId="clusteredColumn" uniqueId="{8EC630C7-C13F-47DA-9CC1-EBE756913DAF}">
          <cx:dataLabels pos="inEnd">
            <cx:visibility seriesName="0" categoryName="0" value="1"/>
          </cx:dataLabels>
          <cx:dataId val="0"/>
          <cx:layoutPr>
            <cx:binning intervalClosed="r"/>
          </cx:layoutPr>
        </cx:series>
      </cx:plotAreaRegion>
      <cx:axis id="0">
        <cx:catScaling gapWidth="0"/>
        <cx:tickLabels/>
      </cx:axis>
      <cx:axis id="1" hidden="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8</xdr:col>
      <xdr:colOff>316349</xdr:colOff>
      <xdr:row>11</xdr:row>
      <xdr:rowOff>167838</xdr:rowOff>
    </xdr:from>
    <xdr:to>
      <xdr:col>14</xdr:col>
      <xdr:colOff>316349</xdr:colOff>
      <xdr:row>26</xdr:row>
      <xdr:rowOff>51340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38101</xdr:colOff>
      <xdr:row>8</xdr:row>
      <xdr:rowOff>17162</xdr:rowOff>
    </xdr:from>
    <xdr:to>
      <xdr:col>5</xdr:col>
      <xdr:colOff>617839</xdr:colOff>
      <xdr:row>22</xdr:row>
      <xdr:rowOff>88900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745218</xdr:colOff>
      <xdr:row>8</xdr:row>
      <xdr:rowOff>51486</xdr:rowOff>
    </xdr:from>
    <xdr:to>
      <xdr:col>11</xdr:col>
      <xdr:colOff>463379</xdr:colOff>
      <xdr:row>22</xdr:row>
      <xdr:rowOff>85810</xdr:rowOff>
    </xdr:to>
    <xdr:graphicFrame macro="">
      <xdr:nvGraphicFramePr>
        <xdr:cNvPr id="3" name="Graphique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23</xdr:row>
      <xdr:rowOff>54798</xdr:rowOff>
    </xdr:from>
    <xdr:to>
      <xdr:col>5</xdr:col>
      <xdr:colOff>617838</xdr:colOff>
      <xdr:row>38</xdr:row>
      <xdr:rowOff>1</xdr:rowOff>
    </xdr:to>
    <xdr:graphicFrame macro="">
      <xdr:nvGraphicFramePr>
        <xdr:cNvPr id="4" name="Graphique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751704</xdr:colOff>
      <xdr:row>23</xdr:row>
      <xdr:rowOff>34867</xdr:rowOff>
    </xdr:from>
    <xdr:to>
      <xdr:col>11</xdr:col>
      <xdr:colOff>480541</xdr:colOff>
      <xdr:row>38</xdr:row>
      <xdr:rowOff>12744</xdr:rowOff>
    </xdr:to>
    <xdr:graphicFrame macro="">
      <xdr:nvGraphicFramePr>
        <xdr:cNvPr id="5" name="Graphique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10</xdr:row>
          <xdr:rowOff>0</xdr:rowOff>
        </xdr:from>
        <xdr:to>
          <xdr:col>2</xdr:col>
          <xdr:colOff>0</xdr:colOff>
          <xdr:row>12</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80"/>
                  </a:solidFill>
                  <a:latin typeface="Calibri"/>
                  <a:cs typeface="Calibri"/>
                </a:rPr>
                <a:t>Generate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20</xdr:row>
          <xdr:rowOff>171450</xdr:rowOff>
        </xdr:from>
        <xdr:to>
          <xdr:col>13</xdr:col>
          <xdr:colOff>752475</xdr:colOff>
          <xdr:row>23</xdr:row>
          <xdr:rowOff>47625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80"/>
                  </a:solidFill>
                  <a:latin typeface="Calibri"/>
                  <a:cs typeface="Calibri"/>
                </a:rPr>
                <a:t>Run 30 simulations</a:t>
              </a:r>
            </a:p>
          </xdr:txBody>
        </xdr:sp>
        <xdr:clientData fPrintsWithSheet="0"/>
      </xdr:twoCellAnchor>
    </mc:Choice>
    <mc:Fallback/>
  </mc:AlternateContent>
  <xdr:twoCellAnchor>
    <xdr:from>
      <xdr:col>12</xdr:col>
      <xdr:colOff>3072</xdr:colOff>
      <xdr:row>0</xdr:row>
      <xdr:rowOff>0</xdr:rowOff>
    </xdr:from>
    <xdr:to>
      <xdr:col>18</xdr:col>
      <xdr:colOff>27653</xdr:colOff>
      <xdr:row>13</xdr:row>
      <xdr:rowOff>80297</xdr:rowOff>
    </xdr:to>
    <xdr:graphicFrame macro="">
      <xdr:nvGraphicFramePr>
        <xdr:cNvPr id="3" name="Graphique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14</xdr:row>
          <xdr:rowOff>114300</xdr:rowOff>
        </xdr:from>
        <xdr:to>
          <xdr:col>1</xdr:col>
          <xdr:colOff>666750</xdr:colOff>
          <xdr:row>17</xdr:row>
          <xdr:rowOff>95250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3366"/>
                  </a:solidFill>
                  <a:latin typeface="Calibri"/>
                  <a:cs typeface="Calibri"/>
                </a:rPr>
                <a:t>Generate simulation</a:t>
              </a:r>
            </a:p>
          </xdr:txBody>
        </xdr:sp>
        <xdr:clientData fPrintsWithSheet="0"/>
      </xdr:twoCellAnchor>
    </mc:Choice>
    <mc:Fallback/>
  </mc:AlternateContent>
  <xdr:twoCellAnchor>
    <xdr:from>
      <xdr:col>16</xdr:col>
      <xdr:colOff>25400</xdr:colOff>
      <xdr:row>0</xdr:row>
      <xdr:rowOff>2195</xdr:rowOff>
    </xdr:from>
    <xdr:to>
      <xdr:col>22</xdr:col>
      <xdr:colOff>25401</xdr:colOff>
      <xdr:row>14</xdr:row>
      <xdr:rowOff>184994</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0</xdr:colOff>
          <xdr:row>23</xdr:row>
          <xdr:rowOff>38100</xdr:rowOff>
        </xdr:from>
        <xdr:to>
          <xdr:col>17</xdr:col>
          <xdr:colOff>742950</xdr:colOff>
          <xdr:row>25</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3366"/>
                  </a:solidFill>
                  <a:latin typeface="Calibri"/>
                  <a:cs typeface="Calibri"/>
                </a:rPr>
                <a:t>Generate 30 simulations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9</xdr:row>
          <xdr:rowOff>171450</xdr:rowOff>
        </xdr:from>
        <xdr:to>
          <xdr:col>1</xdr:col>
          <xdr:colOff>733425</xdr:colOff>
          <xdr:row>12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3366"/>
                  </a:solidFill>
                  <a:latin typeface="Calibri"/>
                  <a:cs typeface="Calibri"/>
                </a:rPr>
                <a:t>Generate Simulation</a:t>
              </a:r>
            </a:p>
          </xdr:txBody>
        </xdr:sp>
        <xdr:clientData fPrintsWithSheet="0"/>
      </xdr:twoCellAnchor>
    </mc:Choice>
    <mc:Fallback/>
  </mc:AlternateContent>
  <xdr:twoCellAnchor>
    <xdr:from>
      <xdr:col>10</xdr:col>
      <xdr:colOff>753080</xdr:colOff>
      <xdr:row>0</xdr:row>
      <xdr:rowOff>34698</xdr:rowOff>
    </xdr:from>
    <xdr:to>
      <xdr:col>16</xdr:col>
      <xdr:colOff>753080</xdr:colOff>
      <xdr:row>15</xdr:row>
      <xdr:rowOff>60098</xdr:rowOff>
    </xdr:to>
    <xdr:graphicFrame macro="">
      <xdr:nvGraphicFramePr>
        <xdr:cNvPr id="3" name="Graphique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752475</xdr:colOff>
          <xdr:row>2</xdr:row>
          <xdr:rowOff>171450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30 simulations</a:t>
              </a:r>
            </a:p>
          </xdr:txBody>
        </xdr:sp>
        <xdr:clientData fPrintsWithSheet="0"/>
      </xdr:twoCellAnchor>
    </mc:Choice>
    <mc:Fallback/>
  </mc:AlternateContent>
  <xdr:twoCellAnchor>
    <xdr:from>
      <xdr:col>33</xdr:col>
      <xdr:colOff>687425</xdr:colOff>
      <xdr:row>1</xdr:row>
      <xdr:rowOff>72520</xdr:rowOff>
    </xdr:from>
    <xdr:to>
      <xdr:col>40</xdr:col>
      <xdr:colOff>616770</xdr:colOff>
      <xdr:row>16</xdr:row>
      <xdr:rowOff>27915</xdr:rowOff>
    </xdr:to>
    <mc:AlternateContent xmlns:mc="http://schemas.openxmlformats.org/markup-compatibility/2006">
      <mc:Choice xmlns:cx1="http://schemas.microsoft.com/office/drawing/2015/9/8/chartex" Requires="cx1">
        <xdr:graphicFrame macro="">
          <xdr:nvGraphicFramePr>
            <xdr:cNvPr id="3" name="Graphique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5833425" y="529720"/>
              <a:ext cx="5844370" cy="2812895"/>
            </a:xfrm>
            <a:prstGeom prst="rect">
              <a:avLst/>
            </a:prstGeom>
            <a:solidFill>
              <a:prstClr val="white"/>
            </a:solidFill>
            <a:ln w="1">
              <a:solidFill>
                <a:prstClr val="green"/>
              </a:solidFill>
            </a:ln>
          </xdr:spPr>
          <xdr:txBody>
            <a:bodyPr vertOverflow="clip" horzOverflow="clip"/>
            <a:lstStyle/>
            <a:p>
              <a:r>
                <a:rPr lang="en-GB"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38269</xdr:colOff>
      <xdr:row>0</xdr:row>
      <xdr:rowOff>65586</xdr:rowOff>
    </xdr:from>
    <xdr:to>
      <xdr:col>22</xdr:col>
      <xdr:colOff>38270</xdr:colOff>
      <xdr:row>15</xdr:row>
      <xdr:rowOff>44712</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28575</xdr:colOff>
          <xdr:row>20</xdr:row>
          <xdr:rowOff>47625</xdr:rowOff>
        </xdr:from>
        <xdr:to>
          <xdr:col>2</xdr:col>
          <xdr:colOff>0</xdr:colOff>
          <xdr:row>23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3366"/>
                  </a:solidFill>
                  <a:latin typeface="Calibri"/>
                  <a:cs typeface="Calibri"/>
                </a:rPr>
                <a:t>Generate simulation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10</xdr:row>
          <xdr:rowOff>9525</xdr:rowOff>
        </xdr:from>
        <xdr:to>
          <xdr:col>1</xdr:col>
          <xdr:colOff>723900</xdr:colOff>
          <xdr:row>12</xdr:row>
          <xdr:rowOff>161925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simulation</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xdr:from>
      <xdr:col>13</xdr:col>
      <xdr:colOff>16828</xdr:colOff>
      <xdr:row>0</xdr:row>
      <xdr:rowOff>41021</xdr:rowOff>
    </xdr:from>
    <xdr:to>
      <xdr:col>18</xdr:col>
      <xdr:colOff>738723</xdr:colOff>
      <xdr:row>14</xdr:row>
      <xdr:rowOff>51844</xdr:rowOff>
    </xdr:to>
    <xdr:graphicFrame macro="">
      <xdr:nvGraphicFramePr>
        <xdr:cNvPr id="2" name="Graphique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733425</xdr:colOff>
          <xdr:row>20</xdr:row>
          <xdr:rowOff>114300</xdr:rowOff>
        </xdr:from>
        <xdr:to>
          <xdr:col>15</xdr:col>
          <xdr:colOff>28575</xdr:colOff>
          <xdr:row>22</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30 simulations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10</xdr:row>
          <xdr:rowOff>161925</xdr:rowOff>
        </xdr:from>
        <xdr:to>
          <xdr:col>2</xdr:col>
          <xdr:colOff>9525</xdr:colOff>
          <xdr:row>13</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3366"/>
                  </a:solidFill>
                  <a:latin typeface="Calibri"/>
                  <a:cs typeface="Calibri"/>
                </a:rPr>
                <a:t>Generate simulation</a:t>
              </a:r>
            </a:p>
          </xdr:txBody>
        </xdr:sp>
        <xdr:clientData fPrintsWithSheet="0"/>
      </xdr:twoCellAnchor>
    </mc:Choice>
    <mc:Fallback/>
  </mc:AlternateContent>
  <xdr:twoCellAnchor>
    <xdr:from>
      <xdr:col>20</xdr:col>
      <xdr:colOff>740767</xdr:colOff>
      <xdr:row>0</xdr:row>
      <xdr:rowOff>35785</xdr:rowOff>
    </xdr:from>
    <xdr:to>
      <xdr:col>27</xdr:col>
      <xdr:colOff>17814</xdr:colOff>
      <xdr:row>14</xdr:row>
      <xdr:rowOff>2340</xdr:rowOff>
    </xdr:to>
    <xdr:graphicFrame macro="">
      <xdr:nvGraphicFramePr>
        <xdr:cNvPr id="2" name="Graphique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714465</xdr:colOff>
      <xdr:row>14</xdr:row>
      <xdr:rowOff>39347</xdr:rowOff>
    </xdr:from>
    <xdr:to>
      <xdr:col>27</xdr:col>
      <xdr:colOff>17097</xdr:colOff>
      <xdr:row>29</xdr:row>
      <xdr:rowOff>75074</xdr:rowOff>
    </xdr:to>
    <xdr:graphicFrame macro="">
      <xdr:nvGraphicFramePr>
        <xdr:cNvPr id="3" name="Graphique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28</xdr:col>
          <xdr:colOff>47625</xdr:colOff>
          <xdr:row>6</xdr:row>
          <xdr:rowOff>0</xdr:rowOff>
        </xdr:from>
        <xdr:to>
          <xdr:col>28</xdr:col>
          <xdr:colOff>1666875</xdr:colOff>
          <xdr:row>9</xdr:row>
          <xdr:rowOff>47625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comparison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13</xdr:row>
          <xdr:rowOff>19050</xdr:rowOff>
        </xdr:from>
        <xdr:to>
          <xdr:col>1</xdr:col>
          <xdr:colOff>704850</xdr:colOff>
          <xdr:row>15</xdr:row>
          <xdr:rowOff>76200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3366"/>
                  </a:solidFill>
                  <a:latin typeface="Calibri"/>
                  <a:cs typeface="Calibri"/>
                </a:rPr>
                <a:t>Generate simulation</a:t>
              </a:r>
            </a:p>
          </xdr:txBody>
        </xdr:sp>
        <xdr:clientData fPrintsWithSheet="0"/>
      </xdr:twoCellAnchor>
    </mc:Choice>
    <mc:Fallback/>
  </mc:AlternateContent>
  <xdr:twoCellAnchor>
    <xdr:from>
      <xdr:col>21</xdr:col>
      <xdr:colOff>22520</xdr:colOff>
      <xdr:row>0</xdr:row>
      <xdr:rowOff>58546</xdr:rowOff>
    </xdr:from>
    <xdr:to>
      <xdr:col>27</xdr:col>
      <xdr:colOff>22520</xdr:colOff>
      <xdr:row>15</xdr:row>
      <xdr:rowOff>68771</xdr:rowOff>
    </xdr:to>
    <xdr:graphicFrame macro="">
      <xdr:nvGraphicFramePr>
        <xdr:cNvPr id="2" name="Graphique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13100</xdr:colOff>
      <xdr:row>15</xdr:row>
      <xdr:rowOff>140854</xdr:rowOff>
    </xdr:from>
    <xdr:to>
      <xdr:col>27</xdr:col>
      <xdr:colOff>13100</xdr:colOff>
      <xdr:row>30</xdr:row>
      <xdr:rowOff>113145</xdr:rowOff>
    </xdr:to>
    <xdr:graphicFrame macro="">
      <xdr:nvGraphicFramePr>
        <xdr:cNvPr id="3" name="Graphique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28</xdr:col>
          <xdr:colOff>28575</xdr:colOff>
          <xdr:row>5</xdr:row>
          <xdr:rowOff>104775</xdr:rowOff>
        </xdr:from>
        <xdr:to>
          <xdr:col>31</xdr:col>
          <xdr:colOff>28575</xdr:colOff>
          <xdr:row>8</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80"/>
                  </a:solidFill>
                  <a:latin typeface="Calibri"/>
                  <a:cs typeface="Calibri"/>
                </a:rPr>
                <a:t>Generate 30 simulations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17</xdr:row>
          <xdr:rowOff>66675</xdr:rowOff>
        </xdr:from>
        <xdr:to>
          <xdr:col>2</xdr:col>
          <xdr:colOff>38100</xdr:colOff>
          <xdr:row>19</xdr:row>
          <xdr:rowOff>171450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3366"/>
                  </a:solidFill>
                  <a:latin typeface="Calibri"/>
                  <a:cs typeface="Calibri"/>
                </a:rPr>
                <a:t>Generate simulation</a:t>
              </a:r>
            </a:p>
          </xdr:txBody>
        </xdr:sp>
        <xdr:clientData fPrintsWithSheet="0"/>
      </xdr:twoCellAnchor>
    </mc:Choice>
    <mc:Fallback/>
  </mc:AlternateContent>
  <xdr:twoCellAnchor>
    <xdr:from>
      <xdr:col>16</xdr:col>
      <xdr:colOff>738948</xdr:colOff>
      <xdr:row>0</xdr:row>
      <xdr:rowOff>43250</xdr:rowOff>
    </xdr:from>
    <xdr:to>
      <xdr:col>23</xdr:col>
      <xdr:colOff>60249</xdr:colOff>
      <xdr:row>14</xdr:row>
      <xdr:rowOff>3570</xdr:rowOff>
    </xdr:to>
    <xdr:graphicFrame macro="">
      <xdr:nvGraphicFramePr>
        <xdr:cNvPr id="3" name="Graphique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745612</xdr:colOff>
      <xdr:row>14</xdr:row>
      <xdr:rowOff>154449</xdr:rowOff>
    </xdr:from>
    <xdr:to>
      <xdr:col>23</xdr:col>
      <xdr:colOff>61452</xdr:colOff>
      <xdr:row>29</xdr:row>
      <xdr:rowOff>143387</xdr:rowOff>
    </xdr:to>
    <xdr:graphicFrame macro="">
      <xdr:nvGraphicFramePr>
        <xdr:cNvPr id="4" name="Graphique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15</xdr:row>
          <xdr:rowOff>0</xdr:rowOff>
        </xdr:from>
        <xdr:to>
          <xdr:col>1</xdr:col>
          <xdr:colOff>742950</xdr:colOff>
          <xdr:row>17</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80"/>
                  </a:solidFill>
                  <a:latin typeface="Calibri"/>
                  <a:cs typeface="Calibri"/>
                </a:rPr>
                <a:t>Generate simulation</a:t>
              </a:r>
            </a:p>
          </xdr:txBody>
        </xdr:sp>
        <xdr:clientData fPrintsWithSheet="0"/>
      </xdr:twoCellAnchor>
    </mc:Choice>
    <mc:Fallback/>
  </mc:AlternateContent>
  <xdr:twoCellAnchor>
    <xdr:from>
      <xdr:col>16</xdr:col>
      <xdr:colOff>22780</xdr:colOff>
      <xdr:row>0</xdr:row>
      <xdr:rowOff>19905</xdr:rowOff>
    </xdr:from>
    <xdr:to>
      <xdr:col>22</xdr:col>
      <xdr:colOff>22781</xdr:colOff>
      <xdr:row>14</xdr:row>
      <xdr:rowOff>176551</xdr:rowOff>
    </xdr:to>
    <xdr:graphicFrame macro="">
      <xdr:nvGraphicFramePr>
        <xdr:cNvPr id="2" name="Graphique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0</xdr:colOff>
          <xdr:row>23</xdr:row>
          <xdr:rowOff>9525</xdr:rowOff>
        </xdr:from>
        <xdr:to>
          <xdr:col>18</xdr:col>
          <xdr:colOff>742950</xdr:colOff>
          <xdr:row>25</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80"/>
                  </a:solidFill>
                  <a:latin typeface="Calibri"/>
                  <a:cs typeface="Calibri"/>
                </a:rPr>
                <a:t>Generate comparison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20</xdr:row>
          <xdr:rowOff>0</xdr:rowOff>
        </xdr:from>
        <xdr:to>
          <xdr:col>1</xdr:col>
          <xdr:colOff>704850</xdr:colOff>
          <xdr:row>22</xdr:row>
          <xdr:rowOff>28575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C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Bouton 1</a:t>
              </a:r>
            </a:p>
          </xdr:txBody>
        </xdr:sp>
        <xdr:clientData fPrintsWithSheet="0"/>
      </xdr:twoCellAnchor>
    </mc:Choice>
    <mc:Fallback/>
  </mc:AlternateContent>
  <xdr:twoCellAnchor>
    <xdr:from>
      <xdr:col>22</xdr:col>
      <xdr:colOff>159</xdr:colOff>
      <xdr:row>0</xdr:row>
      <xdr:rowOff>126936</xdr:rowOff>
    </xdr:from>
    <xdr:to>
      <xdr:col>27</xdr:col>
      <xdr:colOff>614516</xdr:colOff>
      <xdr:row>13</xdr:row>
      <xdr:rowOff>143387</xdr:rowOff>
    </xdr:to>
    <xdr:graphicFrame macro="">
      <xdr:nvGraphicFramePr>
        <xdr:cNvPr id="2" name="Graphique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4.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10.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2.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00DB3-BB33-4E22-ACB4-9488D26E4626}">
  <sheetPr codeName="Feuil12"/>
  <dimension ref="A2:M97"/>
  <sheetViews>
    <sheetView showGridLines="0" zoomScale="51" zoomScaleNormal="100" workbookViewId="0">
      <selection activeCell="A2" sqref="A2"/>
    </sheetView>
  </sheetViews>
  <sheetFormatPr baseColWidth="10" defaultRowHeight="15" x14ac:dyDescent="0.25"/>
  <cols>
    <col min="1" max="1" width="13.85546875" customWidth="1"/>
  </cols>
  <sheetData>
    <row r="2" spans="1:13" ht="18.75" x14ac:dyDescent="0.25">
      <c r="D2" s="47" t="s">
        <v>75</v>
      </c>
      <c r="E2" s="47"/>
      <c r="F2" s="47"/>
      <c r="G2" s="47"/>
      <c r="H2" s="47"/>
      <c r="I2" s="47"/>
    </row>
    <row r="4" spans="1:13" ht="14.45" customHeight="1" x14ac:dyDescent="0.25">
      <c r="A4" s="48" t="s">
        <v>76</v>
      </c>
      <c r="B4" s="49"/>
      <c r="C4" s="49"/>
      <c r="D4" s="49"/>
      <c r="E4" s="49"/>
      <c r="F4" s="49"/>
      <c r="G4" s="49"/>
      <c r="H4" s="49"/>
      <c r="I4" s="49"/>
      <c r="J4" s="49"/>
      <c r="K4" s="49"/>
      <c r="L4" s="50"/>
      <c r="M4" s="31"/>
    </row>
    <row r="5" spans="1:13" x14ac:dyDescent="0.25">
      <c r="A5" s="51"/>
      <c r="B5" s="52"/>
      <c r="C5" s="52"/>
      <c r="D5" s="52"/>
      <c r="E5" s="52"/>
      <c r="F5" s="52"/>
      <c r="G5" s="52"/>
      <c r="H5" s="52"/>
      <c r="I5" s="52"/>
      <c r="J5" s="52"/>
      <c r="K5" s="52"/>
      <c r="L5" s="53"/>
      <c r="M5" s="31"/>
    </row>
    <row r="6" spans="1:13" x14ac:dyDescent="0.25">
      <c r="A6" s="51"/>
      <c r="B6" s="52"/>
      <c r="C6" s="52"/>
      <c r="D6" s="52"/>
      <c r="E6" s="52"/>
      <c r="F6" s="52"/>
      <c r="G6" s="52"/>
      <c r="H6" s="52"/>
      <c r="I6" s="52"/>
      <c r="J6" s="52"/>
      <c r="K6" s="52"/>
      <c r="L6" s="53"/>
      <c r="M6" s="31"/>
    </row>
    <row r="7" spans="1:13" x14ac:dyDescent="0.25">
      <c r="A7" s="54"/>
      <c r="B7" s="55"/>
      <c r="C7" s="55"/>
      <c r="D7" s="55"/>
      <c r="E7" s="55"/>
      <c r="F7" s="55"/>
      <c r="G7" s="55"/>
      <c r="H7" s="55"/>
      <c r="I7" s="55"/>
      <c r="J7" s="55"/>
      <c r="K7" s="55"/>
      <c r="L7" s="56"/>
    </row>
    <row r="9" spans="1:13" x14ac:dyDescent="0.25">
      <c r="A9" t="s">
        <v>77</v>
      </c>
    </row>
    <row r="13" spans="1:13" x14ac:dyDescent="0.25">
      <c r="A13" s="57" t="s">
        <v>12</v>
      </c>
      <c r="B13" s="57"/>
      <c r="C13" s="57"/>
      <c r="E13" s="32" t="s">
        <v>0</v>
      </c>
      <c r="F13" s="33" t="s">
        <v>78</v>
      </c>
      <c r="G13" s="33" t="s">
        <v>79</v>
      </c>
      <c r="H13" s="34" t="s">
        <v>80</v>
      </c>
    </row>
    <row r="14" spans="1:13" x14ac:dyDescent="0.25">
      <c r="A14" s="1"/>
      <c r="B14" s="1" t="s">
        <v>81</v>
      </c>
      <c r="C14" s="1" t="s">
        <v>82</v>
      </c>
      <c r="E14" s="4">
        <v>40</v>
      </c>
      <c r="F14" s="41">
        <f t="shared" ref="F14:F54" si="0">IF($E14&lt;$C$15,-MAX($C$15-E14,0),0)</f>
        <v>-14</v>
      </c>
      <c r="G14" s="41">
        <f t="shared" ref="G14:G54" si="1">MAX(E14-B$15,0)</f>
        <v>0</v>
      </c>
      <c r="H14" s="12">
        <f>F14+G14 - $B$19</f>
        <v>-14.534204378765342</v>
      </c>
    </row>
    <row r="15" spans="1:13" x14ac:dyDescent="0.25">
      <c r="A15" s="1" t="s">
        <v>83</v>
      </c>
      <c r="B15" s="1">
        <v>67</v>
      </c>
      <c r="C15" s="1">
        <v>54</v>
      </c>
      <c r="E15" s="4">
        <v>41</v>
      </c>
      <c r="F15" s="41">
        <f t="shared" si="0"/>
        <v>-13</v>
      </c>
      <c r="G15" s="41">
        <f t="shared" si="1"/>
        <v>0</v>
      </c>
      <c r="H15" s="12">
        <f t="shared" ref="H15:H54" si="2">F15+G15 - $B$19</f>
        <v>-13.534204378765342</v>
      </c>
    </row>
    <row r="16" spans="1:13" x14ac:dyDescent="0.25">
      <c r="A16" s="1" t="s">
        <v>3</v>
      </c>
      <c r="B16" s="1">
        <v>0.2</v>
      </c>
      <c r="C16" s="1">
        <v>0.2</v>
      </c>
      <c r="E16" s="4">
        <v>42</v>
      </c>
      <c r="F16" s="41">
        <f t="shared" si="0"/>
        <v>-12</v>
      </c>
      <c r="G16" s="41">
        <f t="shared" si="1"/>
        <v>0</v>
      </c>
      <c r="H16" s="12">
        <f t="shared" si="2"/>
        <v>-12.534204378765342</v>
      </c>
    </row>
    <row r="17" spans="1:8" x14ac:dyDescent="0.25">
      <c r="A17" s="1" t="s">
        <v>15</v>
      </c>
      <c r="B17" s="1">
        <v>0.25</v>
      </c>
      <c r="C17" s="1">
        <f>1/12</f>
        <v>8.3333333333333329E-2</v>
      </c>
      <c r="E17" s="4">
        <v>43</v>
      </c>
      <c r="F17" s="41">
        <f t="shared" si="0"/>
        <v>-11</v>
      </c>
      <c r="G17" s="41">
        <f t="shared" si="1"/>
        <v>0</v>
      </c>
      <c r="H17" s="12">
        <f t="shared" si="2"/>
        <v>-11.534204378765342</v>
      </c>
    </row>
    <row r="18" spans="1:8" x14ac:dyDescent="0.25">
      <c r="A18" s="1" t="s">
        <v>6</v>
      </c>
      <c r="B18" s="58">
        <v>1.6E-2</v>
      </c>
      <c r="C18" s="58"/>
      <c r="E18" s="4">
        <v>44</v>
      </c>
      <c r="F18" s="41">
        <f t="shared" si="0"/>
        <v>-10</v>
      </c>
      <c r="G18" s="41">
        <f t="shared" si="1"/>
        <v>0</v>
      </c>
      <c r="H18" s="12">
        <f t="shared" si="2"/>
        <v>-10.534204378765342</v>
      </c>
    </row>
    <row r="19" spans="1:8" x14ac:dyDescent="0.25">
      <c r="A19" s="25" t="s">
        <v>35</v>
      </c>
      <c r="B19" s="59">
        <f>'1.b) Delta Hedge'!J2</f>
        <v>0.53420437876534088</v>
      </c>
      <c r="C19" s="59"/>
      <c r="E19" s="4">
        <v>45</v>
      </c>
      <c r="F19" s="41">
        <f t="shared" si="0"/>
        <v>-9</v>
      </c>
      <c r="G19" s="41">
        <f t="shared" si="1"/>
        <v>0</v>
      </c>
      <c r="H19" s="12">
        <f t="shared" si="2"/>
        <v>-9.5342043787653417</v>
      </c>
    </row>
    <row r="20" spans="1:8" x14ac:dyDescent="0.25">
      <c r="E20" s="4">
        <v>46</v>
      </c>
      <c r="F20" s="41">
        <f t="shared" si="0"/>
        <v>-8</v>
      </c>
      <c r="G20" s="41">
        <f t="shared" si="1"/>
        <v>0</v>
      </c>
      <c r="H20" s="12">
        <f t="shared" si="2"/>
        <v>-8.5342043787653417</v>
      </c>
    </row>
    <row r="21" spans="1:8" x14ac:dyDescent="0.25">
      <c r="E21" s="4">
        <v>47</v>
      </c>
      <c r="F21" s="41">
        <f t="shared" si="0"/>
        <v>-7</v>
      </c>
      <c r="G21" s="41">
        <f t="shared" si="1"/>
        <v>0</v>
      </c>
      <c r="H21" s="12">
        <f t="shared" si="2"/>
        <v>-7.5342043787653408</v>
      </c>
    </row>
    <row r="22" spans="1:8" x14ac:dyDescent="0.25">
      <c r="E22" s="4">
        <v>48</v>
      </c>
      <c r="F22" s="41">
        <f t="shared" si="0"/>
        <v>-6</v>
      </c>
      <c r="G22" s="41">
        <f t="shared" si="1"/>
        <v>0</v>
      </c>
      <c r="H22" s="12">
        <f t="shared" si="2"/>
        <v>-6.5342043787653408</v>
      </c>
    </row>
    <row r="23" spans="1:8" x14ac:dyDescent="0.25">
      <c r="E23" s="4">
        <v>49</v>
      </c>
      <c r="F23" s="41">
        <f t="shared" si="0"/>
        <v>-5</v>
      </c>
      <c r="G23" s="41">
        <f t="shared" si="1"/>
        <v>0</v>
      </c>
      <c r="H23" s="12">
        <f t="shared" si="2"/>
        <v>-5.5342043787653408</v>
      </c>
    </row>
    <row r="24" spans="1:8" x14ac:dyDescent="0.25">
      <c r="E24" s="4">
        <v>50</v>
      </c>
      <c r="F24" s="41">
        <f t="shared" si="0"/>
        <v>-4</v>
      </c>
      <c r="G24" s="41">
        <f t="shared" si="1"/>
        <v>0</v>
      </c>
      <c r="H24" s="12">
        <f t="shared" si="2"/>
        <v>-4.5342043787653408</v>
      </c>
    </row>
    <row r="25" spans="1:8" x14ac:dyDescent="0.25">
      <c r="E25" s="4">
        <v>51</v>
      </c>
      <c r="F25" s="41">
        <f t="shared" si="0"/>
        <v>-3</v>
      </c>
      <c r="G25" s="41">
        <f t="shared" si="1"/>
        <v>0</v>
      </c>
      <c r="H25" s="12">
        <f t="shared" si="2"/>
        <v>-3.5342043787653408</v>
      </c>
    </row>
    <row r="26" spans="1:8" x14ac:dyDescent="0.25">
      <c r="E26" s="4">
        <v>52</v>
      </c>
      <c r="F26" s="41">
        <f t="shared" si="0"/>
        <v>-2</v>
      </c>
      <c r="G26" s="41">
        <f t="shared" si="1"/>
        <v>0</v>
      </c>
      <c r="H26" s="12">
        <f t="shared" si="2"/>
        <v>-2.5342043787653408</v>
      </c>
    </row>
    <row r="27" spans="1:8" x14ac:dyDescent="0.25">
      <c r="E27" s="4">
        <v>53</v>
      </c>
      <c r="F27" s="41">
        <f t="shared" si="0"/>
        <v>-1</v>
      </c>
      <c r="G27" s="41">
        <f t="shared" si="1"/>
        <v>0</v>
      </c>
      <c r="H27" s="12">
        <f t="shared" si="2"/>
        <v>-1.5342043787653408</v>
      </c>
    </row>
    <row r="28" spans="1:8" x14ac:dyDescent="0.25">
      <c r="E28" s="4">
        <v>54</v>
      </c>
      <c r="F28" s="41">
        <f t="shared" si="0"/>
        <v>0</v>
      </c>
      <c r="G28" s="41">
        <f t="shared" si="1"/>
        <v>0</v>
      </c>
      <c r="H28" s="12">
        <f t="shared" si="2"/>
        <v>-0.53420437876534088</v>
      </c>
    </row>
    <row r="29" spans="1:8" x14ac:dyDescent="0.25">
      <c r="E29" s="4">
        <v>55</v>
      </c>
      <c r="F29" s="41">
        <f t="shared" si="0"/>
        <v>0</v>
      </c>
      <c r="G29" s="41">
        <f t="shared" si="1"/>
        <v>0</v>
      </c>
      <c r="H29" s="12">
        <f t="shared" si="2"/>
        <v>-0.53420437876534088</v>
      </c>
    </row>
    <row r="30" spans="1:8" x14ac:dyDescent="0.25">
      <c r="E30" s="4">
        <v>56</v>
      </c>
      <c r="F30" s="41">
        <f t="shared" si="0"/>
        <v>0</v>
      </c>
      <c r="G30" s="41">
        <f t="shared" si="1"/>
        <v>0</v>
      </c>
      <c r="H30" s="12">
        <f t="shared" si="2"/>
        <v>-0.53420437876534088</v>
      </c>
    </row>
    <row r="31" spans="1:8" x14ac:dyDescent="0.25">
      <c r="E31" s="4">
        <v>57</v>
      </c>
      <c r="F31" s="41">
        <f t="shared" si="0"/>
        <v>0</v>
      </c>
      <c r="G31" s="41">
        <f t="shared" si="1"/>
        <v>0</v>
      </c>
      <c r="H31" s="12">
        <f t="shared" si="2"/>
        <v>-0.53420437876534088</v>
      </c>
    </row>
    <row r="32" spans="1:8" x14ac:dyDescent="0.25">
      <c r="E32" s="4">
        <v>58</v>
      </c>
      <c r="F32" s="41">
        <f t="shared" si="0"/>
        <v>0</v>
      </c>
      <c r="G32" s="41">
        <f t="shared" si="1"/>
        <v>0</v>
      </c>
      <c r="H32" s="12">
        <f t="shared" si="2"/>
        <v>-0.53420437876534088</v>
      </c>
    </row>
    <row r="33" spans="5:8" x14ac:dyDescent="0.25">
      <c r="E33" s="4">
        <v>59</v>
      </c>
      <c r="F33" s="41">
        <f t="shared" si="0"/>
        <v>0</v>
      </c>
      <c r="G33" s="41">
        <f t="shared" si="1"/>
        <v>0</v>
      </c>
      <c r="H33" s="12">
        <f t="shared" si="2"/>
        <v>-0.53420437876534088</v>
      </c>
    </row>
    <row r="34" spans="5:8" x14ac:dyDescent="0.25">
      <c r="E34" s="4">
        <v>60</v>
      </c>
      <c r="F34" s="41">
        <f t="shared" si="0"/>
        <v>0</v>
      </c>
      <c r="G34" s="41">
        <f t="shared" si="1"/>
        <v>0</v>
      </c>
      <c r="H34" s="12">
        <f t="shared" si="2"/>
        <v>-0.53420437876534088</v>
      </c>
    </row>
    <row r="35" spans="5:8" x14ac:dyDescent="0.25">
      <c r="E35" s="4">
        <v>61</v>
      </c>
      <c r="F35" s="41">
        <f t="shared" si="0"/>
        <v>0</v>
      </c>
      <c r="G35" s="41">
        <f t="shared" si="1"/>
        <v>0</v>
      </c>
      <c r="H35" s="12">
        <f t="shared" si="2"/>
        <v>-0.53420437876534088</v>
      </c>
    </row>
    <row r="36" spans="5:8" x14ac:dyDescent="0.25">
      <c r="E36" s="4">
        <v>62</v>
      </c>
      <c r="F36" s="41">
        <f t="shared" si="0"/>
        <v>0</v>
      </c>
      <c r="G36" s="41">
        <f t="shared" si="1"/>
        <v>0</v>
      </c>
      <c r="H36" s="12">
        <f t="shared" si="2"/>
        <v>-0.53420437876534088</v>
      </c>
    </row>
    <row r="37" spans="5:8" x14ac:dyDescent="0.25">
      <c r="E37" s="4">
        <v>63</v>
      </c>
      <c r="F37" s="41">
        <f t="shared" si="0"/>
        <v>0</v>
      </c>
      <c r="G37" s="41">
        <f t="shared" si="1"/>
        <v>0</v>
      </c>
      <c r="H37" s="12">
        <f t="shared" si="2"/>
        <v>-0.53420437876534088</v>
      </c>
    </row>
    <row r="38" spans="5:8" x14ac:dyDescent="0.25">
      <c r="E38" s="4">
        <v>64</v>
      </c>
      <c r="F38" s="41">
        <f t="shared" si="0"/>
        <v>0</v>
      </c>
      <c r="G38" s="41">
        <f t="shared" si="1"/>
        <v>0</v>
      </c>
      <c r="H38" s="12">
        <f t="shared" si="2"/>
        <v>-0.53420437876534088</v>
      </c>
    </row>
    <row r="39" spans="5:8" x14ac:dyDescent="0.25">
      <c r="E39" s="4">
        <v>65</v>
      </c>
      <c r="F39" s="41">
        <f t="shared" si="0"/>
        <v>0</v>
      </c>
      <c r="G39" s="41">
        <f t="shared" si="1"/>
        <v>0</v>
      </c>
      <c r="H39" s="12">
        <f t="shared" si="2"/>
        <v>-0.53420437876534088</v>
      </c>
    </row>
    <row r="40" spans="5:8" x14ac:dyDescent="0.25">
      <c r="E40" s="4">
        <v>66</v>
      </c>
      <c r="F40" s="41">
        <f t="shared" si="0"/>
        <v>0</v>
      </c>
      <c r="G40" s="41">
        <f t="shared" si="1"/>
        <v>0</v>
      </c>
      <c r="H40" s="12">
        <f t="shared" si="2"/>
        <v>-0.53420437876534088</v>
      </c>
    </row>
    <row r="41" spans="5:8" x14ac:dyDescent="0.25">
      <c r="E41" s="4">
        <v>67</v>
      </c>
      <c r="F41" s="41">
        <f t="shared" si="0"/>
        <v>0</v>
      </c>
      <c r="G41" s="41">
        <f t="shared" si="1"/>
        <v>0</v>
      </c>
      <c r="H41" s="12">
        <f t="shared" si="2"/>
        <v>-0.53420437876534088</v>
      </c>
    </row>
    <row r="42" spans="5:8" x14ac:dyDescent="0.25">
      <c r="E42" s="4">
        <v>68</v>
      </c>
      <c r="F42" s="41">
        <f t="shared" si="0"/>
        <v>0</v>
      </c>
      <c r="G42" s="41">
        <f t="shared" si="1"/>
        <v>1</v>
      </c>
      <c r="H42" s="12">
        <f t="shared" si="2"/>
        <v>0.46579562123465912</v>
      </c>
    </row>
    <row r="43" spans="5:8" x14ac:dyDescent="0.25">
      <c r="E43" s="4">
        <v>69</v>
      </c>
      <c r="F43" s="41">
        <f t="shared" si="0"/>
        <v>0</v>
      </c>
      <c r="G43" s="41">
        <f t="shared" si="1"/>
        <v>2</v>
      </c>
      <c r="H43" s="12">
        <f t="shared" si="2"/>
        <v>1.4657956212346592</v>
      </c>
    </row>
    <row r="44" spans="5:8" x14ac:dyDescent="0.25">
      <c r="E44" s="4">
        <v>70</v>
      </c>
      <c r="F44" s="41">
        <f t="shared" si="0"/>
        <v>0</v>
      </c>
      <c r="G44" s="41">
        <f t="shared" si="1"/>
        <v>3</v>
      </c>
      <c r="H44" s="12">
        <f t="shared" si="2"/>
        <v>2.4657956212346592</v>
      </c>
    </row>
    <row r="45" spans="5:8" x14ac:dyDescent="0.25">
      <c r="E45" s="4">
        <v>71</v>
      </c>
      <c r="F45" s="41">
        <f t="shared" si="0"/>
        <v>0</v>
      </c>
      <c r="G45" s="41">
        <f t="shared" si="1"/>
        <v>4</v>
      </c>
      <c r="H45" s="12">
        <f t="shared" si="2"/>
        <v>3.4657956212346592</v>
      </c>
    </row>
    <row r="46" spans="5:8" x14ac:dyDescent="0.25">
      <c r="E46" s="4">
        <v>72</v>
      </c>
      <c r="F46" s="41">
        <f t="shared" si="0"/>
        <v>0</v>
      </c>
      <c r="G46" s="41">
        <f t="shared" si="1"/>
        <v>5</v>
      </c>
      <c r="H46" s="12">
        <f t="shared" si="2"/>
        <v>4.4657956212346592</v>
      </c>
    </row>
    <row r="47" spans="5:8" x14ac:dyDescent="0.25">
      <c r="E47" s="4">
        <v>73</v>
      </c>
      <c r="F47" s="41">
        <f t="shared" si="0"/>
        <v>0</v>
      </c>
      <c r="G47" s="41">
        <f t="shared" si="1"/>
        <v>6</v>
      </c>
      <c r="H47" s="12">
        <f t="shared" si="2"/>
        <v>5.4657956212346592</v>
      </c>
    </row>
    <row r="48" spans="5:8" x14ac:dyDescent="0.25">
      <c r="E48" s="4">
        <v>74</v>
      </c>
      <c r="F48" s="41">
        <f t="shared" si="0"/>
        <v>0</v>
      </c>
      <c r="G48" s="41">
        <f t="shared" si="1"/>
        <v>7</v>
      </c>
      <c r="H48" s="12">
        <f t="shared" si="2"/>
        <v>6.4657956212346592</v>
      </c>
    </row>
    <row r="49" spans="5:8" x14ac:dyDescent="0.25">
      <c r="E49" s="4">
        <v>75</v>
      </c>
      <c r="F49" s="41">
        <f t="shared" si="0"/>
        <v>0</v>
      </c>
      <c r="G49" s="41">
        <f t="shared" si="1"/>
        <v>8</v>
      </c>
      <c r="H49" s="12">
        <f t="shared" si="2"/>
        <v>7.4657956212346592</v>
      </c>
    </row>
    <row r="50" spans="5:8" x14ac:dyDescent="0.25">
      <c r="E50" s="4">
        <v>76</v>
      </c>
      <c r="F50" s="41">
        <f t="shared" si="0"/>
        <v>0</v>
      </c>
      <c r="G50" s="41">
        <f t="shared" si="1"/>
        <v>9</v>
      </c>
      <c r="H50" s="12">
        <f t="shared" si="2"/>
        <v>8.4657956212346583</v>
      </c>
    </row>
    <row r="51" spans="5:8" x14ac:dyDescent="0.25">
      <c r="E51" s="4">
        <v>77</v>
      </c>
      <c r="F51" s="41">
        <f t="shared" si="0"/>
        <v>0</v>
      </c>
      <c r="G51" s="41">
        <f t="shared" si="1"/>
        <v>10</v>
      </c>
      <c r="H51" s="12">
        <f t="shared" si="2"/>
        <v>9.4657956212346583</v>
      </c>
    </row>
    <row r="52" spans="5:8" x14ac:dyDescent="0.25">
      <c r="E52" s="4">
        <v>78</v>
      </c>
      <c r="F52" s="41">
        <f t="shared" si="0"/>
        <v>0</v>
      </c>
      <c r="G52" s="41">
        <f t="shared" si="1"/>
        <v>11</v>
      </c>
      <c r="H52" s="12">
        <f t="shared" si="2"/>
        <v>10.465795621234658</v>
      </c>
    </row>
    <row r="53" spans="5:8" x14ac:dyDescent="0.25">
      <c r="E53" s="4">
        <v>79</v>
      </c>
      <c r="F53" s="41">
        <f t="shared" si="0"/>
        <v>0</v>
      </c>
      <c r="G53" s="41">
        <f t="shared" si="1"/>
        <v>12</v>
      </c>
      <c r="H53" s="12">
        <f t="shared" si="2"/>
        <v>11.465795621234658</v>
      </c>
    </row>
    <row r="54" spans="5:8" x14ac:dyDescent="0.25">
      <c r="E54" s="5">
        <v>80</v>
      </c>
      <c r="F54" s="10">
        <f t="shared" si="0"/>
        <v>0</v>
      </c>
      <c r="G54" s="10">
        <f t="shared" si="1"/>
        <v>13</v>
      </c>
      <c r="H54" s="12">
        <f t="shared" si="2"/>
        <v>12.465795621234658</v>
      </c>
    </row>
    <row r="68" spans="3:9" x14ac:dyDescent="0.25">
      <c r="C68" s="39"/>
      <c r="D68" s="39"/>
      <c r="E68" s="39"/>
      <c r="F68" s="39"/>
      <c r="G68" s="39"/>
      <c r="H68" s="39"/>
      <c r="I68" s="39"/>
    </row>
    <row r="69" spans="3:9" x14ac:dyDescent="0.25">
      <c r="C69" s="39"/>
      <c r="D69" s="39"/>
      <c r="E69" s="39"/>
      <c r="F69" s="39"/>
      <c r="G69" s="39"/>
      <c r="H69" s="39"/>
      <c r="I69" s="39"/>
    </row>
    <row r="70" spans="3:9" x14ac:dyDescent="0.25">
      <c r="C70" s="39"/>
      <c r="D70" s="39"/>
      <c r="E70" s="39"/>
      <c r="F70" s="39"/>
      <c r="G70" s="39"/>
      <c r="H70" s="39"/>
      <c r="I70" s="39"/>
    </row>
    <row r="71" spans="3:9" x14ac:dyDescent="0.25">
      <c r="C71" s="39"/>
      <c r="D71" s="39"/>
      <c r="E71" s="39"/>
      <c r="F71" s="39"/>
      <c r="G71" s="39"/>
      <c r="H71" s="39"/>
      <c r="I71" s="39"/>
    </row>
    <row r="72" spans="3:9" x14ac:dyDescent="0.25">
      <c r="C72" s="39"/>
      <c r="D72" s="39"/>
      <c r="E72" s="39"/>
      <c r="F72" s="39"/>
      <c r="G72" s="39"/>
      <c r="H72" s="39"/>
      <c r="I72" s="39"/>
    </row>
    <row r="73" spans="3:9" x14ac:dyDescent="0.25">
      <c r="C73" s="39"/>
      <c r="D73" s="39"/>
      <c r="E73" s="39"/>
      <c r="F73" s="39"/>
      <c r="G73" s="39"/>
      <c r="H73" s="39"/>
      <c r="I73" s="39"/>
    </row>
    <row r="74" spans="3:9" x14ac:dyDescent="0.25">
      <c r="C74" s="39"/>
      <c r="D74" s="39"/>
      <c r="E74" s="39"/>
      <c r="F74" s="39"/>
      <c r="G74" s="39"/>
      <c r="H74" s="39"/>
      <c r="I74" s="39"/>
    </row>
    <row r="75" spans="3:9" x14ac:dyDescent="0.25">
      <c r="C75" s="39"/>
      <c r="D75" s="39"/>
      <c r="E75" s="39"/>
      <c r="F75" s="39"/>
      <c r="G75" s="39"/>
      <c r="H75" s="40"/>
      <c r="I75" s="39"/>
    </row>
    <row r="76" spans="3:9" x14ac:dyDescent="0.25">
      <c r="C76" s="39"/>
      <c r="D76" s="39"/>
      <c r="E76" s="39"/>
      <c r="F76" s="39"/>
      <c r="G76" s="39"/>
      <c r="H76" s="40"/>
      <c r="I76" s="39"/>
    </row>
    <row r="77" spans="3:9" x14ac:dyDescent="0.25">
      <c r="C77" s="39"/>
      <c r="D77" s="39"/>
      <c r="E77" s="39"/>
      <c r="F77" s="39"/>
      <c r="G77" s="39"/>
      <c r="H77" s="40"/>
      <c r="I77" s="39"/>
    </row>
    <row r="78" spans="3:9" x14ac:dyDescent="0.25">
      <c r="C78" s="39"/>
      <c r="D78" s="39"/>
      <c r="E78" s="39"/>
      <c r="F78" s="39"/>
      <c r="G78" s="39"/>
      <c r="H78" s="40"/>
      <c r="I78" s="39"/>
    </row>
    <row r="79" spans="3:9" x14ac:dyDescent="0.25">
      <c r="C79" s="39"/>
      <c r="D79" s="39"/>
      <c r="E79" s="39"/>
      <c r="F79" s="39"/>
      <c r="G79" s="39"/>
      <c r="H79" s="40"/>
      <c r="I79" s="39"/>
    </row>
    <row r="80" spans="3:9" x14ac:dyDescent="0.25">
      <c r="C80" s="39"/>
      <c r="D80" s="39"/>
      <c r="E80" s="39"/>
      <c r="F80" s="39"/>
      <c r="G80" s="39"/>
      <c r="H80" s="40"/>
      <c r="I80" s="39"/>
    </row>
    <row r="81" spans="3:9" x14ac:dyDescent="0.25">
      <c r="C81" s="39"/>
      <c r="D81" s="39"/>
      <c r="E81" s="39"/>
      <c r="F81" s="39"/>
      <c r="G81" s="39"/>
      <c r="H81" s="40"/>
      <c r="I81" s="39"/>
    </row>
    <row r="82" spans="3:9" x14ac:dyDescent="0.25">
      <c r="C82" s="39"/>
      <c r="D82" s="39"/>
      <c r="E82" s="39"/>
      <c r="F82" s="39"/>
      <c r="G82" s="39"/>
      <c r="H82" s="40"/>
      <c r="I82" s="39"/>
    </row>
    <row r="83" spans="3:9" x14ac:dyDescent="0.25">
      <c r="C83" s="39"/>
      <c r="D83" s="39"/>
      <c r="E83" s="39"/>
      <c r="F83" s="39"/>
      <c r="G83" s="39"/>
      <c r="H83" s="40"/>
      <c r="I83" s="39"/>
    </row>
    <row r="84" spans="3:9" x14ac:dyDescent="0.25">
      <c r="C84" s="39"/>
      <c r="D84" s="39"/>
      <c r="E84" s="39"/>
      <c r="F84" s="39"/>
      <c r="G84" s="39"/>
      <c r="H84" s="40"/>
      <c r="I84" s="39"/>
    </row>
    <row r="85" spans="3:9" x14ac:dyDescent="0.25">
      <c r="C85" s="39"/>
      <c r="D85" s="39"/>
      <c r="E85" s="39"/>
      <c r="F85" s="39"/>
      <c r="G85" s="39"/>
      <c r="H85" s="40"/>
      <c r="I85" s="39"/>
    </row>
    <row r="86" spans="3:9" x14ac:dyDescent="0.25">
      <c r="C86" s="39"/>
      <c r="D86" s="39"/>
      <c r="E86" s="39"/>
      <c r="F86" s="39"/>
      <c r="G86" s="39"/>
      <c r="H86" s="40"/>
      <c r="I86" s="39"/>
    </row>
    <row r="87" spans="3:9" x14ac:dyDescent="0.25">
      <c r="C87" s="39"/>
      <c r="D87" s="39"/>
      <c r="E87" s="39"/>
      <c r="F87" s="39"/>
      <c r="G87" s="39"/>
      <c r="H87" s="40"/>
      <c r="I87" s="39"/>
    </row>
    <row r="88" spans="3:9" x14ac:dyDescent="0.25">
      <c r="C88" s="39"/>
      <c r="D88" s="39"/>
      <c r="E88" s="39"/>
      <c r="F88" s="39"/>
      <c r="G88" s="39"/>
      <c r="H88" s="40"/>
      <c r="I88" s="39"/>
    </row>
    <row r="89" spans="3:9" x14ac:dyDescent="0.25">
      <c r="C89" s="39"/>
      <c r="D89" s="39"/>
      <c r="E89" s="39"/>
      <c r="F89" s="39"/>
      <c r="G89" s="39"/>
      <c r="H89" s="40"/>
      <c r="I89" s="39"/>
    </row>
    <row r="90" spans="3:9" x14ac:dyDescent="0.25">
      <c r="C90" s="39"/>
      <c r="D90" s="39"/>
      <c r="E90" s="39"/>
      <c r="F90" s="39"/>
      <c r="G90" s="39"/>
      <c r="H90" s="40"/>
      <c r="I90" s="39"/>
    </row>
    <row r="91" spans="3:9" x14ac:dyDescent="0.25">
      <c r="C91" s="39"/>
      <c r="D91" s="39"/>
      <c r="E91" s="39"/>
      <c r="F91" s="39"/>
      <c r="G91" s="39"/>
      <c r="H91" s="40"/>
      <c r="I91" s="39"/>
    </row>
    <row r="92" spans="3:9" x14ac:dyDescent="0.25">
      <c r="C92" s="39"/>
      <c r="D92" s="39"/>
      <c r="E92" s="39"/>
      <c r="F92" s="39"/>
      <c r="G92" s="39"/>
      <c r="H92" s="40"/>
      <c r="I92" s="39"/>
    </row>
    <row r="93" spans="3:9" x14ac:dyDescent="0.25">
      <c r="C93" s="39"/>
      <c r="D93" s="39"/>
      <c r="E93" s="39"/>
      <c r="F93" s="39"/>
      <c r="G93" s="39"/>
      <c r="H93" s="40"/>
      <c r="I93" s="39"/>
    </row>
    <row r="94" spans="3:9" x14ac:dyDescent="0.25">
      <c r="C94" s="39"/>
      <c r="D94" s="39"/>
      <c r="E94" s="39"/>
      <c r="F94" s="39"/>
      <c r="G94" s="39"/>
      <c r="H94" s="40"/>
      <c r="I94" s="39"/>
    </row>
    <row r="95" spans="3:9" x14ac:dyDescent="0.25">
      <c r="C95" s="39"/>
      <c r="D95" s="39"/>
      <c r="E95" s="39"/>
      <c r="F95" s="39"/>
      <c r="G95" s="39"/>
      <c r="H95" s="40"/>
      <c r="I95" s="39"/>
    </row>
    <row r="96" spans="3:9" x14ac:dyDescent="0.25">
      <c r="C96" s="39"/>
      <c r="D96" s="39"/>
      <c r="E96" s="39"/>
      <c r="F96" s="39"/>
      <c r="G96" s="39"/>
      <c r="H96" s="39"/>
      <c r="I96" s="39"/>
    </row>
    <row r="97" spans="3:9" x14ac:dyDescent="0.25">
      <c r="C97" s="39"/>
      <c r="D97" s="39"/>
      <c r="E97" s="39"/>
      <c r="F97" s="39"/>
      <c r="G97" s="39"/>
      <c r="H97" s="39"/>
      <c r="I97" s="39"/>
    </row>
  </sheetData>
  <mergeCells count="5">
    <mergeCell ref="D2:I2"/>
    <mergeCell ref="A4:L7"/>
    <mergeCell ref="A13:C13"/>
    <mergeCell ref="B18:C18"/>
    <mergeCell ref="B19:C19"/>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71433-F615-425E-9776-11C1E4F7BB84}">
  <sheetPr codeName="Feuil2"/>
  <dimension ref="A1:Y89"/>
  <sheetViews>
    <sheetView zoomScale="35" workbookViewId="0">
      <selection activeCell="AA22" sqref="AA22"/>
    </sheetView>
  </sheetViews>
  <sheetFormatPr baseColWidth="10" defaultRowHeight="15" x14ac:dyDescent="0.25"/>
  <cols>
    <col min="2" max="2" width="11" bestFit="1" customWidth="1"/>
    <col min="13" max="13" width="11" bestFit="1" customWidth="1"/>
    <col min="14" max="14" width="12.28515625" bestFit="1" customWidth="1"/>
    <col min="15" max="15" width="12.85546875" bestFit="1" customWidth="1"/>
    <col min="16" max="18" width="12.28515625" bestFit="1" customWidth="1"/>
    <col min="19" max="19" width="11" bestFit="1" customWidth="1"/>
    <col min="20" max="22" width="12.28515625" bestFit="1" customWidth="1"/>
    <col min="23" max="25" width="13" bestFit="1" customWidth="1"/>
  </cols>
  <sheetData>
    <row r="1" spans="1:25" ht="15.75" x14ac:dyDescent="0.25">
      <c r="A1" s="60" t="s">
        <v>12</v>
      </c>
      <c r="B1" s="60"/>
    </row>
    <row r="2" spans="1:25" x14ac:dyDescent="0.25">
      <c r="A2" s="1" t="s">
        <v>1</v>
      </c>
      <c r="B2" s="27">
        <v>67</v>
      </c>
    </row>
    <row r="3" spans="1:25" x14ac:dyDescent="0.25">
      <c r="A3" s="1" t="s">
        <v>13</v>
      </c>
      <c r="B3" s="27">
        <v>54</v>
      </c>
    </row>
    <row r="4" spans="1:25" x14ac:dyDescent="0.25">
      <c r="A4" s="1" t="s">
        <v>14</v>
      </c>
      <c r="B4" s="27">
        <f>1/12</f>
        <v>8.3333333333333329E-2</v>
      </c>
    </row>
    <row r="5" spans="1:25" x14ac:dyDescent="0.25">
      <c r="A5" s="1" t="s">
        <v>3</v>
      </c>
      <c r="B5" s="27">
        <v>0.2</v>
      </c>
    </row>
    <row r="6" spans="1:25" x14ac:dyDescent="0.25">
      <c r="A6" s="1" t="s">
        <v>15</v>
      </c>
      <c r="B6" s="27">
        <f>3/12</f>
        <v>0.25</v>
      </c>
    </row>
    <row r="7" spans="1:25" x14ac:dyDescent="0.25">
      <c r="A7" s="1" t="s">
        <v>6</v>
      </c>
      <c r="B7" s="27">
        <v>1.6E-2</v>
      </c>
    </row>
    <row r="9" spans="1:25" ht="15.75" x14ac:dyDescent="0.25">
      <c r="M9" s="46" t="s">
        <v>0</v>
      </c>
      <c r="N9" s="46" t="s">
        <v>16</v>
      </c>
      <c r="O9" s="46" t="s">
        <v>17</v>
      </c>
      <c r="P9" s="46" t="s">
        <v>18</v>
      </c>
      <c r="Q9" s="46" t="s">
        <v>19</v>
      </c>
      <c r="R9" s="46" t="s">
        <v>20</v>
      </c>
      <c r="S9" s="46" t="s">
        <v>21</v>
      </c>
      <c r="T9" s="46" t="s">
        <v>22</v>
      </c>
      <c r="U9" s="46" t="s">
        <v>23</v>
      </c>
      <c r="V9" s="46" t="s">
        <v>24</v>
      </c>
      <c r="W9" s="46" t="s">
        <v>117</v>
      </c>
      <c r="X9" s="46" t="s">
        <v>118</v>
      </c>
      <c r="Y9" s="46" t="s">
        <v>119</v>
      </c>
    </row>
    <row r="10" spans="1:25" x14ac:dyDescent="0.25">
      <c r="M10">
        <v>21</v>
      </c>
      <c r="N10" s="15" cm="1">
        <f t="array" ref="N10">BSGreeks(M10,$B$2,$B$6,$B$7,$B$5,"Delta")</f>
        <v>5.7591343592470596E-31</v>
      </c>
      <c r="O10" s="15" cm="1">
        <f t="array" ref="O10">BSGreeks(M10,$B$3,$B$4,$B$7,$B$5,"Delta") - 1</f>
        <v>-1</v>
      </c>
      <c r="P10" s="15" cm="1">
        <f t="array" ref="P10">BSGreeksRR(M10,$B$2,$B$3,$B$6,$B$4,$B$7,$B$5,"Delta")</f>
        <v>1</v>
      </c>
      <c r="Q10" s="15" cm="1">
        <f t="array" ref="Q10">BSGreeks(M10,$B$2,$B$6,$B$7,$B$5,"Gamma")</f>
        <v>3.1804972543595786E-30</v>
      </c>
      <c r="R10" s="15" cm="1">
        <f t="array" ref="R10">BSGreeks(M10,$B$3,$B$4,$B$7,$B$5,"Gamma")</f>
        <v>5.9802155643803699E-59</v>
      </c>
      <c r="S10" s="15" cm="1">
        <f t="array" ref="S10">BSGreeksRR(M10,$B$2,$B$3,$B$6,$B$4,$B$7,$B$5,"Gamma")</f>
        <v>3.1804972543595786E-30</v>
      </c>
      <c r="T10" s="15" cm="1">
        <f t="array" ref="T10">BSGreeks(M10,$B$2,$B$6,$B$7,$B$5,"Vega")</f>
        <v>7.0129964458628712E-29</v>
      </c>
      <c r="U10" s="15" cm="1">
        <f t="array" ref="U10">BSGreeks(M10,$B$3,$B$4,$B$7,$B$5,"Vega")</f>
        <v>4.395458439819572E-58</v>
      </c>
      <c r="V10" s="15" cm="1">
        <f t="array" ref="V10">BSGreeksRR(M10,$B$2,$B$3,$B$6,$B$4,$B$7,$B$5,"Vega")</f>
        <v>7.0129964458628712E-29</v>
      </c>
      <c r="W10" s="15" cm="1">
        <f t="array" ref="W10">BSGreeks(M10,$B$2,$B$6,$B$7,$B$5,"Theta")</f>
        <v>-5.6105868353386647E-29</v>
      </c>
      <c r="X10" s="15" cm="1">
        <f t="array" ref="X10">BSGreeks(M10,$B$3,$B$4,$B$7,$B$5,"Theta")</f>
        <v>-2.378410647815857E-57</v>
      </c>
      <c r="Y10" s="15" cm="1">
        <f t="array" ref="Y10">BSGreeksRR(M10,$B$2,$B$3,$B$6,$B$4,$B$7,$B$5,"Theta")</f>
        <v>-5.6295835947083174E-29</v>
      </c>
    </row>
    <row r="11" spans="1:25" x14ac:dyDescent="0.25">
      <c r="M11">
        <v>22</v>
      </c>
      <c r="N11" s="15" cm="1">
        <f t="array" ref="N11">BSGreeks(M11,$B$2,$B$6,$B$7,$B$5,"Delta")</f>
        <v>1.1396227298998109E-28</v>
      </c>
      <c r="O11" s="15" cm="1">
        <f t="array" ref="O11">BSGreeks(M11,$B$3,$B$4,$B$7,$B$5,"Delta") - 1</f>
        <v>-1</v>
      </c>
      <c r="P11" s="15" cm="1">
        <f t="array" ref="P11">BSGreeksRR(M11,$B$2,$B$3,$B$6,$B$4,$B$7,$B$5,"Delta")</f>
        <v>1</v>
      </c>
      <c r="Q11" s="15" cm="1">
        <f t="array" ref="Q11">BSGreeks(M11,$B$2,$B$6,$B$7,$B$5,"Gamma")</f>
        <v>5.7683567300123383E-28</v>
      </c>
      <c r="R11" s="15" cm="1">
        <f t="array" ref="R11">BSGreeks(M11,$B$3,$B$4,$B$7,$B$5,"Gamma")</f>
        <v>2.0977217858268408E-53</v>
      </c>
      <c r="S11" s="15" cm="1">
        <f t="array" ref="S11">BSGreeksRR(M11,$B$2,$B$3,$B$6,$B$4,$B$7,$B$5,"Gamma")</f>
        <v>5.7683567300123383E-28</v>
      </c>
      <c r="T11" s="15" cm="1">
        <f t="array" ref="T11">BSGreeks(M11,$B$2,$B$6,$B$7,$B$5,"Vega")</f>
        <v>1.395942328662986E-26</v>
      </c>
      <c r="U11" s="15" cm="1">
        <f t="array" ref="U11">BSGreeks(M11,$B$3,$B$4,$B$7,$B$5,"Vega")</f>
        <v>1.6921622405669848E-52</v>
      </c>
      <c r="V11" s="15" cm="1">
        <f t="array" ref="V11">BSGreeksRR(M11,$B$2,$B$3,$B$6,$B$4,$B$7,$B$5,"Vega")</f>
        <v>1.395942328662986E-26</v>
      </c>
      <c r="W11" s="15" cm="1">
        <f t="array" ref="W11">BSGreeks(M11,$B$2,$B$6,$B$7,$B$5,"Theta")</f>
        <v>-1.1371543681263659E-26</v>
      </c>
      <c r="X11" s="15" cm="1">
        <f t="array" ref="X11">BSGreeks(M11,$B$3,$B$4,$B$7,$B$5,"Theta")</f>
        <v>-7.0341918532767196E-52</v>
      </c>
      <c r="Y11" s="15" cm="1">
        <f t="array" ref="Y11">BSGreeksRR(M11,$B$2,$B$3,$B$6,$B$4,$B$7,$B$5,"Theta")</f>
        <v>-1.1207299059890287E-26</v>
      </c>
    </row>
    <row r="12" spans="1:25" x14ac:dyDescent="0.25">
      <c r="M12">
        <v>23</v>
      </c>
      <c r="N12" s="15" cm="1">
        <f t="array" ref="N12">BSGreeks(M12,$B$2,$B$6,$B$7,$B$5,"Delta")</f>
        <v>1.4586233224791101E-26</v>
      </c>
      <c r="O12" s="15" cm="1">
        <f t="array" ref="O12">BSGreeks(M12,$B$3,$B$4,$B$7,$B$5,"Delta") - 1</f>
        <v>-1</v>
      </c>
      <c r="P12" s="15" cm="1">
        <f t="array" ref="P12">BSGreeksRR(M12,$B$2,$B$3,$B$6,$B$4,$B$7,$B$5,"Delta")</f>
        <v>1</v>
      </c>
      <c r="Q12" s="15" cm="1">
        <f t="array" ref="Q12">BSGreeks(M12,$B$2,$B$6,$B$7,$B$5,"Gamma")</f>
        <v>6.7824068159081334E-26</v>
      </c>
      <c r="R12" s="15" cm="1">
        <f t="array" ref="R12">BSGreeks(M12,$B$3,$B$4,$B$7,$B$5,"Gamma")</f>
        <v>2.2741358858284328E-48</v>
      </c>
      <c r="S12" s="15" cm="1">
        <f t="array" ref="S12">BSGreeksRR(M12,$B$2,$B$3,$B$6,$B$4,$B$7,$B$5,"Gamma")</f>
        <v>6.7824068159081334E-26</v>
      </c>
      <c r="T12" s="15" cm="1">
        <f t="array" ref="T12">BSGreeks(M12,$B$2,$B$6,$B$7,$B$5,"Vega")</f>
        <v>1.7939466028077016E-24</v>
      </c>
      <c r="U12" s="15" cm="1">
        <f t="array" ref="U12">BSGreeks(M12,$B$3,$B$4,$B$7,$B$5,"Vega")</f>
        <v>2.0050298060054014E-47</v>
      </c>
      <c r="V12" s="15" cm="1">
        <f t="array" ref="V12">BSGreeksRR(M12,$B$2,$B$3,$B$6,$B$4,$B$7,$B$5,"Vega")</f>
        <v>1.7939466028077016E-24</v>
      </c>
      <c r="W12" s="15" cm="1">
        <f t="array" ref="W12">BSGreeks(M12,$B$2,$B$6,$B$7,$B$5,"Theta")</f>
        <v>-1.4353612872981211E-24</v>
      </c>
      <c r="X12" s="15" cm="1">
        <f t="array" ref="X12">BSGreeks(M12,$B$3,$B$4,$B$7,$B$5,"Theta")</f>
        <v>-8.3350691361252999E-47</v>
      </c>
      <c r="Y12" s="15" cm="1">
        <f t="array" ref="Y12">BSGreeksRR(M12,$B$2,$B$3,$B$6,$B$4,$B$7,$B$5,"Theta")</f>
        <v>-1.440475703236509E-24</v>
      </c>
    </row>
    <row r="13" spans="1:25" x14ac:dyDescent="0.25">
      <c r="M13">
        <v>24</v>
      </c>
      <c r="N13" s="15" cm="1">
        <f t="array" ref="N13">BSGreeks(M13,$B$2,$B$6,$B$7,$B$5,"Delta")</f>
        <v>1.2638526264550016E-24</v>
      </c>
      <c r="O13" s="15" cm="1">
        <f t="array" ref="O13">BSGreeks(M13,$B$3,$B$4,$B$7,$B$5,"Delta") - 1</f>
        <v>-1</v>
      </c>
      <c r="P13" s="15" cm="1">
        <f t="array" ref="P13">BSGreeksRR(M13,$B$2,$B$3,$B$6,$B$4,$B$7,$B$5,"Delta")</f>
        <v>1</v>
      </c>
      <c r="Q13" s="15" cm="1">
        <f t="array" ref="Q13">BSGreeks(M13,$B$2,$B$6,$B$7,$B$5,"Gamma")</f>
        <v>5.4097328618391525E-24</v>
      </c>
      <c r="R13" s="15" cm="1">
        <f t="array" ref="R13">BSGreeks(M13,$B$3,$B$4,$B$7,$B$5,"Gamma")</f>
        <v>8.6361581400486775E-44</v>
      </c>
      <c r="S13" s="15" cm="1">
        <f t="array" ref="S13">BSGreeksRR(M13,$B$2,$B$3,$B$6,$B$4,$B$7,$B$5,"Gamma")</f>
        <v>5.4097328618391525E-24</v>
      </c>
      <c r="T13" s="15" cm="1">
        <f t="array" ref="T13">BSGreeks(M13,$B$2,$B$6,$B$7,$B$5,"Vega")</f>
        <v>1.5580030642096761E-22</v>
      </c>
      <c r="U13" s="15" cm="1">
        <f t="array" ref="U13">BSGreeks(M13,$B$3,$B$4,$B$7,$B$5,"Vega")</f>
        <v>8.2907118144467307E-43</v>
      </c>
      <c r="V13" s="15" cm="1">
        <f t="array" ref="V13">BSGreeksRR(M13,$B$2,$B$3,$B$6,$B$4,$B$7,$B$5,"Vega")</f>
        <v>1.5580030642096761E-22</v>
      </c>
      <c r="W13" s="15" cm="1">
        <f t="array" ref="W13">BSGreeks(M13,$B$2,$B$6,$B$7,$B$5,"Theta")</f>
        <v>-1.3277611890972263E-22</v>
      </c>
      <c r="X13" s="15" cm="1">
        <f t="array" ref="X13">BSGreeks(M13,$B$3,$B$4,$B$7,$B$5,"Theta")</f>
        <v>-3.4531088260881343E-42</v>
      </c>
      <c r="Y13" s="15" cm="1">
        <f t="array" ref="Y13">BSGreeksRR(M13,$B$2,$B$3,$B$6,$B$4,$B$7,$B$5,"Theta")</f>
        <v>-1.2512092774957171E-22</v>
      </c>
    </row>
    <row r="14" spans="1:25" x14ac:dyDescent="0.25">
      <c r="M14">
        <v>25</v>
      </c>
      <c r="N14" s="15" cm="1">
        <f t="array" ref="N14">BSGreeks(M14,$B$2,$B$6,$B$7,$B$5,"Delta")</f>
        <v>7.7107714281651845E-23</v>
      </c>
      <c r="O14" s="15" cm="1">
        <f t="array" ref="O14">BSGreeks(M14,$B$3,$B$4,$B$7,$B$5,"Delta") - 1</f>
        <v>-1</v>
      </c>
      <c r="P14" s="15" cm="1">
        <f t="array" ref="P14">BSGreeksRR(M14,$B$2,$B$3,$B$6,$B$4,$B$7,$B$5,"Delta")</f>
        <v>1</v>
      </c>
      <c r="Q14" s="15" cm="1">
        <f t="array" ref="Q14">BSGreeks(M14,$B$2,$B$6,$B$7,$B$5,"Gamma")</f>
        <v>3.0437499082458714E-22</v>
      </c>
      <c r="R14" s="15" cm="1">
        <f t="array" ref="R14">BSGreeks(M14,$B$3,$B$4,$B$7,$B$5,"Gamma")</f>
        <v>1.2797208100168018E-39</v>
      </c>
      <c r="S14" s="15" cm="1">
        <f t="array" ref="S14">BSGreeksRR(M14,$B$2,$B$3,$B$6,$B$4,$B$7,$B$5,"Gamma")</f>
        <v>3.0437499082458714E-22</v>
      </c>
      <c r="T14" s="15" cm="1">
        <f t="array" ref="T14">BSGreeks(M14,$B$2,$B$6,$B$7,$B$5,"Vega")</f>
        <v>9.5117184632683494E-21</v>
      </c>
      <c r="U14" s="15" cm="1">
        <f t="array" ref="U14">BSGreeks(M14,$B$3,$B$4,$B$7,$B$5,"Vega")</f>
        <v>1.3330425104341684E-38</v>
      </c>
      <c r="V14" s="15" cm="1">
        <f t="array" ref="V14">BSGreeksRR(M14,$B$2,$B$3,$B$6,$B$4,$B$7,$B$5,"Vega")</f>
        <v>9.5117184632683494E-21</v>
      </c>
      <c r="W14" s="15" cm="1">
        <f t="array" ref="W14">BSGreeks(M14,$B$2,$B$6,$B$7,$B$5,"Theta")</f>
        <v>-7.6175106443876282E-21</v>
      </c>
      <c r="X14" s="15" cm="1">
        <f t="array" ref="X14">BSGreeks(M14,$B$3,$B$4,$B$7,$B$5,"Theta")</f>
        <v>-6.0691724325025113E-38</v>
      </c>
      <c r="Y14" s="15" cm="1">
        <f t="array" ref="Y14">BSGreeksRR(M14,$B$2,$B$3,$B$6,$B$4,$B$7,$B$5,"Theta")</f>
        <v>-7.639911446411306E-21</v>
      </c>
    </row>
    <row r="15" spans="1:25" x14ac:dyDescent="0.25">
      <c r="M15">
        <v>26</v>
      </c>
      <c r="N15" s="15" cm="1">
        <f t="array" ref="N15">BSGreeks(M15,$B$2,$B$6,$B$7,$B$5,"Delta")</f>
        <v>3.4274276285077397E-21</v>
      </c>
      <c r="O15" s="15" cm="1">
        <f t="array" ref="O15">BSGreeks(M15,$B$3,$B$4,$B$7,$B$5,"Delta") - 1</f>
        <v>-1</v>
      </c>
      <c r="P15" s="15" cm="1">
        <f t="array" ref="P15">BSGreeksRR(M15,$B$2,$B$3,$B$6,$B$4,$B$7,$B$5,"Delta")</f>
        <v>1</v>
      </c>
      <c r="Q15" s="15" cm="1">
        <f t="array" ref="Q15">BSGreeks(M15,$B$2,$B$6,$B$7,$B$5,"Gamma")</f>
        <v>1.2497347036118387E-20</v>
      </c>
      <c r="R15" s="15" cm="1">
        <f t="array" ref="R15">BSGreeks(M15,$B$3,$B$4,$B$7,$B$5,"Gamma")</f>
        <v>8.1245126915501319E-36</v>
      </c>
      <c r="S15" s="15" cm="1">
        <f t="array" ref="S15">BSGreeksRR(M15,$B$2,$B$3,$B$6,$B$4,$B$7,$B$5,"Gamma")</f>
        <v>1.2497347036118379E-20</v>
      </c>
      <c r="T15" s="15" cm="1">
        <f t="array" ref="T15">BSGreeks(M15,$B$2,$B$6,$B$7,$B$5,"Vega")</f>
        <v>4.2241032982080149E-19</v>
      </c>
      <c r="U15" s="15" cm="1">
        <f t="array" ref="U15">BSGreeks(M15,$B$3,$B$4,$B$7,$B$5,"Vega")</f>
        <v>9.1536176324798155E-35</v>
      </c>
      <c r="V15" s="15" cm="1">
        <f t="array" ref="V15">BSGreeksRR(M15,$B$2,$B$3,$B$6,$B$4,$B$7,$B$5,"Vega")</f>
        <v>4.2241032982080139E-19</v>
      </c>
      <c r="W15" s="15" cm="1">
        <f t="array" ref="W15">BSGreeks(M15,$B$2,$B$6,$B$7,$B$5,"Theta")</f>
        <v>-4.5842996885462225E-19</v>
      </c>
      <c r="X15" s="15" cm="1">
        <f t="array" ref="X15">BSGreeks(M15,$B$3,$B$4,$B$7,$B$5,"Theta")</f>
        <v>-3.8051401768808487E-34</v>
      </c>
      <c r="Y15" s="15" cm="1">
        <f t="array" ref="Y15">BSGreeksRR(M15,$B$2,$B$3,$B$6,$B$4,$B$7,$B$5,"Theta")</f>
        <v>-3.3933934657728726E-19</v>
      </c>
    </row>
    <row r="16" spans="1:25" x14ac:dyDescent="0.25">
      <c r="M16">
        <v>27</v>
      </c>
      <c r="N16" s="15" cm="1">
        <f t="array" ref="N16">BSGreeks(M16,$B$2,$B$6,$B$7,$B$5,"Delta")</f>
        <v>1.1435132953308493E-19</v>
      </c>
      <c r="O16" s="15" cm="1">
        <f t="array" ref="O16">BSGreeks(M16,$B$3,$B$4,$B$7,$B$5,"Delta") - 1</f>
        <v>-1</v>
      </c>
      <c r="P16" s="15" cm="1">
        <f t="array" ref="P16">BSGreeksRR(M16,$B$2,$B$3,$B$6,$B$4,$B$7,$B$5,"Delta")</f>
        <v>1</v>
      </c>
      <c r="Q16" s="15" cm="1">
        <f t="array" ref="Q16">BSGreeks(M16,$B$2,$B$6,$B$7,$B$5,"Gamma")</f>
        <v>3.8570691809072226E-19</v>
      </c>
      <c r="R16" s="15" cm="1">
        <f t="array" ref="R16">BSGreeks(M16,$B$3,$B$4,$B$7,$B$5,"Gamma")</f>
        <v>2.3973625335132661E-32</v>
      </c>
      <c r="S16" s="15" cm="1">
        <f t="array" ref="S16">BSGreeksRR(M16,$B$2,$B$3,$B$6,$B$4,$B$7,$B$5,"Gamma")</f>
        <v>3.8570691809069828E-19</v>
      </c>
      <c r="T16" s="15" cm="1">
        <f t="array" ref="T16">BSGreeks(M16,$B$2,$B$6,$B$7,$B$5,"Vega")</f>
        <v>1.4059017164406826E-17</v>
      </c>
      <c r="U16" s="15" cm="1">
        <f t="array" ref="U16">BSGreeks(M16,$B$3,$B$4,$B$7,$B$5,"Vega")</f>
        <v>2.912795478218618E-31</v>
      </c>
      <c r="V16" s="15" cm="1">
        <f t="array" ref="V16">BSGreeksRR(M16,$B$2,$B$3,$B$6,$B$4,$B$7,$B$5,"Vega")</f>
        <v>1.4059017164406537E-17</v>
      </c>
      <c r="W16" s="15" cm="1">
        <f t="array" ref="W16">BSGreeks(M16,$B$2,$B$6,$B$7,$B$5,"Theta")</f>
        <v>-1.1367715436523444E-17</v>
      </c>
      <c r="X16" s="15" cm="1">
        <f t="array" ref="X16">BSGreeks(M16,$B$3,$B$4,$B$7,$B$5,"Theta")</f>
        <v>-1.2123591778807419E-30</v>
      </c>
      <c r="Y16" s="15" cm="1">
        <f t="array" ref="Y16">BSGreeksRR(M16,$B$2,$B$3,$B$6,$B$4,$B$7,$B$5,"Theta")</f>
        <v>-1.1296083016518278E-17</v>
      </c>
    </row>
    <row r="17" spans="13:25" x14ac:dyDescent="0.25">
      <c r="M17">
        <v>28</v>
      </c>
      <c r="N17" s="15" cm="1">
        <f t="array" ref="N17">BSGreeks(M17,$B$2,$B$6,$B$7,$B$5,"Delta")</f>
        <v>2.9394078212963496E-18</v>
      </c>
      <c r="O17" s="15" cm="1">
        <f t="array" ref="O17">BSGreeks(M17,$B$3,$B$4,$B$7,$B$5,"Delta") - 1</f>
        <v>-1</v>
      </c>
      <c r="P17" s="15" cm="1">
        <f t="array" ref="P17">BSGreeksRR(M17,$B$2,$B$3,$B$6,$B$4,$B$7,$B$5,"Delta")</f>
        <v>1</v>
      </c>
      <c r="Q17" s="15" cm="1">
        <f t="array" ref="Q17">BSGreeks(M17,$B$2,$B$6,$B$7,$B$5,"Gamma")</f>
        <v>9.1833125673201589E-18</v>
      </c>
      <c r="R17" s="15" cm="1">
        <f t="array" ref="R17">BSGreeks(M17,$B$3,$B$4,$B$7,$B$5,"Gamma")</f>
        <v>3.5309380091186002E-29</v>
      </c>
      <c r="S17" s="15" cm="1">
        <f t="array" ref="S17">BSGreeksRR(M17,$B$2,$B$3,$B$6,$B$4,$B$7,$B$5,"Gamma")</f>
        <v>9.1833125672848482E-18</v>
      </c>
      <c r="T17" s="15" cm="1">
        <f t="array" ref="T17">BSGreeks(M17,$B$2,$B$6,$B$7,$B$5,"Vega")</f>
        <v>3.5998585263895022E-16</v>
      </c>
      <c r="U17" s="15" cm="1">
        <f t="array" ref="U17">BSGreeks(M17,$B$3,$B$4,$B$7,$B$5,"Vega")</f>
        <v>4.6137589985816371E-28</v>
      </c>
      <c r="V17" s="15" cm="1">
        <f t="array" ref="V17">BSGreeksRR(M17,$B$2,$B$3,$B$6,$B$4,$B$7,$B$5,"Vega")</f>
        <v>3.5998585263848884E-16</v>
      </c>
      <c r="W17" s="15" cm="1">
        <f t="array" ref="W17">BSGreeks(M17,$B$2,$B$6,$B$7,$B$5,"Theta")</f>
        <v>-2.8810918381615818E-16</v>
      </c>
      <c r="X17" s="15" cm="1">
        <f t="array" ref="X17">BSGreeks(M17,$B$3,$B$4,$B$7,$B$5,"Theta")</f>
        <v>-2.0827646257883224E-27</v>
      </c>
      <c r="Y17" s="15" cm="1">
        <f t="array" ref="Y17">BSGreeksRR(M17,$B$2,$B$3,$B$6,$B$4,$B$7,$B$5,"Theta")</f>
        <v>-2.8929083447016148E-16</v>
      </c>
    </row>
    <row r="18" spans="13:25" x14ac:dyDescent="0.25">
      <c r="M18">
        <v>29</v>
      </c>
      <c r="N18" s="15" cm="1">
        <f t="array" ref="N18">BSGreeks(M18,$B$2,$B$6,$B$7,$B$5,"Delta")</f>
        <v>5.9568870125313408E-17</v>
      </c>
      <c r="O18" s="15" cm="1">
        <f t="array" ref="O18">BSGreeks(M18,$B$3,$B$4,$B$7,$B$5,"Delta") - 1</f>
        <v>-1</v>
      </c>
      <c r="P18" s="15" cm="1">
        <f t="array" ref="P18">BSGreeksRR(M18,$B$2,$B$3,$B$6,$B$4,$B$7,$B$5,"Delta")</f>
        <v>1</v>
      </c>
      <c r="Q18" s="15" cm="1">
        <f t="array" ref="Q18">BSGreeks(M18,$B$2,$B$6,$B$7,$B$5,"Gamma")</f>
        <v>1.7257300579050638E-16</v>
      </c>
      <c r="R18" s="15" cm="1">
        <f t="array" ref="R18">BSGreeks(M18,$B$3,$B$4,$B$7,$B$5,"Gamma")</f>
        <v>2.7637899059631329E-26</v>
      </c>
      <c r="S18" s="15" cm="1">
        <f t="array" ref="S18">BSGreeksRR(M18,$B$2,$B$3,$B$6,$B$4,$B$7,$B$5,"Gamma")</f>
        <v>1.7257300576286847E-16</v>
      </c>
      <c r="T18" s="15" cm="1">
        <f t="array" ref="T18">BSGreeks(M18,$B$2,$B$6,$B$7,$B$5,"Vega")</f>
        <v>7.2566948934907938E-15</v>
      </c>
      <c r="U18" s="15" cm="1">
        <f t="array" ref="U18">BSGreeks(M18,$B$3,$B$4,$B$7,$B$5,"Vega")</f>
        <v>3.8739121848583243E-25</v>
      </c>
      <c r="V18" s="15" cm="1">
        <f t="array" ref="V18">BSGreeksRR(M18,$B$2,$B$3,$B$6,$B$4,$B$7,$B$5,"Vega")</f>
        <v>7.2566948931034016E-15</v>
      </c>
      <c r="W18" s="15" cm="1">
        <f t="array" ref="W18">BSGreeks(M18,$B$2,$B$6,$B$7,$B$5,"Theta")</f>
        <v>-6.469580668449753E-15</v>
      </c>
      <c r="X18" s="15" cm="1">
        <f t="array" ref="X18">BSGreeks(M18,$B$3,$B$4,$B$7,$B$5,"Theta")</f>
        <v>-1.6105199158022732E-24</v>
      </c>
      <c r="Y18" s="15" cm="1">
        <f t="array" ref="Y18">BSGreeksRR(M18,$B$2,$B$3,$B$6,$B$4,$B$7,$B$5,"Theta")</f>
        <v>-5.8326750154100176E-15</v>
      </c>
    </row>
    <row r="19" spans="13:25" x14ac:dyDescent="0.25">
      <c r="M19">
        <v>30</v>
      </c>
      <c r="N19" s="15" cm="1">
        <f t="array" ref="N19">BSGreeks(M19,$B$2,$B$6,$B$7,$B$5,"Delta")</f>
        <v>9.7132701883341247E-16</v>
      </c>
      <c r="O19" s="15" cm="1">
        <f t="array" ref="O19">BSGreeks(M19,$B$3,$B$4,$B$7,$B$5,"Delta") - 1</f>
        <v>-1</v>
      </c>
      <c r="P19" s="15" cm="1">
        <f t="array" ref="P19">BSGreeksRR(M19,$B$2,$B$3,$B$6,$B$4,$B$7,$B$5,"Delta")</f>
        <v>1.0000000000000009</v>
      </c>
      <c r="Q19" s="15" cm="1">
        <f t="array" ref="Q19">BSGreeks(M19,$B$2,$B$6,$B$7,$B$5,"Gamma")</f>
        <v>2.611935283109956E-15</v>
      </c>
      <c r="R19" s="15" cm="1">
        <f t="array" ref="R19">BSGreeks(M19,$B$3,$B$4,$B$7,$B$5,"Gamma")</f>
        <v>1.2151845329397775E-23</v>
      </c>
      <c r="S19" s="15" cm="1">
        <f t="array" ref="S19">BSGreeksRR(M19,$B$2,$B$3,$B$6,$B$4,$B$7,$B$5,"Gamma")</f>
        <v>2.6119352709581107E-15</v>
      </c>
      <c r="T19" s="15" cm="1">
        <f t="array" ref="T19">BSGreeks(M19,$B$2,$B$6,$B$7,$B$5,"Vega")</f>
        <v>1.1753708773994802E-13</v>
      </c>
      <c r="U19" s="15" cm="1">
        <f t="array" ref="U19">BSGreeks(M19,$B$3,$B$4,$B$7,$B$5,"Vega")</f>
        <v>1.8227767994096661E-22</v>
      </c>
      <c r="V19" s="15" cm="1">
        <f t="array" ref="V19">BSGreeksRR(M19,$B$2,$B$3,$B$6,$B$4,$B$7,$B$5,"Vega")</f>
        <v>1.1753708755767033E-13</v>
      </c>
      <c r="W19" s="15" cm="1">
        <f t="array" ref="W19">BSGreeks(M19,$B$2,$B$6,$B$7,$B$5,"Theta")</f>
        <v>-9.4693894945615536E-14</v>
      </c>
      <c r="X19" s="15" cm="1">
        <f t="array" ref="X19">BSGreeks(M19,$B$3,$B$4,$B$7,$B$5,"Theta")</f>
        <v>-7.6428886737611615E-22</v>
      </c>
      <c r="Y19" s="15" cm="1">
        <f t="array" ref="Y19">BSGreeksRR(M19,$B$2,$B$3,$B$6,$B$4,$B$7,$B$5,"Theta")</f>
        <v>-9.4490278578809887E-14</v>
      </c>
    </row>
    <row r="20" spans="13:25" x14ac:dyDescent="0.25">
      <c r="M20">
        <v>31</v>
      </c>
      <c r="N20" s="15" cm="1">
        <f t="array" ref="N20">BSGreeks(M20,$B$2,$B$6,$B$7,$B$5,"Delta")</f>
        <v>1.2976524081421492E-14</v>
      </c>
      <c r="O20" s="15" cm="1">
        <f t="array" ref="O20">BSGreeks(M20,$B$3,$B$4,$B$7,$B$5,"Delta") - 1</f>
        <v>-1</v>
      </c>
      <c r="P20" s="15" cm="1">
        <f t="array" ref="P20">BSGreeksRR(M20,$B$2,$B$3,$B$6,$B$4,$B$7,$B$5,"Delta")</f>
        <v>1.0000000000000129</v>
      </c>
      <c r="Q20" s="15" cm="1">
        <f t="array" ref="Q20">BSGreeks(M20,$B$2,$B$6,$B$7,$B$5,"Gamma")</f>
        <v>3.2416864458927056E-14</v>
      </c>
      <c r="R20" s="15" cm="1">
        <f t="array" ref="R20">BSGreeks(M20,$B$3,$B$4,$B$7,$B$5,"Gamma")</f>
        <v>3.1524357333386976E-21</v>
      </c>
      <c r="S20" s="15" cm="1">
        <f t="array" ref="S20">BSGreeksRR(M20,$B$2,$B$3,$B$6,$B$4,$B$7,$B$5,"Gamma")</f>
        <v>3.2416861306491324E-14</v>
      </c>
      <c r="T20" s="15" cm="1">
        <f t="array" ref="T20">BSGreeks(M20,$B$2,$B$6,$B$7,$B$5,"Vega")</f>
        <v>1.557630337251445E-12</v>
      </c>
      <c r="U20" s="15" cm="1">
        <f t="array" ref="U20">BSGreeks(M20,$B$3,$B$4,$B$7,$B$5,"Vega")</f>
        <v>5.0491512328974801E-20</v>
      </c>
      <c r="V20" s="15" cm="1">
        <f t="array" ref="V20">BSGreeksRR(M20,$B$2,$B$3,$B$6,$B$4,$B$7,$B$5,"Vega")</f>
        <v>1.5576302867599327E-12</v>
      </c>
      <c r="W20" s="15" cm="1">
        <f t="array" ref="W20">BSGreeks(M20,$B$2,$B$6,$B$7,$B$5,"Theta")</f>
        <v>-1.2467684945548133E-12</v>
      </c>
      <c r="X20" s="15" cm="1">
        <f t="array" ref="X20">BSGreeks(M20,$B$3,$B$4,$B$7,$B$5,"Theta")</f>
        <v>-2.0989585007225102E-19</v>
      </c>
      <c r="Y20" s="15" cm="1">
        <f t="array" ref="Y20">BSGreeksRR(M20,$B$2,$B$3,$B$6,$B$4,$B$7,$B$5,"Theta")</f>
        <v>-1.2524596180091227E-12</v>
      </c>
    </row>
    <row r="21" spans="13:25" x14ac:dyDescent="0.25">
      <c r="M21">
        <v>32</v>
      </c>
      <c r="N21" s="15" cm="1">
        <f t="array" ref="N21">BSGreeks(M21,$B$2,$B$6,$B$7,$B$5,"Delta")</f>
        <v>1.4434746158375465E-13</v>
      </c>
      <c r="O21" s="15" cm="1">
        <f t="array" ref="O21">BSGreeks(M21,$B$3,$B$4,$B$7,$B$5,"Delta") - 1</f>
        <v>-1</v>
      </c>
      <c r="P21" s="15" cm="1">
        <f t="array" ref="P21">BSGreeksRR(M21,$B$2,$B$3,$B$6,$B$4,$B$7,$B$5,"Delta")</f>
        <v>1.0000000000001443</v>
      </c>
      <c r="Q21" s="15" cm="1">
        <f t="array" ref="Q21">BSGreeks(M21,$B$2,$B$6,$B$7,$B$5,"Gamma")</f>
        <v>3.3523998452413933E-13</v>
      </c>
      <c r="R21" s="15" cm="1">
        <f t="array" ref="R21">BSGreeks(M21,$B$3,$B$4,$B$7,$B$5,"Gamma")</f>
        <v>5.0410475345423959E-19</v>
      </c>
      <c r="S21" s="15" cm="1">
        <f t="array" ref="S21">BSGreeksRR(M21,$B$2,$B$3,$B$6,$B$4,$B$7,$B$5,"Gamma")</f>
        <v>3.3523948041938591E-13</v>
      </c>
      <c r="T21" s="15" cm="1">
        <f t="array" ref="T21">BSGreeks(M21,$B$2,$B$6,$B$7,$B$5,"Vega")</f>
        <v>1.7164287207635935E-11</v>
      </c>
      <c r="U21" s="15" cm="1">
        <f t="array" ref="U21">BSGreeks(M21,$B$3,$B$4,$B$7,$B$5,"Vega")</f>
        <v>8.603387792285688E-18</v>
      </c>
      <c r="V21" s="15" cm="1">
        <f t="array" ref="V21">BSGreeksRR(M21,$B$2,$B$3,$B$6,$B$4,$B$7,$B$5,"Vega")</f>
        <v>1.7164278604248144E-11</v>
      </c>
      <c r="W21" s="15" cm="1">
        <f t="array" ref="W21">BSGreeks(M21,$B$2,$B$6,$B$7,$B$5,"Theta")</f>
        <v>-1.5097911938018951E-11</v>
      </c>
      <c r="X21" s="15" cm="1">
        <f t="array" ref="X21">BSGreeks(M21,$B$3,$B$4,$B$7,$B$5,"Theta")</f>
        <v>-3.5860991567823084E-17</v>
      </c>
      <c r="Y21" s="15" cm="1">
        <f t="array" ref="Y21">BSGreeksRR(M21,$B$2,$B$3,$B$6,$B$4,$B$7,$B$5,"Theta")</f>
        <v>-1.3804334905830219E-11</v>
      </c>
    </row>
    <row r="22" spans="13:25" x14ac:dyDescent="0.25">
      <c r="M22">
        <v>33</v>
      </c>
      <c r="N22" s="15" cm="1">
        <f t="array" ref="N22">BSGreeks(M22,$B$2,$B$6,$B$7,$B$5,"Delta")</f>
        <v>1.356418648617948E-12</v>
      </c>
      <c r="O22" s="15" cm="1">
        <f t="array" ref="O22">BSGreeks(M22,$B$3,$B$4,$B$7,$B$5,"Delta") - 1</f>
        <v>-1</v>
      </c>
      <c r="P22" s="15" cm="1">
        <f t="array" ref="P22">BSGreeksRR(M22,$B$2,$B$3,$B$6,$B$4,$B$7,$B$5,"Delta")</f>
        <v>1.0000000000013565</v>
      </c>
      <c r="Q22" s="15" cm="1">
        <f t="array" ref="Q22">BSGreeks(M22,$B$2,$B$6,$B$7,$B$5,"Gamma")</f>
        <v>2.9304994023942328E-12</v>
      </c>
      <c r="R22" s="15" cm="1">
        <f t="array" ref="R22">BSGreeks(M22,$B$3,$B$4,$B$7,$B$5,"Gamma")</f>
        <v>5.1670777882050543E-17</v>
      </c>
      <c r="S22" s="15" cm="1">
        <f t="array" ref="S22">BSGreeksRR(M22,$B$2,$B$3,$B$6,$B$4,$B$7,$B$5,"Gamma")</f>
        <v>2.9304477316163505E-12</v>
      </c>
      <c r="T22" s="15" cm="1">
        <f t="array" ref="T22">BSGreeks(M22,$B$2,$B$6,$B$7,$B$5,"Vega")</f>
        <v>1.5956569246036597E-10</v>
      </c>
      <c r="U22" s="15" cm="1">
        <f t="array" ref="U22">BSGreeks(M22,$B$3,$B$4,$B$7,$B$5,"Vega")</f>
        <v>9.3782461855921742E-16</v>
      </c>
      <c r="V22" s="15" cm="1">
        <f t="array" ref="V22">BSGreeksRR(M22,$B$2,$B$3,$B$6,$B$4,$B$7,$B$5,"Vega")</f>
        <v>1.5956475463574743E-10</v>
      </c>
      <c r="W22" s="15" cm="1">
        <f t="array" ref="W22">BSGreeks(M22,$B$2,$B$6,$B$7,$B$5,"Theta")</f>
        <v>-1.29019036140203E-10</v>
      </c>
      <c r="X22" s="15" cm="1">
        <f t="array" ref="X22">BSGreeks(M22,$B$3,$B$4,$B$7,$B$5,"Theta")</f>
        <v>-3.8985611111518479E-15</v>
      </c>
      <c r="Y22" s="15" cm="1">
        <f t="array" ref="Y22">BSGreeksRR(M22,$B$2,$B$3,$B$6,$B$4,$B$7,$B$5,"Theta")</f>
        <v>-1.2835512069797992E-10</v>
      </c>
    </row>
    <row r="23" spans="13:25" x14ac:dyDescent="0.25">
      <c r="M23">
        <v>34</v>
      </c>
      <c r="N23" s="15" cm="1">
        <f t="array" ref="N23">BSGreeks(M23,$B$2,$B$6,$B$7,$B$5,"Delta")</f>
        <v>1.0908096465126871E-11</v>
      </c>
      <c r="O23" s="15" cm="1">
        <f t="array" ref="O23">BSGreeks(M23,$B$3,$B$4,$B$7,$B$5,"Delta") - 1</f>
        <v>-0.99999999999999911</v>
      </c>
      <c r="P23" s="15" cm="1">
        <f t="array" ref="P23">BSGreeksRR(M23,$B$2,$B$3,$B$6,$B$4,$B$7,$B$5,"Delta")</f>
        <v>1.0000000000109073</v>
      </c>
      <c r="Q23" s="15" cm="1">
        <f t="array" ref="Q23">BSGreeks(M23,$B$2,$B$6,$B$7,$B$5,"Gamma")</f>
        <v>2.1933924371311165E-11</v>
      </c>
      <c r="R23" s="15" cm="1">
        <f t="array" ref="R23">BSGreeks(M23,$B$3,$B$4,$B$7,$B$5,"Gamma")</f>
        <v>3.5159202066809345E-15</v>
      </c>
      <c r="S23" s="15" cm="1">
        <f t="array" ref="S23">BSGreeksRR(M23,$B$2,$B$3,$B$6,$B$4,$B$7,$B$5,"Gamma")</f>
        <v>2.1930408451104484E-11</v>
      </c>
      <c r="T23" s="15" cm="1">
        <f t="array" ref="T23">BSGreeks(M23,$B$2,$B$6,$B$7,$B$5,"Vega")</f>
        <v>1.2677808286617855E-9</v>
      </c>
      <c r="U23" s="15" cm="1">
        <f t="array" ref="U23">BSGreeks(M23,$B$3,$B$4,$B$7,$B$5,"Vega")</f>
        <v>6.7740062648719335E-14</v>
      </c>
      <c r="V23" s="15" cm="1">
        <f t="array" ref="V23">BSGreeksRR(M23,$B$2,$B$3,$B$6,$B$4,$B$7,$B$5,"Vega")</f>
        <v>1.2677130885991368E-9</v>
      </c>
      <c r="W23" s="15" cm="1">
        <f t="array" ref="W23">BSGreeks(M23,$B$2,$B$6,$B$7,$B$5,"Theta")</f>
        <v>-1.0155911451013386E-9</v>
      </c>
      <c r="X23" s="15" cm="1">
        <f t="array" ref="X23">BSGreeks(M23,$B$3,$B$4,$B$7,$B$5,"Theta")</f>
        <v>-2.8212692733367005E-13</v>
      </c>
      <c r="Y23" s="15" cm="1">
        <f t="array" ref="Y23">BSGreeksRR(M23,$B$2,$B$3,$B$6,$B$4,$B$7,$B$5,"Theta")</f>
        <v>-1.0197936401581684E-9</v>
      </c>
    </row>
    <row r="24" spans="13:25" x14ac:dyDescent="0.25">
      <c r="M24">
        <v>35</v>
      </c>
      <c r="N24" s="15" cm="1">
        <f t="array" ref="N24">BSGreeks(M24,$B$2,$B$6,$B$7,$B$5,"Delta")</f>
        <v>7.595450905622205E-11</v>
      </c>
      <c r="O24" s="15" cm="1">
        <f t="array" ref="O24">BSGreeks(M24,$B$3,$B$4,$B$7,$B$5,"Delta") - 1</f>
        <v>-0.99999999999995637</v>
      </c>
      <c r="P24" s="15" cm="1">
        <f t="array" ref="P24">BSGreeksRR(M24,$B$2,$B$3,$B$6,$B$4,$B$7,$B$5,"Delta")</f>
        <v>1.0000000000759108</v>
      </c>
      <c r="Q24" s="15" cm="1">
        <f t="array" ref="Q24">BSGreeks(M24,$B$2,$B$6,$B$7,$B$5,"Gamma")</f>
        <v>1.4220390417629947E-10</v>
      </c>
      <c r="R24" s="15" cm="1">
        <f t="array" ref="R24">BSGreeks(M24,$B$3,$B$4,$B$7,$B$5,"Gamma")</f>
        <v>1.6390357397444026E-13</v>
      </c>
      <c r="S24" s="15" cm="1">
        <f t="array" ref="S24">BSGreeksRR(M24,$B$2,$B$3,$B$6,$B$4,$B$7,$B$5,"Gamma")</f>
        <v>1.4204000060232504E-10</v>
      </c>
      <c r="T24" s="15" cm="1">
        <f t="array" ref="T24">BSGreeks(M24,$B$2,$B$6,$B$7,$B$5,"Vega")</f>
        <v>8.7099891307983427E-9</v>
      </c>
      <c r="U24" s="15" cm="1">
        <f t="array" ref="U24">BSGreeks(M24,$B$3,$B$4,$B$7,$B$5,"Vega")</f>
        <v>3.3463646353114882E-12</v>
      </c>
      <c r="V24" s="15" cm="1">
        <f t="array" ref="V24">BSGreeksRR(M24,$B$2,$B$3,$B$6,$B$4,$B$7,$B$5,"Vega")</f>
        <v>8.7066427661630323E-9</v>
      </c>
      <c r="W24" s="15" cm="1">
        <f t="array" ref="W24">BSGreeks(M24,$B$2,$B$6,$B$7,$B$5,"Theta")</f>
        <v>-6.9693577868105854E-9</v>
      </c>
      <c r="X24" s="15" cm="1">
        <f t="array" ref="X24">BSGreeks(M24,$B$3,$B$4,$B$7,$B$5,"Theta")</f>
        <v>-1.3911113340443387E-11</v>
      </c>
      <c r="Y24" s="15" cm="1">
        <f t="array" ref="Y24">BSGreeksRR(M24,$B$2,$B$3,$B$6,$B$4,$B$7,$B$5,"Theta")</f>
        <v>-6.9960134628905175E-9</v>
      </c>
    </row>
    <row r="25" spans="13:25" x14ac:dyDescent="0.25">
      <c r="M25">
        <v>36</v>
      </c>
      <c r="N25" s="15" cm="1">
        <f t="array" ref="N25">BSGreeks(M25,$B$2,$B$6,$B$7,$B$5,"Delta")</f>
        <v>4.6280412102343339E-10</v>
      </c>
      <c r="O25" s="15" cm="1">
        <f t="array" ref="O25">BSGreeks(M25,$B$3,$B$4,$B$7,$B$5,"Delta") - 1</f>
        <v>-0.99999999999842537</v>
      </c>
      <c r="P25" s="15" cm="1">
        <f t="array" ref="P25">BSGreeksRR(M25,$B$2,$B$3,$B$6,$B$4,$B$7,$B$5,"Delta")</f>
        <v>1.0000000004612295</v>
      </c>
      <c r="Q25" s="15" cm="1">
        <f t="array" ref="Q25">BSGreeks(M25,$B$2,$B$6,$B$7,$B$5,"Gamma")</f>
        <v>8.0699539004609789E-10</v>
      </c>
      <c r="R25" s="15" cm="1">
        <f t="array" ref="R25">BSGreeks(M25,$B$3,$B$4,$B$7,$B$5,"Gamma")</f>
        <v>5.3856089934427256E-12</v>
      </c>
      <c r="S25" s="15" cm="1">
        <f t="array" ref="S25">BSGreeksRR(M25,$B$2,$B$3,$B$6,$B$4,$B$7,$B$5,"Gamma")</f>
        <v>8.0160978105265509E-10</v>
      </c>
      <c r="T25" s="15" cm="1">
        <f t="array" ref="T25">BSGreeks(M25,$B$2,$B$6,$B$7,$B$5,"Vega")</f>
        <v>5.2293301274987146E-8</v>
      </c>
      <c r="U25" s="15" cm="1">
        <f t="array" ref="U25">BSGreeks(M25,$B$3,$B$4,$B$7,$B$5,"Vega")</f>
        <v>1.1632915425836288E-10</v>
      </c>
      <c r="V25" s="15" cm="1">
        <f t="array" ref="V25">BSGreeksRR(M25,$B$2,$B$3,$B$6,$B$4,$B$7,$B$5,"Vega")</f>
        <v>5.217697212072878E-8</v>
      </c>
      <c r="W25" s="15" cm="1">
        <f t="array" ref="W25">BSGreeks(M25,$B$2,$B$6,$B$7,$B$5,"Theta")</f>
        <v>-4.2888040937353817E-8</v>
      </c>
      <c r="X25" s="15" cm="1">
        <f t="array" ref="X25">BSGreeks(M25,$B$3,$B$4,$B$7,$B$5,"Theta")</f>
        <v>-4.8467549806113077E-10</v>
      </c>
      <c r="Y25" s="15" cm="1">
        <f t="array" ref="Y25">BSGreeksRR(M25,$B$2,$B$3,$B$6,$B$4,$B$7,$B$5,"Theta")</f>
        <v>-4.1614458735801591E-8</v>
      </c>
    </row>
    <row r="26" spans="13:25" x14ac:dyDescent="0.25">
      <c r="M26">
        <v>37</v>
      </c>
      <c r="N26" s="15" cm="1">
        <f t="array" ref="N26">BSGreeks(M26,$B$2,$B$6,$B$7,$B$5,"Delta")</f>
        <v>2.4913771506837769E-9</v>
      </c>
      <c r="O26" s="15" cm="1">
        <f t="array" ref="O26">BSGreeks(M26,$B$3,$B$4,$B$7,$B$5,"Delta") - 1</f>
        <v>-0.99999999995885014</v>
      </c>
      <c r="P26" s="15" cm="1">
        <f t="array" ref="P26">BSGreeksRR(M26,$B$2,$B$3,$B$6,$B$4,$B$7,$B$5,"Delta")</f>
        <v>1.0000000024502274</v>
      </c>
      <c r="Q26" s="15" cm="1">
        <f t="array" ref="Q26">BSGreeks(M26,$B$2,$B$6,$B$7,$B$5,"Gamma")</f>
        <v>4.0467803981782001E-9</v>
      </c>
      <c r="R26" s="15" cm="1">
        <f t="array" ref="R26">BSGreeks(M26,$B$3,$B$4,$B$7,$B$5,"Gamma")</f>
        <v>1.2797887168677506E-10</v>
      </c>
      <c r="S26" s="15" cm="1">
        <f t="array" ref="S26">BSGreeksRR(M26,$B$2,$B$3,$B$6,$B$4,$B$7,$B$5,"Gamma")</f>
        <v>3.9188015264914251E-9</v>
      </c>
      <c r="T26" s="15" cm="1">
        <f t="array" ref="T26">BSGreeks(M26,$B$2,$B$6,$B$7,$B$5,"Vega")</f>
        <v>2.7700211825529786E-7</v>
      </c>
      <c r="U26" s="15" cm="1">
        <f t="array" ref="U26">BSGreeks(M26,$B$3,$B$4,$B$7,$B$5,"Vega")</f>
        <v>2.9200512556532506E-9</v>
      </c>
      <c r="V26" s="15" cm="1">
        <f t="array" ref="V26">BSGreeksRR(M26,$B$2,$B$3,$B$6,$B$4,$B$7,$B$5,"Vega")</f>
        <v>2.7408206699964457E-7</v>
      </c>
      <c r="W26" s="15" cm="1">
        <f t="array" ref="W26">BSGreeks(M26,$B$2,$B$6,$B$7,$B$5,"Theta")</f>
        <v>-2.2265509452160239E-7</v>
      </c>
      <c r="X26" s="15" cm="1">
        <f t="array" ref="X26">BSGreeks(M26,$B$3,$B$4,$B$7,$B$5,"Theta")</f>
        <v>-1.2139529409868474E-8</v>
      </c>
      <c r="Y26" s="15" cm="1">
        <f t="array" ref="Y26">BSGreeksRR(M26,$B$2,$B$3,$B$6,$B$4,$B$7,$B$5,"Theta")</f>
        <v>-2.109387678092568E-7</v>
      </c>
    </row>
    <row r="27" spans="13:25" x14ac:dyDescent="0.25">
      <c r="M27">
        <v>38</v>
      </c>
      <c r="N27" s="15" cm="1">
        <f t="array" ref="N27">BSGreeks(M27,$B$2,$B$6,$B$7,$B$5,"Delta")</f>
        <v>1.1952541676541268E-8</v>
      </c>
      <c r="O27" s="15" cm="1">
        <f t="array" ref="O27">BSGreeks(M27,$B$3,$B$4,$B$7,$B$5,"Delta") - 1</f>
        <v>-0.99999999920236837</v>
      </c>
      <c r="P27" s="15" cm="1">
        <f t="array" ref="P27">BSGreeksRR(M27,$B$2,$B$3,$B$6,$B$4,$B$7,$B$5,"Delta")</f>
        <v>1.0000000111549101</v>
      </c>
      <c r="Q27" s="15" cm="1">
        <f t="array" ref="Q27">BSGreeks(M27,$B$2,$B$6,$B$7,$B$5,"Gamma")</f>
        <v>1.8086851196465372E-8</v>
      </c>
      <c r="R27" s="15" cm="1">
        <f t="array" ref="R27">BSGreeks(M27,$B$3,$B$4,$B$7,$B$5,"Gamma")</f>
        <v>2.2512131492965465E-9</v>
      </c>
      <c r="S27" s="15" cm="1">
        <f t="array" ref="S27">BSGreeksRR(M27,$B$2,$B$3,$B$6,$B$4,$B$7,$B$5,"Gamma")</f>
        <v>1.5835638047168824E-8</v>
      </c>
      <c r="T27" s="15" cm="1">
        <f t="array" ref="T27">BSGreeks(M27,$B$2,$B$6,$B$7,$B$5,"Vega")</f>
        <v>1.3058706563847998E-6</v>
      </c>
      <c r="U27" s="15" cm="1">
        <f t="array" ref="U27">BSGreeks(M27,$B$3,$B$4,$B$7,$B$5,"Vega")</f>
        <v>5.4179196459736881E-8</v>
      </c>
      <c r="V27" s="15" cm="1">
        <f t="array" ref="V27">BSGreeksRR(M27,$B$2,$B$3,$B$6,$B$4,$B$7,$B$5,"Vega")</f>
        <v>1.251691459925063E-6</v>
      </c>
      <c r="W27" s="15" cm="1">
        <f t="array" ref="W27">BSGreeks(M27,$B$2,$B$6,$B$7,$B$5,"Theta")</f>
        <v>-1.045749925025204E-6</v>
      </c>
      <c r="X27" s="15" cm="1">
        <f t="array" ref="X27">BSGreeks(M27,$B$3,$B$4,$B$7,$B$5,"Theta")</f>
        <v>-2.2606996628935648E-7</v>
      </c>
      <c r="Y27" s="15" cm="1">
        <f t="array" ref="Y27">BSGreeksRR(M27,$B$2,$B$3,$B$6,$B$4,$B$7,$B$5,"Theta")</f>
        <v>-8.2710461465807895E-7</v>
      </c>
    </row>
    <row r="28" spans="13:25" x14ac:dyDescent="0.25">
      <c r="M28">
        <v>39</v>
      </c>
      <c r="N28" s="15" cm="1">
        <f t="array" ref="N28">BSGreeks(M28,$B$2,$B$6,$B$7,$B$5,"Delta")</f>
        <v>5.1511412316519003E-8</v>
      </c>
      <c r="O28" s="15" cm="1">
        <f t="array" ref="O28">BSGreeks(M28,$B$3,$B$4,$B$7,$B$5,"Delta") - 1</f>
        <v>-0.99999998828265835</v>
      </c>
      <c r="P28" s="15" cm="1">
        <f t="array" ref="P28">BSGreeksRR(M28,$B$2,$B$3,$B$6,$B$4,$B$7,$B$5,"Delta")</f>
        <v>1.0000000397940707</v>
      </c>
      <c r="Q28" s="15" cm="1">
        <f t="array" ref="Q28">BSGreeks(M28,$B$2,$B$6,$B$7,$B$5,"Gamma")</f>
        <v>7.2615769965936311E-8</v>
      </c>
      <c r="R28" s="15" cm="1">
        <f t="array" ref="R28">BSGreeks(M28,$B$3,$B$4,$B$7,$B$5,"Gamma")</f>
        <v>2.9940924281364928E-8</v>
      </c>
      <c r="S28" s="15" cm="1">
        <f t="array" ref="S28">BSGreeksRR(M28,$B$2,$B$3,$B$6,$B$4,$B$7,$B$5,"Gamma")</f>
        <v>4.2674845684571376E-8</v>
      </c>
      <c r="T28" s="15" cm="1">
        <f t="array" ref="T28">BSGreeks(M28,$B$2,$B$6,$B$7,$B$5,"Vega")</f>
        <v>5.5224293059094565E-6</v>
      </c>
      <c r="U28" s="15" cm="1">
        <f t="array" ref="U28">BSGreeks(M28,$B$3,$B$4,$B$7,$B$5,"Vega")</f>
        <v>7.5900243053260085E-7</v>
      </c>
      <c r="V28" s="15" cm="1">
        <f t="array" ref="V28">BSGreeksRR(M28,$B$2,$B$3,$B$6,$B$4,$B$7,$B$5,"Vega")</f>
        <v>4.7634268753768553E-6</v>
      </c>
      <c r="W28" s="15" cm="1">
        <f t="array" ref="W28">BSGreeks(M28,$B$2,$B$6,$B$7,$B$5,"Theta")</f>
        <v>-4.724007222891233E-6</v>
      </c>
      <c r="X28" s="15" cm="1">
        <f t="array" ref="X28">BSGreeks(M28,$B$3,$B$4,$B$7,$B$5,"Theta")</f>
        <v>-3.1559651305354657E-6</v>
      </c>
      <c r="Y28" s="15" cm="1">
        <f t="array" ref="Y28">BSGreeksRR(M28,$B$2,$B$3,$B$6,$B$4,$B$7,$B$5,"Theta")</f>
        <v>-1.3016557882036311E-6</v>
      </c>
    </row>
    <row r="29" spans="13:25" x14ac:dyDescent="0.25">
      <c r="M29">
        <v>40</v>
      </c>
      <c r="N29" s="15" cm="1">
        <f t="array" ref="N29">BSGreeks(M29,$B$2,$B$6,$B$7,$B$5,"Delta")</f>
        <v>2.0086975552729038E-7</v>
      </c>
      <c r="O29" s="15" cm="1">
        <f t="array" ref="O29">BSGreeks(M29,$B$3,$B$4,$B$7,$B$5,"Delta") - 1</f>
        <v>-0.99999986695205656</v>
      </c>
      <c r="P29" s="15" cm="1">
        <f t="array" ref="P29">BSGreeksRR(M29,$B$2,$B$3,$B$6,$B$4,$B$7,$B$5,"Delta")</f>
        <v>1.0000000678218122</v>
      </c>
      <c r="Q29" s="15" cm="1">
        <f t="array" ref="Q29">BSGreeks(M29,$B$2,$B$6,$B$7,$B$5,"Gamma")</f>
        <v>2.6376372404114276E-7</v>
      </c>
      <c r="R29" s="15" cm="1">
        <f t="array" ref="R29">BSGreeks(M29,$B$3,$B$4,$B$7,$B$5,"Gamma")</f>
        <v>3.0694490185458849E-7</v>
      </c>
      <c r="S29" s="15" cm="1">
        <f t="array" ref="S29">BSGreeksRR(M29,$B$2,$B$3,$B$6,$B$4,$B$7,$B$5,"Gamma")</f>
        <v>-4.318117781344577E-8</v>
      </c>
      <c r="T29" s="15" cm="1">
        <f t="array" ref="T29">BSGreeks(M29,$B$2,$B$6,$B$7,$B$5,"Vega")</f>
        <v>2.110109792329142E-5</v>
      </c>
      <c r="U29" s="15" cm="1">
        <f t="array" ref="U29">BSGreeks(M29,$B$3,$B$4,$B$7,$B$5,"Vega")</f>
        <v>8.1851973827890265E-6</v>
      </c>
      <c r="V29" s="15" cm="1">
        <f t="array" ref="V29">BSGreeksRR(M29,$B$2,$B$3,$B$6,$B$4,$B$7,$B$5,"Vega")</f>
        <v>1.2915900540502394E-5</v>
      </c>
      <c r="W29" s="15" cm="1">
        <f t="array" ref="W29">BSGreeks(M29,$B$2,$B$6,$B$7,$B$5,"Theta")</f>
        <v>-1.7186942116796805E-5</v>
      </c>
      <c r="X29" s="15" cm="1">
        <f t="array" ref="X29">BSGreeks(M29,$B$3,$B$4,$B$7,$B$5,"Theta")</f>
        <v>-3.4272563524272364E-5</v>
      </c>
      <c r="Y29" s="15" cm="1">
        <f t="array" ref="Y29">BSGreeksRR(M29,$B$2,$B$3,$B$6,$B$4,$B$7,$B$5,"Theta")</f>
        <v>1.6933853504334623E-5</v>
      </c>
    </row>
    <row r="30" spans="13:25" x14ac:dyDescent="0.25">
      <c r="M30">
        <v>41</v>
      </c>
      <c r="N30" s="15" cm="1">
        <f t="array" ref="N30">BSGreeks(M30,$B$2,$B$6,$B$7,$B$5,"Delta")</f>
        <v>7.1346622616544313E-7</v>
      </c>
      <c r="O30" s="15" cm="1">
        <f t="array" ref="O30">BSGreeks(M30,$B$3,$B$4,$B$7,$B$5,"Delta") - 1</f>
        <v>-0.99999881096314314</v>
      </c>
      <c r="P30" s="15" cm="1">
        <f t="array" ref="P30">BSGreeksRR(M30,$B$2,$B$3,$B$6,$B$4,$B$7,$B$5,"Delta")</f>
        <v>0.99999952442936924</v>
      </c>
      <c r="Q30" s="15" cm="1">
        <f t="array" ref="Q30">BSGreeks(M30,$B$2,$B$6,$B$7,$B$5,"Gamma")</f>
        <v>8.7247060580477225E-7</v>
      </c>
      <c r="R30" s="15" cm="1">
        <f t="array" ref="R30">BSGreeks(M30,$B$3,$B$4,$B$7,$B$5,"Gamma")</f>
        <v>2.4685925729113119E-6</v>
      </c>
      <c r="S30" s="15" cm="1">
        <f t="array" ref="S30">BSGreeksRR(M30,$B$2,$B$3,$B$6,$B$4,$B$7,$B$5,"Gamma")</f>
        <v>-1.5961219671065394E-6</v>
      </c>
      <c r="T30" s="15" cm="1">
        <f t="array" ref="T30">BSGreeks(M30,$B$2,$B$6,$B$7,$B$5,"Vega")</f>
        <v>7.3331154417891105E-5</v>
      </c>
      <c r="U30" s="15" cm="1">
        <f t="array" ref="U30">BSGreeks(M30,$B$3,$B$4,$B$7,$B$5,"Vega")</f>
        <v>6.9161735251065242E-5</v>
      </c>
      <c r="V30" s="15" cm="1">
        <f t="array" ref="V30">BSGreeksRR(M30,$B$2,$B$3,$B$6,$B$4,$B$7,$B$5,"Vega")</f>
        <v>4.169419166825867E-6</v>
      </c>
      <c r="W30" s="15" cm="1">
        <f t="array" ref="W30">BSGreeks(M30,$B$2,$B$6,$B$7,$B$5,"Theta")</f>
        <v>-5.8970987312476559E-5</v>
      </c>
      <c r="X30" s="15" cm="1">
        <f t="array" ref="X30">BSGreeks(M30,$B$3,$B$4,$B$7,$B$5,"Theta")</f>
        <v>-2.8774727150227735E-4</v>
      </c>
      <c r="Y30" s="15" cm="1">
        <f t="array" ref="Y30">BSGreeksRR(M30,$B$2,$B$3,$B$6,$B$4,$B$7,$B$5,"Theta")</f>
        <v>2.2760455317662718E-4</v>
      </c>
    </row>
    <row r="31" spans="13:25" x14ac:dyDescent="0.25">
      <c r="M31">
        <v>42</v>
      </c>
      <c r="N31" s="15" cm="1">
        <f t="array" ref="N31">BSGreeks(M31,$B$2,$B$6,$B$7,$B$5,"Delta")</f>
        <v>2.3223242275621767E-6</v>
      </c>
      <c r="O31" s="15" cm="1">
        <f t="array" ref="O31">BSGreeks(M31,$B$3,$B$4,$B$7,$B$5,"Delta") - 1</f>
        <v>-0.99999149593977343</v>
      </c>
      <c r="P31" s="15" cm="1">
        <f t="array" ref="P31">BSGreeksRR(M31,$B$2,$B$3,$B$6,$B$4,$B$7,$B$5,"Delta")</f>
        <v>0.99999381826400102</v>
      </c>
      <c r="Q31" s="15" cm="1">
        <f t="array" ref="Q31">BSGreeks(M31,$B$2,$B$6,$B$7,$B$5,"Gamma")</f>
        <v>2.6438442737802003E-6</v>
      </c>
      <c r="R31" s="15" cm="1">
        <f t="array" ref="R31">BSGreeks(M31,$B$3,$B$4,$B$7,$B$5,"Gamma")</f>
        <v>1.5828076392604517E-5</v>
      </c>
      <c r="S31" s="15" cm="1">
        <f t="array" ref="S31">BSGreeksRR(M31,$B$2,$B$3,$B$6,$B$4,$B$7,$B$5,"Gamma")</f>
        <v>-1.3184232118824315E-5</v>
      </c>
      <c r="T31" s="15" cm="1">
        <f t="array" ref="T31">BSGreeks(M31,$B$2,$B$6,$B$7,$B$5,"Vega")</f>
        <v>2.331870649474137E-4</v>
      </c>
      <c r="U31" s="15" cm="1">
        <f t="array" ref="U31">BSGreeks(M31,$B$3,$B$4,$B$7,$B$5,"Vega")</f>
        <v>4.6534544594257273E-4</v>
      </c>
      <c r="V31" s="15" cm="1">
        <f t="array" ref="V31">BSGreeksRR(M31,$B$2,$B$3,$B$6,$B$4,$B$7,$B$5,"Vega")</f>
        <v>-2.3215838099515906E-4</v>
      </c>
      <c r="W31" s="15" cm="1">
        <f t="array" ref="W31">BSGreeks(M31,$B$2,$B$6,$B$7,$B$5,"Theta")</f>
        <v>-1.8685571573609462E-4</v>
      </c>
      <c r="X31" s="15" cm="1">
        <f t="array" ref="X31">BSGreeks(M31,$B$3,$B$4,$B$7,$B$5,"Theta")</f>
        <v>-1.9617321850499288E-3</v>
      </c>
      <c r="Y31" s="15" cm="1">
        <f t="array" ref="Y31">BSGreeksRR(M31,$B$2,$B$3,$B$6,$B$4,$B$7,$B$5,"Theta")</f>
        <v>1.7406797572649211E-3</v>
      </c>
    </row>
    <row r="32" spans="13:25" x14ac:dyDescent="0.25">
      <c r="M32">
        <v>43</v>
      </c>
      <c r="N32" s="15" cm="1">
        <f t="array" ref="N32">BSGreeks(M32,$B$2,$B$6,$B$7,$B$5,"Delta")</f>
        <v>6.9661616388803979E-6</v>
      </c>
      <c r="O32" s="15" cm="1">
        <f t="array" ref="O32">BSGreeks(M32,$B$3,$B$4,$B$7,$B$5,"Delta") - 1</f>
        <v>-0.99995056978965413</v>
      </c>
      <c r="P32" s="15" cm="1">
        <f t="array" ref="P32">BSGreeksRR(M32,$B$2,$B$3,$B$6,$B$4,$B$7,$B$5,"Delta")</f>
        <v>0.999957535951293</v>
      </c>
      <c r="Q32" s="15" cm="1">
        <f t="array" ref="Q32">BSGreeks(M32,$B$2,$B$6,$B$7,$B$5,"Gamma")</f>
        <v>7.3799747234384001E-6</v>
      </c>
      <c r="R32" s="15" cm="1">
        <f t="array" ref="R32">BSGreeks(M32,$B$3,$B$4,$B$7,$B$5,"Gamma")</f>
        <v>8.211254528687875E-5</v>
      </c>
      <c r="S32" s="15" cm="1">
        <f t="array" ref="S32">BSGreeksRR(M32,$B$2,$B$3,$B$6,$B$4,$B$7,$B$5,"Gamma")</f>
        <v>-7.4732570563440341E-5</v>
      </c>
      <c r="T32" s="15" cm="1">
        <f t="array" ref="T32">BSGreeks(M32,$B$2,$B$6,$B$7,$B$5,"Vega")</f>
        <v>6.822786631818801E-4</v>
      </c>
      <c r="U32" s="15" cm="1">
        <f t="array" ref="U32">BSGreeks(M32,$B$3,$B$4,$B$7,$B$5,"Vega")</f>
        <v>2.5304349372573132E-3</v>
      </c>
      <c r="V32" s="15" cm="1">
        <f t="array" ref="V32">BSGreeksRR(M32,$B$2,$B$3,$B$6,$B$4,$B$7,$B$5,"Vega")</f>
        <v>-1.848156274075433E-3</v>
      </c>
      <c r="W32" s="15" cm="1">
        <f t="array" ref="W32">BSGreeks(M32,$B$2,$B$6,$B$7,$B$5,"Theta")</f>
        <v>-5.7963896675640989E-4</v>
      </c>
      <c r="X32" s="15" cm="1">
        <f t="array" ref="X32">BSGreeks(M32,$B$3,$B$4,$B$7,$B$5,"Theta")</f>
        <v>-1.0546147995770807E-2</v>
      </c>
      <c r="Y32" s="15" cm="1">
        <f t="array" ref="Y32">BSGreeksRR(M32,$B$2,$B$3,$B$6,$B$4,$B$7,$B$5,"Theta")</f>
        <v>9.9347429948497424E-3</v>
      </c>
    </row>
    <row r="33" spans="13:25" x14ac:dyDescent="0.25">
      <c r="M33">
        <v>44</v>
      </c>
      <c r="N33" s="15" cm="1">
        <f t="array" ref="N33">BSGreeks(M33,$B$2,$B$6,$B$7,$B$5,"Delta")</f>
        <v>1.9356465242336449E-5</v>
      </c>
      <c r="O33" s="15" cm="1">
        <f t="array" ref="O33">BSGreeks(M33,$B$3,$B$4,$B$7,$B$5,"Delta") - 1</f>
        <v>-0.99976313048269172</v>
      </c>
      <c r="P33" s="15" cm="1">
        <f t="array" ref="P33">BSGreeksRR(M33,$B$2,$B$3,$B$6,$B$4,$B$7,$B$5,"Delta")</f>
        <v>0.99978248694793403</v>
      </c>
      <c r="Q33" s="15" cm="1">
        <f t="array" ref="Q33">BSGreeks(M33,$B$2,$B$6,$B$7,$B$5,"Gamma")</f>
        <v>1.907220674741738E-5</v>
      </c>
      <c r="R33" s="15" cm="1">
        <f t="array" ref="R33">BSGreeks(M33,$B$3,$B$4,$B$7,$B$5,"Gamma")</f>
        <v>3.4936802584154594E-4</v>
      </c>
      <c r="S33" s="15" cm="1">
        <f t="array" ref="S33">BSGreeksRR(M33,$B$2,$B$3,$B$6,$B$4,$B$7,$B$5,"Gamma")</f>
        <v>-3.302958190941286E-4</v>
      </c>
      <c r="T33" s="15" cm="1">
        <f t="array" ref="T33">BSGreeks(M33,$B$2,$B$6,$B$7,$B$5,"Vega")</f>
        <v>1.8461896131500024E-3</v>
      </c>
      <c r="U33" s="15" cm="1">
        <f t="array" ref="U33">BSGreeks(M33,$B$3,$B$4,$B$7,$B$5,"Vega")</f>
        <v>1.127294163382055E-2</v>
      </c>
      <c r="V33" s="15" cm="1">
        <f t="array" ref="V33">BSGreeksRR(M33,$B$2,$B$3,$B$6,$B$4,$B$7,$B$5,"Vega")</f>
        <v>-9.4267520206705469E-3</v>
      </c>
      <c r="W33" s="15" cm="1">
        <f t="array" ref="W33">BSGreeks(M33,$B$2,$B$6,$B$7,$B$5,"Theta")</f>
        <v>-1.5107677267309078E-3</v>
      </c>
      <c r="X33" s="15" cm="1">
        <f t="array" ref="X33">BSGreeks(M33,$B$3,$B$4,$B$7,$B$5,"Theta")</f>
        <v>-4.6888065877271623E-2</v>
      </c>
      <c r="Y33" s="15" cm="1">
        <f t="array" ref="Y33">BSGreeksRR(M33,$B$2,$B$3,$B$6,$B$4,$B$7,$B$5,"Theta")</f>
        <v>4.5206087587567882E-2</v>
      </c>
    </row>
    <row r="34" spans="13:25" x14ac:dyDescent="0.25">
      <c r="M34">
        <v>45</v>
      </c>
      <c r="N34" s="15" cm="1">
        <f t="array" ref="N34">BSGreeks(M34,$B$2,$B$6,$B$7,$B$5,"Delta")</f>
        <v>5.0059915995467217E-5</v>
      </c>
      <c r="O34" s="15" cm="1">
        <f t="array" ref="O34">BSGreeks(M34,$B$3,$B$4,$B$7,$B$5,"Delta") - 1</f>
        <v>-0.999051625525742</v>
      </c>
      <c r="P34" s="15" cm="1">
        <f t="array" ref="P34">BSGreeksRR(M34,$B$2,$B$3,$B$6,$B$4,$B$7,$B$5,"Delta")</f>
        <v>0.99910168544173739</v>
      </c>
      <c r="Q34" s="15" cm="1">
        <f t="array" ref="Q34">BSGreeks(M34,$B$2,$B$6,$B$7,$B$5,"Gamma")</f>
        <v>4.5845293356153712E-5</v>
      </c>
      <c r="R34" s="15" cm="1">
        <f t="array" ref="R34">BSGreeks(M34,$B$3,$B$4,$B$7,$B$5,"Gamma")</f>
        <v>1.2344337756424817E-3</v>
      </c>
      <c r="S34" s="15" cm="1">
        <f t="array" ref="S34">BSGreeksRR(M34,$B$2,$B$3,$B$6,$B$4,$B$7,$B$5,"Gamma")</f>
        <v>-1.188588482286328E-3</v>
      </c>
      <c r="T34" s="15" cm="1">
        <f t="array" ref="T34">BSGreeks(M34,$B$2,$B$6,$B$7,$B$5,"Vega")</f>
        <v>4.6418359523105641E-3</v>
      </c>
      <c r="U34" s="15" cm="1">
        <f t="array" ref="U34">BSGreeks(M34,$B$3,$B$4,$B$7,$B$5,"Vega")</f>
        <v>4.1662139927933758E-2</v>
      </c>
      <c r="V34" s="15" cm="1">
        <f t="array" ref="V34">BSGreeksRR(M34,$B$2,$B$3,$B$6,$B$4,$B$7,$B$5,"Vega")</f>
        <v>-3.7020303975623191E-2</v>
      </c>
      <c r="W34" s="15" cm="1">
        <f t="array" ref="W34">BSGreeks(M34,$B$2,$B$6,$B$7,$B$5,"Theta")</f>
        <v>-3.7472847980593569E-3</v>
      </c>
      <c r="X34" s="15" cm="1">
        <f t="array" ref="X34">BSGreeks(M34,$B$3,$B$4,$B$7,$B$5,"Theta")</f>
        <v>-0.17435102131039762</v>
      </c>
      <c r="Y34" s="15" cm="1">
        <f t="array" ref="Y34">BSGreeksRR(M34,$B$2,$B$3,$B$6,$B$4,$B$7,$B$5,"Theta")</f>
        <v>0.16876544783157066</v>
      </c>
    </row>
    <row r="35" spans="13:25" x14ac:dyDescent="0.25">
      <c r="M35">
        <v>46</v>
      </c>
      <c r="N35" s="15" cm="1">
        <f t="array" ref="N35">BSGreeks(M35,$B$2,$B$6,$B$7,$B$5,"Delta")</f>
        <v>1.2103244383277486E-4</v>
      </c>
      <c r="O35" s="15" cm="1">
        <f t="array" ref="O35">BSGreeks(M35,$B$3,$B$4,$B$7,$B$5,"Delta") - 1</f>
        <v>-0.99678740440509839</v>
      </c>
      <c r="P35" s="15" cm="1">
        <f t="array" ref="P35">BSGreeksRR(M35,$B$2,$B$3,$B$6,$B$4,$B$7,$B$5,"Delta")</f>
        <v>0.99690843684893116</v>
      </c>
      <c r="Q35" s="15" cm="1">
        <f t="array" ref="Q35">BSGreeks(M35,$B$2,$B$6,$B$7,$B$5,"Gamma")</f>
        <v>1.0294405749629734E-4</v>
      </c>
      <c r="R35" s="15" cm="1">
        <f t="array" ref="R35">BSGreeks(M35,$B$3,$B$4,$B$7,$B$5,"Gamma")</f>
        <v>3.6640172571235263E-3</v>
      </c>
      <c r="S35" s="15" cm="1">
        <f t="array" ref="S35">BSGreeksRR(M35,$B$2,$B$3,$B$6,$B$4,$B$7,$B$5,"Gamma")</f>
        <v>-3.5610731996272289E-3</v>
      </c>
      <c r="T35" s="15" cm="1">
        <f t="array" ref="T35">BSGreeks(M35,$B$2,$B$6,$B$7,$B$5,"Vega")</f>
        <v>1.0891481283108259E-2</v>
      </c>
      <c r="U35" s="15" cm="1">
        <f t="array" ref="U35">BSGreeks(M35,$B$3,$B$4,$B$7,$B$5,"Vega")</f>
        <v>0.12921767526788969</v>
      </c>
      <c r="V35" s="15" cm="1">
        <f t="array" ref="V35">BSGreeksRR(M35,$B$2,$B$3,$B$6,$B$4,$B$7,$B$5,"Vega")</f>
        <v>-0.11832619398478143</v>
      </c>
      <c r="W35" s="15" cm="1">
        <f t="array" ref="W35">BSGreeks(M35,$B$2,$B$6,$B$7,$B$5,"Theta")</f>
        <v>-8.7470010626975146E-3</v>
      </c>
      <c r="X35" s="15" cm="1">
        <f t="array" ref="X35">BSGreeks(M35,$B$3,$B$4,$B$7,$B$5,"Theta")</f>
        <v>-0.53831254697286823</v>
      </c>
      <c r="Y35" s="15" cm="1">
        <f t="array" ref="Y35">BSGreeksRR(M35,$B$2,$B$3,$B$6,$B$4,$B$7,$B$5,"Theta")</f>
        <v>0.52602395718964889</v>
      </c>
    </row>
    <row r="36" spans="13:25" x14ac:dyDescent="0.25">
      <c r="M36">
        <v>47</v>
      </c>
      <c r="N36" s="15" cm="1">
        <f t="array" ref="N36">BSGreeks(M36,$B$2,$B$6,$B$7,$B$5,"Delta")</f>
        <v>2.7468735758546652E-4</v>
      </c>
      <c r="O36" s="15" cm="1">
        <f t="array" ref="O36">BSGreeks(M36,$B$3,$B$4,$B$7,$B$5,"Delta") - 1</f>
        <v>-0.99068257722540154</v>
      </c>
      <c r="P36" s="15" cm="1">
        <f t="array" ref="P36">BSGreeksRR(M36,$B$2,$B$3,$B$6,$B$4,$B$7,$B$5,"Delta")</f>
        <v>0.99095726458298705</v>
      </c>
      <c r="Q36" s="15" cm="1">
        <f t="array" ref="Q36">BSGreeks(M36,$B$2,$B$6,$B$7,$B$5,"Gamma")</f>
        <v>2.1679269055364459E-4</v>
      </c>
      <c r="R36" s="15" cm="1">
        <f t="array" ref="R36">BSGreeks(M36,$B$3,$B$4,$B$7,$B$5,"Gamma")</f>
        <v>9.2334191508755617E-3</v>
      </c>
      <c r="S36" s="15" cm="1">
        <f t="array" ref="S36">BSGreeksRR(M36,$B$2,$B$3,$B$6,$B$4,$B$7,$B$5,"Gamma")</f>
        <v>-9.0166264603219158E-3</v>
      </c>
      <c r="T36" s="15" cm="1">
        <f t="array" ref="T36">BSGreeks(M36,$B$2,$B$6,$B$7,$B$5,"Vega")</f>
        <v>2.3944752671650048E-2</v>
      </c>
      <c r="U36" s="15" cm="1">
        <f t="array" ref="U36">BSGreeks(M36,$B$3,$B$4,$B$7,$B$5,"Vega")</f>
        <v>0.33994371507140186</v>
      </c>
      <c r="V36" s="15" cm="1">
        <f t="array" ref="V36">BSGreeksRR(M36,$B$2,$B$3,$B$6,$B$4,$B$7,$B$5,"Vega")</f>
        <v>-0.31599896239975184</v>
      </c>
      <c r="W36" s="15" cm="1">
        <f t="array" ref="W36">BSGreeks(M36,$B$2,$B$6,$B$7,$B$5,"Theta")</f>
        <v>-1.9189618173530945E-2</v>
      </c>
      <c r="X36" s="15" cm="1">
        <f t="array" ref="X36">BSGreeks(M36,$B$3,$B$4,$B$7,$B$5,"Theta")</f>
        <v>-1.4327494102372875</v>
      </c>
      <c r="Y36" s="15" cm="1">
        <f t="array" ref="Y36">BSGreeksRR(M36,$B$2,$B$3,$B$6,$B$4,$B$7,$B$5,"Theta")</f>
        <v>1.3868891973757578</v>
      </c>
    </row>
    <row r="37" spans="13:25" x14ac:dyDescent="0.25">
      <c r="M37">
        <v>48</v>
      </c>
      <c r="N37" s="15" cm="1">
        <f t="array" ref="N37">BSGreeks(M37,$B$2,$B$6,$B$7,$B$5,"Delta")</f>
        <v>5.8742619704867734E-4</v>
      </c>
      <c r="O37" s="15" cm="1">
        <f t="array" ref="O37">BSGreeks(M37,$B$3,$B$4,$B$7,$B$5,"Delta") - 1</f>
        <v>-0.97659971173286808</v>
      </c>
      <c r="P37" s="15" cm="1">
        <f t="array" ref="P37">BSGreeksRR(M37,$B$2,$B$3,$B$6,$B$4,$B$7,$B$5,"Delta")</f>
        <v>0.97718713792991685</v>
      </c>
      <c r="Q37" s="15" cm="1">
        <f t="array" ref="Q37">BSGreeks(M37,$B$2,$B$6,$B$7,$B$5,"Gamma")</f>
        <v>4.297552703944071E-4</v>
      </c>
      <c r="R37" s="15" cm="1">
        <f t="array" ref="R37">BSGreeks(M37,$B$3,$B$4,$B$7,$B$5,"Gamma")</f>
        <v>1.9950120452231452E-2</v>
      </c>
      <c r="S37" s="15" cm="1">
        <f t="array" ref="S37">BSGreeksRR(M37,$B$2,$B$3,$B$6,$B$4,$B$7,$B$5,"Gamma")</f>
        <v>-1.9520365181837047E-2</v>
      </c>
      <c r="T37" s="15" cm="1">
        <f t="array" ref="T37">BSGreeks(M37,$B$2,$B$6,$B$7,$B$5,"Vega")</f>
        <v>4.9507807149435701E-2</v>
      </c>
      <c r="U37" s="15" cm="1">
        <f t="array" ref="U37">BSGreeks(M37,$B$3,$B$4,$B$7,$B$5,"Vega")</f>
        <v>0.76608462536568767</v>
      </c>
      <c r="V37" s="15" cm="1">
        <f t="array" ref="V37">BSGreeksRR(M37,$B$2,$B$3,$B$6,$B$4,$B$7,$B$5,"Vega")</f>
        <v>-0.71657681821625208</v>
      </c>
      <c r="W37" s="15" cm="1">
        <f t="array" ref="W37">BSGreeks(M37,$B$2,$B$6,$B$7,$B$5,"Theta")</f>
        <v>-4.1047559608001702E-2</v>
      </c>
      <c r="X37" s="15" cm="1">
        <f t="array" ref="X37">BSGreeks(M37,$B$3,$B$4,$B$7,$B$5,"Theta")</f>
        <v>-3.204183908989338</v>
      </c>
      <c r="Y37" s="15" cm="1">
        <f t="array" ref="Y37">BSGreeksRR(M37,$B$2,$B$3,$B$6,$B$4,$B$7,$B$5,"Theta")</f>
        <v>3.1269180583237377</v>
      </c>
    </row>
    <row r="38" spans="13:25" x14ac:dyDescent="0.25">
      <c r="M38">
        <v>49</v>
      </c>
      <c r="N38" s="15" cm="1">
        <f t="array" ref="N38">BSGreeks(M38,$B$2,$B$6,$B$7,$B$5,"Delta")</f>
        <v>1.1879151365435294E-3</v>
      </c>
      <c r="O38" s="15" cm="1">
        <f t="array" ref="O38">BSGreeks(M38,$B$3,$B$4,$B$7,$B$5,"Delta") - 1</f>
        <v>-0.94855103840034194</v>
      </c>
      <c r="P38" s="15" cm="1">
        <f t="array" ref="P38">BSGreeksRR(M38,$B$2,$B$3,$B$6,$B$4,$B$7,$B$5,"Delta")</f>
        <v>0.94973895353688553</v>
      </c>
      <c r="Q38" s="15" cm="1">
        <f t="array" ref="Q38">BSGreeks(M38,$B$2,$B$6,$B$7,$B$5,"Gamma")</f>
        <v>8.046580766050143E-4</v>
      </c>
      <c r="R38" s="15" cm="1">
        <f t="array" ref="R38">BSGreeks(M38,$B$3,$B$4,$B$7,$B$5,"Gamma")</f>
        <v>3.7295249398523314E-2</v>
      </c>
      <c r="S38" s="15" cm="1">
        <f t="array" ref="S38">BSGreeksRR(M38,$B$2,$B$3,$B$6,$B$4,$B$7,$B$5,"Gamma")</f>
        <v>-3.64905913219183E-2</v>
      </c>
      <c r="T38" s="15" cm="1">
        <f t="array" ref="T38">BSGreeks(M38,$B$2,$B$6,$B$7,$B$5,"Vega")</f>
        <v>9.6599202096431969E-2</v>
      </c>
      <c r="U38" s="15" cm="1">
        <f t="array" ref="U38">BSGreeks(M38,$B$3,$B$4,$B$7,$B$5,"Vega")</f>
        <v>1.4924315634309078</v>
      </c>
      <c r="V38" s="15" cm="1">
        <f t="array" ref="V38">BSGreeksRR(M38,$B$2,$B$3,$B$6,$B$4,$B$7,$B$5,"Vega")</f>
        <v>-1.3958323613344759</v>
      </c>
      <c r="W38" s="15" cm="1">
        <f t="array" ref="W38">BSGreeks(M38,$B$2,$B$6,$B$7,$B$5,"Theta")</f>
        <v>-7.8720675565598724E-2</v>
      </c>
      <c r="X38" s="15" cm="1">
        <f t="array" ref="X38">BSGreeks(M38,$B$3,$B$4,$B$7,$B$5,"Theta")</f>
        <v>-6.2235514305518489</v>
      </c>
      <c r="Y38" s="15" cm="1">
        <f t="array" ref="Y38">BSGreeksRR(M38,$B$2,$B$3,$B$6,$B$4,$B$7,$B$5,"Theta")</f>
        <v>6.0863570822351631</v>
      </c>
    </row>
    <row r="39" spans="13:25" x14ac:dyDescent="0.25">
      <c r="M39">
        <v>50</v>
      </c>
      <c r="N39" s="15" cm="1">
        <f t="array" ref="N39">BSGreeks(M39,$B$2,$B$6,$B$7,$B$5,"Delta")</f>
        <v>2.2791485376917075E-3</v>
      </c>
      <c r="O39" s="15" cm="1">
        <f t="array" ref="O39">BSGreeks(M39,$B$3,$B$4,$B$7,$B$5,"Delta") - 1</f>
        <v>-0.89991068519108142</v>
      </c>
      <c r="P39" s="15" cm="1">
        <f t="array" ref="P39">BSGreeksRR(M39,$B$2,$B$3,$B$6,$B$4,$B$7,$B$5,"Delta")</f>
        <v>0.90218983372877304</v>
      </c>
      <c r="Q39" s="15" cm="1">
        <f t="array" ref="Q39">BSGreeks(M39,$B$2,$B$6,$B$7,$B$5,"Gamma")</f>
        <v>1.4275452189264611E-3</v>
      </c>
      <c r="R39" s="15" cm="1">
        <f t="array" ref="R39">BSGreeks(M39,$B$3,$B$4,$B$7,$B$5,"Gamma")</f>
        <v>6.0834048277146141E-2</v>
      </c>
      <c r="S39" s="15" cm="1">
        <f t="array" ref="S39">BSGreeksRR(M39,$B$2,$B$3,$B$6,$B$4,$B$7,$B$5,"Gamma")</f>
        <v>-5.9406503058219685E-2</v>
      </c>
      <c r="T39" s="15" cm="1">
        <f t="array" ref="T39">BSGreeks(M39,$B$2,$B$6,$B$7,$B$5,"Vega")</f>
        <v>0.17844315236580766</v>
      </c>
      <c r="U39" s="15" cm="1">
        <f t="array" ref="U39">BSGreeks(M39,$B$3,$B$4,$B$7,$B$5,"Vega")</f>
        <v>2.5347520115477558</v>
      </c>
      <c r="V39" s="15" cm="1">
        <f t="array" ref="V39">BSGreeksRR(M39,$B$2,$B$3,$B$6,$B$4,$B$7,$B$5,"Vega")</f>
        <v>-2.3563088591819481</v>
      </c>
      <c r="W39" s="15" cm="1">
        <f t="array" ref="W39">BSGreeks(M39,$B$2,$B$6,$B$7,$B$5,"Theta")</f>
        <v>-0.14419583578109926</v>
      </c>
      <c r="X39" s="15" cm="1">
        <f t="array" ref="X39">BSGreeks(M39,$B$3,$B$4,$B$7,$B$5,"Theta")</f>
        <v>-10.673661734948855</v>
      </c>
      <c r="Y39" s="15" cm="1">
        <f t="array" ref="Y39">BSGreeksRR(M39,$B$2,$B$3,$B$6,$B$4,$B$7,$B$5,"Theta")</f>
        <v>10.314306955157006</v>
      </c>
    </row>
    <row r="40" spans="13:25" x14ac:dyDescent="0.25">
      <c r="M40">
        <v>51</v>
      </c>
      <c r="N40" s="15" cm="1">
        <f t="array" ref="N40">BSGreeks(M40,$B$2,$B$6,$B$7,$B$5,"Delta")</f>
        <v>4.1615995163171177E-3</v>
      </c>
      <c r="O40" s="15" cm="1">
        <f t="array" ref="O40">BSGreeks(M40,$B$3,$B$4,$B$7,$B$5,"Delta") - 1</f>
        <v>-0.8258909620224959</v>
      </c>
      <c r="P40" s="15" cm="1">
        <f t="array" ref="P40">BSGreeksRR(M40,$B$2,$B$3,$B$6,$B$4,$B$7,$B$5,"Delta")</f>
        <v>0.83005256153881302</v>
      </c>
      <c r="Q40" s="15" cm="1">
        <f t="array" ref="Q40">BSGreeks(M40,$B$2,$B$6,$B$7,$B$5,"Gamma")</f>
        <v>2.4067730657878401E-3</v>
      </c>
      <c r="R40" s="15" cm="1">
        <f t="array" ref="R40">BSGreeks(M40,$B$3,$B$4,$B$7,$B$5,"Gamma")</f>
        <v>8.7261755185964351E-2</v>
      </c>
      <c r="S40" s="15" cm="1">
        <f t="array" ref="S40">BSGreeksRR(M40,$B$2,$B$3,$B$6,$B$4,$B$7,$B$5,"Gamma")</f>
        <v>-8.4854982120176517E-2</v>
      </c>
      <c r="T40" s="15" cm="1">
        <f t="array" ref="T40">BSGreeks(M40,$B$2,$B$6,$B$7,$B$5,"Vega")</f>
        <v>0.31300083720570859</v>
      </c>
      <c r="U40" s="15" cm="1">
        <f t="array" ref="U40">BSGreeks(M40,$B$3,$B$4,$B$7,$B$5,"Vega")</f>
        <v>3.7827970873115544</v>
      </c>
      <c r="V40" s="15" cm="1">
        <f t="array" ref="V40">BSGreeksRR(M40,$B$2,$B$3,$B$6,$B$4,$B$7,$B$5,"Vega")</f>
        <v>-3.4697962501058459</v>
      </c>
      <c r="W40" s="15" cm="1">
        <f t="array" ref="W40">BSGreeks(M40,$B$2,$B$6,$B$7,$B$5,"Theta")</f>
        <v>-0.25184198365302002</v>
      </c>
      <c r="X40" s="15" cm="1">
        <f t="array" ref="X40">BSGreeks(M40,$B$3,$B$4,$B$7,$B$5,"Theta")</f>
        <v>-15.861687690210571</v>
      </c>
      <c r="Y40" s="15" cm="1">
        <f t="array" ref="Y40">BSGreeksRR(M40,$B$2,$B$3,$B$6,$B$4,$B$7,$B$5,"Theta")</f>
        <v>15.333321134050435</v>
      </c>
    </row>
    <row r="41" spans="13:25" x14ac:dyDescent="0.25">
      <c r="M41">
        <v>52</v>
      </c>
      <c r="N41" s="15" cm="1">
        <f t="array" ref="N41">BSGreeks(M41,$B$2,$B$6,$B$7,$B$5,"Delta")</f>
        <v>7.2528750477451227E-3</v>
      </c>
      <c r="O41" s="15" cm="1">
        <f t="array" ref="O41">BSGreeks(M41,$B$3,$B$4,$B$7,$B$5,"Delta") - 1</f>
        <v>-0.72631977637621525</v>
      </c>
      <c r="P41" s="15" cm="1">
        <f t="array" ref="P41">BSGreeksRR(M41,$B$2,$B$3,$B$6,$B$4,$B$7,$B$5,"Delta")</f>
        <v>0.73357265142396044</v>
      </c>
      <c r="Q41" s="15" cm="1">
        <f t="array" ref="Q41">BSGreeks(M41,$B$2,$B$6,$B$7,$B$5,"Gamma")</f>
        <v>3.8666746142071518E-3</v>
      </c>
      <c r="R41" s="15" cm="1">
        <f t="array" ref="R41">BSGreeks(M41,$B$3,$B$4,$B$7,$B$5,"Gamma")</f>
        <v>0.11087802311916217</v>
      </c>
      <c r="S41" s="15" cm="1">
        <f t="array" ref="S41">BSGreeksRR(M41,$B$2,$B$3,$B$6,$B$4,$B$7,$B$5,"Gamma")</f>
        <v>-0.10701134850495501</v>
      </c>
      <c r="T41" s="15" cm="1">
        <f t="array" ref="T41">BSGreeks(M41,$B$2,$B$6,$B$7,$B$5,"Vega")</f>
        <v>0.52277440784080698</v>
      </c>
      <c r="U41" s="15" cm="1">
        <f t="array" ref="U41">BSGreeks(M41,$B$3,$B$4,$B$7,$B$5,"Vega")</f>
        <v>4.9969029085702417</v>
      </c>
      <c r="V41" s="15" cm="1">
        <f t="array" ref="V41">BSGreeksRR(M41,$B$2,$B$3,$B$6,$B$4,$B$7,$B$5,"Vega")</f>
        <v>-4.4741285007294342</v>
      </c>
      <c r="W41" s="15" cm="1">
        <f t="array" ref="W41">BSGreeks(M41,$B$2,$B$6,$B$7,$B$5,"Theta")</f>
        <v>-0.41966084016109872</v>
      </c>
      <c r="X41" s="15" cm="1">
        <f t="array" ref="X41">BSGreeks(M41,$B$3,$B$4,$B$7,$B$5,"Theta")</f>
        <v>-20.908630813855012</v>
      </c>
      <c r="Y41" s="15" cm="1">
        <f t="array" ref="Y41">BSGreeksRR(M41,$B$2,$B$3,$B$6,$B$4,$B$7,$B$5,"Theta")</f>
        <v>20.127817960250653</v>
      </c>
    </row>
    <row r="42" spans="13:25" x14ac:dyDescent="0.25">
      <c r="M42">
        <v>53</v>
      </c>
      <c r="N42" s="15" cm="1">
        <f t="array" ref="N42">BSGreeks(M42,$B$2,$B$6,$B$7,$B$5,"Delta")</f>
        <v>1.20978619676034E-2</v>
      </c>
      <c r="O42" s="15" cm="1">
        <f t="array" ref="O42">BSGreeks(M42,$B$3,$B$4,$B$7,$B$5,"Delta") - 1</f>
        <v>-0.60711045051396462</v>
      </c>
      <c r="P42" s="15" cm="1">
        <f t="array" ref="P42">BSGreeksRR(M42,$B$2,$B$3,$B$6,$B$4,$B$7,$B$5,"Delta")</f>
        <v>0.61920831248156794</v>
      </c>
      <c r="Q42" s="15" cm="1">
        <f t="array" ref="Q42">BSGreeks(M42,$B$2,$B$6,$B$7,$B$5,"Gamma")</f>
        <v>5.9348159438166702E-3</v>
      </c>
      <c r="R42" s="15" cm="1">
        <f t="array" ref="R42">BSGreeks(M42,$B$3,$B$4,$B$7,$B$5,"Gamma")</f>
        <v>0.12564740532830326</v>
      </c>
      <c r="S42" s="15" cm="1">
        <f t="array" ref="S42">BSGreeksRR(M42,$B$2,$B$3,$B$6,$B$4,$B$7,$B$5,"Gamma")</f>
        <v>-0.1197125893844866</v>
      </c>
      <c r="T42" s="15" cm="1">
        <f t="array" ref="T42">BSGreeks(M42,$B$2,$B$6,$B$7,$B$5,"Vega")</f>
        <v>0.8335448993090514</v>
      </c>
      <c r="U42" s="15" cm="1">
        <f t="array" ref="U42">BSGreeks(M42,$B$3,$B$4,$B$7,$B$5,"Vega")</f>
        <v>5.8823926927867314</v>
      </c>
      <c r="V42" s="15" cm="1">
        <f t="array" ref="V42">BSGreeksRR(M42,$B$2,$B$3,$B$6,$B$4,$B$7,$B$5,"Vega")</f>
        <v>-5.0488477934776803</v>
      </c>
      <c r="W42" s="15" cm="1">
        <f t="array" ref="W42">BSGreeks(M42,$B$2,$B$6,$B$7,$B$5,"Theta")</f>
        <v>-0.69112670317514679</v>
      </c>
      <c r="X42" s="15" cm="1">
        <f t="array" ref="X42">BSGreeks(M42,$B$3,$B$4,$B$7,$B$5,"Theta")</f>
        <v>-24.884071617377845</v>
      </c>
      <c r="Y42" s="15" cm="1">
        <f t="array" ref="Y42">BSGreeksRR(M42,$B$2,$B$3,$B$6,$B$4,$B$7,$B$5,"Theta")</f>
        <v>23.455885318794817</v>
      </c>
    </row>
    <row r="43" spans="13:25" x14ac:dyDescent="0.25">
      <c r="M43">
        <v>54</v>
      </c>
      <c r="N43" s="15" cm="1">
        <f t="array" ref="N43">BSGreeks(M43,$B$2,$B$6,$B$7,$B$5,"Delta")</f>
        <v>1.9363038326749661E-2</v>
      </c>
      <c r="O43" s="15" cm="1">
        <f t="array" ref="O43">BSGreeks(M43,$B$3,$B$4,$B$7,$B$5,"Delta") - 1</f>
        <v>-0.47927967559699103</v>
      </c>
      <c r="P43" s="15" cm="1">
        <f t="array" ref="P43">BSGreeksRR(M43,$B$2,$B$3,$B$6,$B$4,$B$7,$B$5,"Delta")</f>
        <v>0.49864271392374071</v>
      </c>
      <c r="Q43" s="15" cm="1">
        <f t="array" ref="Q43">BSGreeks(M43,$B$2,$B$6,$B$7,$B$5,"Gamma")</f>
        <v>8.7232867537443016E-3</v>
      </c>
      <c r="R43" s="15" cm="1">
        <f t="array" ref="R43">BSGreeks(M43,$B$3,$B$4,$B$7,$B$5,"Gamma")</f>
        <v>0.12778816557758019</v>
      </c>
      <c r="S43" s="15" cm="1">
        <f t="array" ref="S43">BSGreeksRR(M43,$B$2,$B$3,$B$6,$B$4,$B$7,$B$5,"Gamma")</f>
        <v>-0.1190648788238359</v>
      </c>
      <c r="T43" s="15" cm="1">
        <f t="array" ref="T43">BSGreeks(M43,$B$2,$B$6,$B$7,$B$5,"Vega")</f>
        <v>1.2718552086959192</v>
      </c>
      <c r="U43" s="15" cm="1">
        <f t="array" ref="U43">BSGreeks(M43,$B$3,$B$4,$B$7,$B$5,"Vega")</f>
        <v>6.2105048470703972</v>
      </c>
      <c r="V43" s="15" cm="1">
        <f t="array" ref="V43">BSGreeksRR(M43,$B$2,$B$3,$B$6,$B$4,$B$7,$B$5,"Vega")</f>
        <v>-4.9386496383744785</v>
      </c>
      <c r="W43" s="15" cm="1">
        <f t="array" ref="W43">BSGreeks(M43,$B$2,$B$6,$B$7,$B$5,"Theta")</f>
        <v>-1.041774950684641</v>
      </c>
      <c r="X43" s="15" cm="1">
        <f t="array" ref="X43">BSGreeks(M43,$B$3,$B$4,$B$7,$B$5,"Theta")</f>
        <v>-26.248008229698293</v>
      </c>
      <c r="Y43" s="15" cm="1">
        <f t="array" ref="Y43">BSGreeksRR(M43,$B$2,$B$3,$B$6,$B$4,$B$7,$B$5,"Theta")</f>
        <v>24.353524980369933</v>
      </c>
    </row>
    <row r="44" spans="13:25" x14ac:dyDescent="0.25">
      <c r="M44">
        <v>55</v>
      </c>
      <c r="N44" s="15" cm="1">
        <f t="array" ref="N44">BSGreeks(M44,$B$2,$B$6,$B$7,$B$5,"Delta")</f>
        <v>2.9809933916271653E-2</v>
      </c>
      <c r="O44" s="15" cm="1">
        <f t="array" ref="O44">BSGreeks(M44,$B$3,$B$4,$B$7,$B$5,"Delta") - 1</f>
        <v>-0.35577398088307888</v>
      </c>
      <c r="P44" s="15" cm="1">
        <f t="array" ref="P44">BSGreeksRR(M44,$B$2,$B$3,$B$6,$B$4,$B$7,$B$5,"Delta")</f>
        <v>0.3855839147993505</v>
      </c>
      <c r="Q44" s="15" cm="1">
        <f t="array" ref="Q44">BSGreeks(M44,$B$2,$B$6,$B$7,$B$5,"Gamma")</f>
        <v>1.2306220075030622E-2</v>
      </c>
      <c r="R44" s="15" cm="1">
        <f t="array" ref="R44">BSGreeks(M44,$B$3,$B$4,$B$7,$B$5,"Gamma")</f>
        <v>0.11733193152071807</v>
      </c>
      <c r="S44" s="15" cm="1">
        <f t="array" ref="S44">BSGreeksRR(M44,$B$2,$B$3,$B$6,$B$4,$B$7,$B$5,"Gamma")</f>
        <v>-0.10502571144568744</v>
      </c>
      <c r="T44" s="15" cm="1">
        <f t="array" ref="T44">BSGreeks(M44,$B$2,$B$6,$B$7,$B$5,"Vega")</f>
        <v>1.8613157863483816</v>
      </c>
      <c r="U44" s="15" cm="1">
        <f t="array" ref="U44">BSGreeks(M44,$B$3,$B$4,$B$7,$B$5,"Vega")</f>
        <v>5.9154848808362015</v>
      </c>
      <c r="V44" s="15" cm="1">
        <f t="array" ref="V44">BSGreeksRR(M44,$B$2,$B$3,$B$6,$B$4,$B$7,$B$5,"Vega")</f>
        <v>-4.0541690944878201</v>
      </c>
      <c r="W44" s="15" cm="1">
        <f t="array" ref="W44">BSGreeks(M44,$B$2,$B$6,$B$7,$B$5,"Theta")</f>
        <v>-1.513343412806611</v>
      </c>
      <c r="X44" s="15" cm="1">
        <f t="array" ref="X44">BSGreeks(M44,$B$3,$B$4,$B$7,$B$5,"Theta")</f>
        <v>-25.021633259862579</v>
      </c>
      <c r="Y44" s="15" cm="1">
        <f t="array" ref="Y44">BSGreeksRR(M44,$B$2,$B$3,$B$6,$B$4,$B$7,$B$5,"Theta")</f>
        <v>22.5387841373641</v>
      </c>
    </row>
    <row r="45" spans="13:25" x14ac:dyDescent="0.25">
      <c r="M45">
        <v>56</v>
      </c>
      <c r="N45" s="15" cm="1">
        <f t="array" ref="N45">BSGreeks(M45,$B$2,$B$6,$B$7,$B$5,"Delta")</f>
        <v>4.4245750510506353E-2</v>
      </c>
      <c r="O45" s="15" cm="1">
        <f t="array" ref="O45">BSGreeks(M45,$B$3,$B$4,$B$7,$B$5,"Delta") - 1</f>
        <v>-0.24766133755490427</v>
      </c>
      <c r="P45" s="15" cm="1">
        <f t="array" ref="P45">BSGreeksRR(M45,$B$2,$B$3,$B$6,$B$4,$B$7,$B$5,"Delta")</f>
        <v>0.2919070880654106</v>
      </c>
      <c r="Q45" s="15" cm="1">
        <f t="array" ref="Q45">BSGreeks(M45,$B$2,$B$6,$B$7,$B$5,"Gamma")</f>
        <v>1.6697325372654146E-2</v>
      </c>
      <c r="R45" s="15" cm="1">
        <f t="array" ref="R45">BSGreeks(M45,$B$3,$B$4,$B$7,$B$5,"Gamma")</f>
        <v>9.7796088488488878E-2</v>
      </c>
      <c r="S45" s="15" cm="1">
        <f t="array" ref="S45">BSGreeksRR(M45,$B$2,$B$3,$B$6,$B$4,$B$7,$B$5,"Gamma")</f>
        <v>-8.1098763115834735E-2</v>
      </c>
      <c r="T45" s="15" cm="1">
        <f t="array" ref="T45">BSGreeks(M45,$B$2,$B$6,$B$7,$B$5,"Vega")</f>
        <v>2.6181406184321707</v>
      </c>
      <c r="U45" s="15" cm="1">
        <f t="array" ref="U45">BSGreeks(M45,$B$3,$B$4,$B$7,$B$5,"Vega")</f>
        <v>5.1114755583316853</v>
      </c>
      <c r="V45" s="15" cm="1">
        <f t="array" ref="V45">BSGreeksRR(M45,$B$2,$B$3,$B$6,$B$4,$B$7,$B$5,"Vega")</f>
        <v>-2.4933349398995146</v>
      </c>
      <c r="W45" s="15" cm="1">
        <f t="array" ref="W45">BSGreeks(M45,$B$2,$B$6,$B$7,$B$5,"Theta")</f>
        <v>-2.1188032784736421</v>
      </c>
      <c r="X45" s="15" cm="1">
        <f t="array" ref="X45">BSGreeks(M45,$B$3,$B$4,$B$7,$B$5,"Theta")</f>
        <v>-21.973958162146172</v>
      </c>
      <c r="Y45" s="15" cm="1">
        <f t="array" ref="Y45">BSGreeksRR(M45,$B$2,$B$3,$B$6,$B$4,$B$7,$B$5,"Theta")</f>
        <v>18.48231756051366</v>
      </c>
    </row>
    <row r="46" spans="13:25" x14ac:dyDescent="0.25">
      <c r="M46">
        <v>57</v>
      </c>
      <c r="N46" s="15" cm="1">
        <f t="array" ref="N46">BSGreeks(M46,$B$2,$B$6,$B$7,$B$5,"Delta")</f>
        <v>6.3453456895176619E-2</v>
      </c>
      <c r="O46" s="15" cm="1">
        <f t="array" ref="O46">BSGreeks(M46,$B$3,$B$4,$B$7,$B$5,"Delta") - 1</f>
        <v>-0.16147025091452138</v>
      </c>
      <c r="P46" s="15" cm="1">
        <f t="array" ref="P46">BSGreeksRR(M46,$B$2,$B$3,$B$6,$B$4,$B$7,$B$5,"Delta")</f>
        <v>0.224923707809698</v>
      </c>
      <c r="Q46" s="15" cm="1">
        <f t="array" ref="Q46">BSGreeks(M46,$B$2,$B$6,$B$7,$B$5,"Gamma")</f>
        <v>2.183210211466937E-2</v>
      </c>
      <c r="R46" s="15" cm="1">
        <f t="array" ref="R46">BSGreeks(M46,$B$3,$B$4,$B$7,$B$5,"Gamma")</f>
        <v>7.4377728859783443E-2</v>
      </c>
      <c r="S46" s="15" cm="1">
        <f t="array" ref="S46">BSGreeksRR(M46,$B$2,$B$3,$B$6,$B$4,$B$7,$B$5,"Gamma")</f>
        <v>-5.2545626745114066E-2</v>
      </c>
      <c r="T46" s="15" cm="1">
        <f t="array" ref="T46">BSGreeks(M46,$B$2,$B$6,$B$7,$B$5,"Vega")</f>
        <v>3.5466249885280394</v>
      </c>
      <c r="U46" s="15" cm="1">
        <f t="array" ref="U46">BSGreeks(M46,$B$3,$B$4,$B$7,$B$5,"Vega")</f>
        <v>4.0275540177572733</v>
      </c>
      <c r="V46" s="15" cm="1">
        <f t="array" ref="V46">BSGreeksRR(M46,$B$2,$B$3,$B$6,$B$4,$B$7,$B$5,"Vega")</f>
        <v>-0.48092902922923325</v>
      </c>
      <c r="W46" s="15" cm="1">
        <f t="array" ref="W46">BSGreeks(M46,$B$2,$B$6,$B$7,$B$5,"Theta")</f>
        <v>-2.8615907745503373</v>
      </c>
      <c r="X46" s="15" cm="1">
        <f t="array" ref="X46">BSGreeks(M46,$B$3,$B$4,$B$7,$B$5,"Theta")</f>
        <v>-17.468180930882461</v>
      </c>
      <c r="Y46" s="15" cm="1">
        <f t="array" ref="Y46">BSGreeksRR(M46,$B$2,$B$3,$B$6,$B$4,$B$7,$B$5,"Theta")</f>
        <v>13.138496808683142</v>
      </c>
    </row>
    <row r="47" spans="13:25" x14ac:dyDescent="0.25">
      <c r="M47">
        <v>58</v>
      </c>
      <c r="N47" s="15" cm="1">
        <f t="array" ref="N47">BSGreeks(M47,$B$2,$B$6,$B$7,$B$5,"Delta")</f>
        <v>8.810833462636565E-2</v>
      </c>
      <c r="O47" s="15" cm="1">
        <f t="array" ref="O47">BSGreeks(M47,$B$3,$B$4,$B$7,$B$5,"Delta") - 1</f>
        <v>-9.8583135912372666E-2</v>
      </c>
      <c r="P47" s="15" cm="1">
        <f t="array" ref="P47">BSGreeksRR(M47,$B$2,$B$3,$B$6,$B$4,$B$7,$B$5,"Delta")</f>
        <v>0.1866914705387383</v>
      </c>
      <c r="Q47" s="15" cm="1">
        <f t="array" ref="Q47">BSGreeks(M47,$B$2,$B$6,$B$7,$B$5,"Gamma")</f>
        <v>2.7559188299661256E-2</v>
      </c>
      <c r="R47" s="15" cm="1">
        <f t="array" ref="R47">BSGreeks(M47,$B$3,$B$4,$B$7,$B$5,"Gamma")</f>
        <v>5.1865009651102245E-2</v>
      </c>
      <c r="S47" s="15" cm="1">
        <f t="array" ref="S47">BSGreeksRR(M47,$B$2,$B$3,$B$6,$B$4,$B$7,$B$5,"Gamma")</f>
        <v>-2.4305821351440986E-2</v>
      </c>
      <c r="T47" s="15" cm="1">
        <f t="array" ref="T47">BSGreeks(M47,$B$2,$B$6,$B$7,$B$5,"Vega")</f>
        <v>4.6354554720030237</v>
      </c>
      <c r="U47" s="15" cm="1">
        <f t="array" ref="U47">BSGreeks(M47,$B$3,$B$4,$B$7,$B$5,"Vega")</f>
        <v>2.9078982077717987</v>
      </c>
      <c r="V47" s="15" cm="1">
        <f t="array" ref="V47">BSGreeksRR(M47,$B$2,$B$3,$B$6,$B$4,$B$7,$B$5,"Vega")</f>
        <v>1.7275572642312249</v>
      </c>
      <c r="W47" s="15" cm="1">
        <f t="array" ref="W47">BSGreeks(M47,$B$2,$B$6,$B$7,$B$5,"Theta")</f>
        <v>-3.8777638549031836</v>
      </c>
      <c r="X47" s="15" cm="1">
        <f t="array" ref="X47">BSGreeks(M47,$B$3,$B$4,$B$7,$B$5,"Theta")</f>
        <v>-12.813859131159598</v>
      </c>
      <c r="Y47" s="15" cm="1">
        <f t="array" ref="Y47">BSGreeksRR(M47,$B$2,$B$3,$B$6,$B$4,$B$7,$B$5,"Theta")</f>
        <v>7.5325944327207441</v>
      </c>
    </row>
    <row r="48" spans="13:25" x14ac:dyDescent="0.25">
      <c r="M48">
        <v>59</v>
      </c>
      <c r="N48" s="15" cm="1">
        <f t="array" ref="N48">BSGreeks(M48,$B$2,$B$6,$B$7,$B$5,"Delta")</f>
        <v>0.11869180311816524</v>
      </c>
      <c r="O48" s="15" cm="1">
        <f t="array" ref="O48">BSGreeks(M48,$B$3,$B$4,$B$7,$B$5,"Delta") - 1</f>
        <v>-5.6397861907360292E-2</v>
      </c>
      <c r="P48" s="15" cm="1">
        <f t="array" ref="P48">BSGreeksRR(M48,$B$2,$B$3,$B$6,$B$4,$B$7,$B$5,"Delta")</f>
        <v>0.17508966502552553</v>
      </c>
      <c r="Q48" s="15" cm="1">
        <f t="array" ref="Q48">BSGreeks(M48,$B$2,$B$6,$B$7,$B$5,"Gamma")</f>
        <v>3.3643912056991049E-2</v>
      </c>
      <c r="R48" s="15" cm="1">
        <f t="array" ref="R48">BSGreeks(M48,$B$3,$B$4,$B$7,$B$5,"Gamma")</f>
        <v>3.3310306529363183E-2</v>
      </c>
      <c r="S48" s="15" cm="1">
        <f t="array" ref="S48">BSGreeksRR(M48,$B$2,$B$3,$B$6,$B$4,$B$7,$B$5,"Gamma")</f>
        <v>3.3360552762786826E-4</v>
      </c>
      <c r="T48" s="15" cm="1">
        <f t="array" ref="T48">BSGreeks(M48,$B$2,$B$6,$B$7,$B$5,"Vega")</f>
        <v>5.8557228935192924</v>
      </c>
      <c r="U48" s="15" cm="1">
        <f t="array" ref="U48">BSGreeks(M48,$B$3,$B$4,$B$7,$B$5,"Vega")</f>
        <v>1.9325529504785537</v>
      </c>
      <c r="V48" s="15" cm="1">
        <f t="array" ref="V48">BSGreeksRR(M48,$B$2,$B$3,$B$6,$B$4,$B$7,$B$5,"Vega")</f>
        <v>3.9231699430407385</v>
      </c>
      <c r="W48" s="15" cm="1">
        <f t="array" ref="W48">BSGreeks(M48,$B$2,$B$6,$B$7,$B$5,"Theta")</f>
        <v>-4.8539777921161988</v>
      </c>
      <c r="X48" s="15" cm="1">
        <f t="array" ref="X48">BSGreeks(M48,$B$3,$B$4,$B$7,$B$5,"Theta")</f>
        <v>-8.8766906008536104</v>
      </c>
      <c r="Y48" s="15" cm="1">
        <f t="array" ref="Y48">BSGreeksRR(M48,$B$2,$B$3,$B$6,$B$4,$B$7,$B$5,"Theta")</f>
        <v>2.4338514974930705</v>
      </c>
    </row>
    <row r="49" spans="13:25" x14ac:dyDescent="0.25">
      <c r="M49">
        <v>60</v>
      </c>
      <c r="N49" s="15" cm="1">
        <f t="array" ref="N49">BSGreeks(M49,$B$2,$B$6,$B$7,$B$5,"Delta")</f>
        <v>0.15541533573224398</v>
      </c>
      <c r="O49" s="15" cm="1">
        <f t="array" ref="O49">BSGreeks(M49,$B$3,$B$4,$B$7,$B$5,"Delta") - 1</f>
        <v>-3.0268697966583047E-2</v>
      </c>
      <c r="P49" s="15" cm="1">
        <f t="array" ref="P49">BSGreeksRR(M49,$B$2,$B$3,$B$6,$B$4,$B$7,$B$5,"Delta")</f>
        <v>0.18568403369882702</v>
      </c>
      <c r="Q49" s="15" cm="1">
        <f t="array" ref="Q49">BSGreeks(M49,$B$2,$B$6,$B$7,$B$5,"Gamma")</f>
        <v>3.9784836290024266E-2</v>
      </c>
      <c r="R49" s="15" cm="1">
        <f t="array" ref="R49">BSGreeks(M49,$B$3,$B$4,$B$7,$B$5,"Gamma")</f>
        <v>1.978775313582145E-2</v>
      </c>
      <c r="S49" s="15" cm="1">
        <f t="array" ref="S49">BSGreeksRR(M49,$B$2,$B$3,$B$6,$B$4,$B$7,$B$5,"Gamma")</f>
        <v>1.9997083154202816E-2</v>
      </c>
      <c r="T49" s="15" cm="1">
        <f t="array" ref="T49">BSGreeks(M49,$B$2,$B$6,$B$7,$B$5,"Vega")</f>
        <v>7.1612705322043686</v>
      </c>
      <c r="U49" s="15" cm="1">
        <f t="array" ref="U49">BSGreeks(M49,$B$3,$B$4,$B$7,$B$5,"Vega")</f>
        <v>1.1872651881492868</v>
      </c>
      <c r="V49" s="15" cm="1">
        <f t="array" ref="V49">BSGreeksRR(M49,$B$2,$B$3,$B$6,$B$4,$B$7,$B$5,"Vega")</f>
        <v>5.9740053440550813</v>
      </c>
      <c r="W49" s="15" cm="1">
        <f t="array" ref="W49">BSGreeks(M49,$B$2,$B$6,$B$7,$B$5,"Theta")</f>
        <v>-5.8984159030642589</v>
      </c>
      <c r="X49" s="15" cm="1">
        <f t="array" ref="X49">BSGreeks(M49,$B$3,$B$4,$B$7,$B$5,"Theta")</f>
        <v>-5.7785875513809497</v>
      </c>
      <c r="Y49" s="15" cm="1">
        <f t="array" ref="Y49">BSGreeksRR(M49,$B$2,$B$3,$B$6,$B$4,$B$7,$B$5,"Theta")</f>
        <v>-1.7685156059433365</v>
      </c>
    </row>
    <row r="50" spans="13:25" x14ac:dyDescent="0.25">
      <c r="M50">
        <v>61</v>
      </c>
      <c r="N50" s="15" cm="1">
        <f t="array" ref="N50">BSGreeks(M50,$B$2,$B$6,$B$7,$B$5,"Delta")</f>
        <v>0.1981667642454874</v>
      </c>
      <c r="O50" s="15" cm="1">
        <f t="array" ref="O50">BSGreeks(M50,$B$3,$B$4,$B$7,$B$5,"Delta") - 1</f>
        <v>-1.5264626391117142E-2</v>
      </c>
      <c r="P50" s="15" cm="1">
        <f t="array" ref="P50">BSGreeksRR(M50,$B$2,$B$3,$B$6,$B$4,$B$7,$B$5,"Delta")</f>
        <v>0.21343139063660455</v>
      </c>
      <c r="Q50" s="15" cm="1">
        <f t="array" ref="Q50">BSGreeks(M50,$B$2,$B$6,$B$7,$B$5,"Gamma")</f>
        <v>4.5641478201792506E-2</v>
      </c>
      <c r="R50" s="15" cm="1">
        <f t="array" ref="R50">BSGreeks(M50,$B$3,$B$4,$B$7,$B$5,"Gamma")</f>
        <v>1.0915831182345933E-2</v>
      </c>
      <c r="S50" s="15" cm="1">
        <f t="array" ref="S50">BSGreeksRR(M50,$B$2,$B$3,$B$6,$B$4,$B$7,$B$5,"Gamma")</f>
        <v>3.4725647019446575E-2</v>
      </c>
      <c r="T50" s="15" cm="1">
        <f t="array" ref="T50">BSGreeks(M50,$B$2,$B$6,$B$7,$B$5,"Vega")</f>
        <v>8.4915970194434962</v>
      </c>
      <c r="U50" s="15" cm="1">
        <f t="array" ref="U50">BSGreeks(M50,$B$3,$B$4,$B$7,$B$5,"Vega")</f>
        <v>0.67696346382515349</v>
      </c>
      <c r="V50" s="15" cm="1">
        <f t="array" ref="V50">BSGreeksRR(M50,$B$2,$B$3,$B$6,$B$4,$B$7,$B$5,"Vega")</f>
        <v>7.8146335556183422</v>
      </c>
      <c r="W50" s="15" cm="1">
        <f t="array" ref="W50">BSGreeks(M50,$B$2,$B$6,$B$7,$B$5,"Theta")</f>
        <v>-6.9626770928555617</v>
      </c>
      <c r="X50" s="15" cm="1">
        <f t="array" ref="X50">BSGreeks(M50,$B$3,$B$4,$B$7,$B$5,"Theta")</f>
        <v>-3.6573031184543754</v>
      </c>
      <c r="Y50" s="15" cm="1">
        <f t="array" ref="Y50">BSGreeksRR(M50,$B$2,$B$3,$B$6,$B$4,$B$7,$B$5,"Theta")</f>
        <v>-5.0099645656344247</v>
      </c>
    </row>
    <row r="51" spans="13:25" x14ac:dyDescent="0.25">
      <c r="M51">
        <v>62</v>
      </c>
      <c r="N51" s="15" cm="1">
        <f t="array" ref="N51">BSGreeks(M51,$B$2,$B$6,$B$7,$B$5,"Delta")</f>
        <v>0.24648825940599439</v>
      </c>
      <c r="O51" s="15" cm="1">
        <f t="array" ref="O51">BSGreeks(M51,$B$3,$B$4,$B$7,$B$5,"Delta") - 1</f>
        <v>-7.2467132546043533E-3</v>
      </c>
      <c r="P51" s="15" cm="1">
        <f t="array" ref="P51">BSGreeksRR(M51,$B$2,$B$3,$B$6,$B$4,$B$7,$B$5,"Delta")</f>
        <v>0.25373497266059875</v>
      </c>
      <c r="Q51" s="15" cm="1">
        <f t="array" ref="Q51">BSGreeks(M51,$B$2,$B$6,$B$7,$B$5,"Gamma")</f>
        <v>5.0869110803251884E-2</v>
      </c>
      <c r="R51" s="15" cm="1">
        <f t="array" ref="R51">BSGreeks(M51,$B$3,$B$4,$B$7,$B$5,"Gamma")</f>
        <v>5.6128627869135488E-3</v>
      </c>
      <c r="S51" s="15" cm="1">
        <f t="array" ref="S51">BSGreeksRR(M51,$B$2,$B$3,$B$6,$B$4,$B$7,$B$5,"Gamma")</f>
        <v>4.5256248016338332E-2</v>
      </c>
      <c r="T51" s="15" cm="1">
        <f t="array" ref="T51">BSGreeks(M51,$B$2,$B$6,$B$7,$B$5,"Vega")</f>
        <v>9.7770430963850128</v>
      </c>
      <c r="U51" s="15" cm="1">
        <f t="array" ref="U51">BSGreeks(M51,$B$3,$B$4,$B$7,$B$5,"Vega")</f>
        <v>0.359597409214928</v>
      </c>
      <c r="V51" s="15" cm="1">
        <f t="array" ref="V51">BSGreeksRR(M51,$B$2,$B$3,$B$6,$B$4,$B$7,$B$5,"Vega")</f>
        <v>9.4174456871700851</v>
      </c>
      <c r="W51" s="15" cm="1">
        <f t="array" ref="W51">BSGreeks(M51,$B$2,$B$6,$B$7,$B$5,"Theta")</f>
        <v>-7.991033954408775</v>
      </c>
      <c r="X51" s="15" cm="1">
        <f t="array" ref="X51">BSGreeks(M51,$B$3,$B$4,$B$7,$B$5,"Theta")</f>
        <v>-2.3380372036161607</v>
      </c>
      <c r="Y51" s="15" cm="1">
        <f t="array" ref="Y51">BSGreeksRR(M51,$B$2,$B$3,$B$6,$B$4,$B$7,$B$5,"Theta")</f>
        <v>-7.4130252533062508</v>
      </c>
    </row>
    <row r="52" spans="13:25" x14ac:dyDescent="0.25">
      <c r="M52">
        <v>63</v>
      </c>
      <c r="N52" s="15" cm="1">
        <f t="array" ref="N52">BSGreeks(M52,$B$2,$B$6,$B$7,$B$5,"Delta")</f>
        <v>0.299590399679805</v>
      </c>
      <c r="O52" s="15" cm="1">
        <f t="array" ref="O52">BSGreeks(M52,$B$3,$B$4,$B$7,$B$5,"Delta") - 1</f>
        <v>-3.2450981601236384E-3</v>
      </c>
      <c r="P52" s="15" cm="1">
        <f t="array" ref="P52">BSGreeksRR(M52,$B$2,$B$3,$B$6,$B$4,$B$7,$B$5,"Delta")</f>
        <v>0.30283549783992864</v>
      </c>
      <c r="Q52" s="15" cm="1">
        <f t="array" ref="Q52">BSGreeks(M52,$B$2,$B$6,$B$7,$B$5,"Gamma")</f>
        <v>5.5155171153491063E-2</v>
      </c>
      <c r="R52" s="15" cm="1">
        <f t="array" ref="R52">BSGreeks(M52,$B$3,$B$4,$B$7,$B$5,"Gamma")</f>
        <v>2.6996518795256146E-3</v>
      </c>
      <c r="S52" s="15" cm="1">
        <f t="array" ref="S52">BSGreeksRR(M52,$B$2,$B$3,$B$6,$B$4,$B$7,$B$5,"Gamma")</f>
        <v>5.2455519273965447E-2</v>
      </c>
      <c r="T52" s="15" cm="1">
        <f t="array" ref="T52">BSGreeks(M52,$B$2,$B$6,$B$7,$B$5,"Vega")</f>
        <v>10.945543715410302</v>
      </c>
      <c r="U52" s="15" cm="1">
        <f t="array" ref="U52">BSGreeks(M52,$B$3,$B$4,$B$7,$B$5,"Vega")</f>
        <v>0.17858197183061941</v>
      </c>
      <c r="V52" s="15" cm="1">
        <f t="array" ref="V52">BSGreeksRR(M52,$B$2,$B$3,$B$6,$B$4,$B$7,$B$5,"Vega")</f>
        <v>10.766961743579683</v>
      </c>
      <c r="W52" s="15" cm="1">
        <f t="array" ref="W52">BSGreeks(M52,$B$2,$B$6,$B$7,$B$5,"Theta")</f>
        <v>-8.9258344496290061</v>
      </c>
      <c r="X52" s="15" cm="1">
        <f t="array" ref="X52">BSGreeks(M52,$B$3,$B$4,$B$7,$B$5,"Theta")</f>
        <v>-1.6040353262692439</v>
      </c>
      <c r="Y52" s="15" cm="1">
        <f t="array" ref="Y52">BSGreeksRR(M52,$B$2,$B$3,$B$6,$B$4,$B$7,$B$5,"Theta")</f>
        <v>-9.1573984041774263</v>
      </c>
    </row>
    <row r="53" spans="13:25" x14ac:dyDescent="0.25">
      <c r="M53">
        <v>64</v>
      </c>
      <c r="N53" s="15" cm="1">
        <f t="array" ref="N53">BSGreeks(M53,$B$2,$B$6,$B$7,$B$5,"Delta")</f>
        <v>0.35640106516635273</v>
      </c>
      <c r="O53" s="15" cm="1">
        <f t="array" ref="O53">BSGreeks(M53,$B$3,$B$4,$B$7,$B$5,"Delta") - 1</f>
        <v>-1.3735782149469911E-3</v>
      </c>
      <c r="P53" s="15" cm="1">
        <f t="array" ref="P53">BSGreeksRR(M53,$B$2,$B$3,$B$6,$B$4,$B$7,$B$5,"Delta")</f>
        <v>0.35777464338129972</v>
      </c>
      <c r="Q53" s="15" cm="1">
        <f t="array" ref="Q53">BSGreeks(M53,$B$2,$B$6,$B$7,$B$5,"Gamma")</f>
        <v>5.8251605731383681E-2</v>
      </c>
      <c r="R53" s="15" cm="1">
        <f t="array" ref="R53">BSGreeks(M53,$B$3,$B$4,$B$7,$B$5,"Gamma")</f>
        <v>1.2186130417673039E-3</v>
      </c>
      <c r="S53" s="15" cm="1">
        <f t="array" ref="S53">BSGreeksRR(M53,$B$2,$B$3,$B$6,$B$4,$B$7,$B$5,"Gamma")</f>
        <v>5.7032992689616376E-2</v>
      </c>
      <c r="T53" s="15" cm="1">
        <f t="array" ref="T53">BSGreeks(M53,$B$2,$B$6,$B$7,$B$5,"Vega")</f>
        <v>11.929928853787379</v>
      </c>
      <c r="U53" s="15" cm="1">
        <f t="array" ref="U53">BSGreeks(M53,$B$3,$B$4,$B$7,$B$5,"Vega")</f>
        <v>8.3190650317981285E-2</v>
      </c>
      <c r="V53" s="15" cm="1">
        <f t="array" ref="V53">BSGreeksRR(M53,$B$2,$B$3,$B$6,$B$4,$B$7,$B$5,"Vega")</f>
        <v>11.846738203469398</v>
      </c>
      <c r="W53" s="15" cm="1">
        <f t="array" ref="W53">BSGreeks(M53,$B$2,$B$6,$B$7,$B$5,"Theta")</f>
        <v>-10.077803365318283</v>
      </c>
      <c r="X53" s="15" cm="1">
        <f t="array" ref="X53">BSGreeks(M53,$B$3,$B$4,$B$7,$B$5,"Theta")</f>
        <v>-1.2075010491627782</v>
      </c>
      <c r="Y53" s="15" cm="1">
        <f t="array" ref="Y53">BSGreeksRR(M53,$B$2,$B$3,$B$6,$B$4,$B$7,$B$5,"Theta")</f>
        <v>-10.401064064179584</v>
      </c>
    </row>
    <row r="54" spans="13:25" x14ac:dyDescent="0.25">
      <c r="M54">
        <v>65</v>
      </c>
      <c r="N54" s="15" cm="1">
        <f t="array" ref="N54">BSGreeks(M54,$B$2,$B$6,$B$7,$B$5,"Delta")</f>
        <v>0.41564261873070607</v>
      </c>
      <c r="O54" s="15" cm="1">
        <f t="array" ref="O54">BSGreeks(M54,$B$3,$B$4,$B$7,$B$5,"Delta") - 1</f>
        <v>-5.5073186817111708E-4</v>
      </c>
      <c r="P54" s="15" cm="1">
        <f t="array" ref="P54">BSGreeksRR(M54,$B$2,$B$3,$B$6,$B$4,$B$7,$B$5,"Delta")</f>
        <v>0.41619335059887719</v>
      </c>
      <c r="Q54" s="15" cm="1">
        <f t="array" ref="Q54">BSGreeks(M54,$B$2,$B$6,$B$7,$B$5,"Gamma")</f>
        <v>5.9998446667979349E-2</v>
      </c>
      <c r="R54" s="15" cm="1">
        <f t="array" ref="R54">BSGreeks(M54,$B$3,$B$4,$B$7,$B$5,"Gamma")</f>
        <v>5.1786252327140603E-4</v>
      </c>
      <c r="S54" s="15" cm="1">
        <f t="array" ref="S54">BSGreeksRR(M54,$B$2,$B$3,$B$6,$B$4,$B$7,$B$5,"Gamma")</f>
        <v>5.9480584144707943E-2</v>
      </c>
      <c r="T54" s="15" cm="1">
        <f t="array" ref="T54">BSGreeks(M54,$B$2,$B$6,$B$7,$B$5,"Vega")</f>
        <v>12.674671858610639</v>
      </c>
      <c r="U54" s="15" cm="1">
        <f t="array" ref="U54">BSGreeks(M54,$B$3,$B$4,$B$7,$B$5,"Vega")</f>
        <v>3.6466152680361505E-2</v>
      </c>
      <c r="V54" s="15" cm="1">
        <f t="array" ref="V54">BSGreeksRR(M54,$B$2,$B$3,$B$6,$B$4,$B$7,$B$5,"Vega")</f>
        <v>12.638205705930277</v>
      </c>
      <c r="W54" s="15" cm="1">
        <f t="array" ref="W54">BSGreeks(M54,$B$2,$B$6,$B$7,$B$5,"Theta")</f>
        <v>-10.67359776917689</v>
      </c>
      <c r="X54" s="15" cm="1">
        <f t="array" ref="X54">BSGreeks(M54,$B$3,$B$4,$B$7,$B$5,"Theta")</f>
        <v>-1.0132709598832037</v>
      </c>
      <c r="Y54" s="15" cm="1">
        <f t="array" ref="Y54">BSGreeksRR(M54,$B$2,$B$3,$B$6,$B$4,$B$7,$B$5,"Theta")</f>
        <v>-11.253076422591072</v>
      </c>
    </row>
    <row r="55" spans="13:25" x14ac:dyDescent="0.25">
      <c r="M55">
        <v>66</v>
      </c>
      <c r="N55" s="15" cm="1">
        <f t="array" ref="N55">BSGreeks(M55,$B$2,$B$6,$B$7,$B$5,"Delta")</f>
        <v>0.47592698199285588</v>
      </c>
      <c r="O55" s="15" cm="1">
        <f t="array" ref="O55">BSGreeks(M55,$B$3,$B$4,$B$7,$B$5,"Delta") - 1</f>
        <v>-2.0960937034608662E-4</v>
      </c>
      <c r="P55" s="15" cm="1">
        <f t="array" ref="P55">BSGreeksRR(M55,$B$2,$B$3,$B$6,$B$4,$B$7,$B$5,"Delta")</f>
        <v>0.47613659136320197</v>
      </c>
      <c r="Q55" s="15" cm="1">
        <f t="array" ref="Q55">BSGreeks(M55,$B$2,$B$6,$B$7,$B$5,"Gamma")</f>
        <v>6.0335719925500748E-2</v>
      </c>
      <c r="R55" s="15" cm="1">
        <f t="array" ref="R55">BSGreeks(M55,$B$3,$B$4,$B$7,$B$5,"Gamma")</f>
        <v>2.077936856546245E-4</v>
      </c>
      <c r="S55" s="15" cm="1">
        <f t="array" ref="S55">BSGreeksRR(M55,$B$2,$B$3,$B$6,$B$4,$B$7,$B$5,"Gamma")</f>
        <v>6.012792623984612E-2</v>
      </c>
      <c r="T55" s="15" cm="1">
        <f t="array" ref="T55">BSGreeks(M55,$B$2,$B$6,$B$7,$B$5,"Vega")</f>
        <v>13.141119799774064</v>
      </c>
      <c r="U55" s="15" cm="1">
        <f t="array" ref="U55">BSGreeks(M55,$B$3,$B$4,$B$7,$B$5,"Vega")</f>
        <v>1.5085821578525737E-2</v>
      </c>
      <c r="V55" s="15" cm="1">
        <f t="array" ref="V55">BSGreeksRR(M55,$B$2,$B$3,$B$6,$B$4,$B$7,$B$5,"Vega")</f>
        <v>13.126033978195538</v>
      </c>
      <c r="W55" s="15" cm="1">
        <f t="array" ref="W55">BSGreeks(M55,$B$2,$B$6,$B$7,$B$5,"Theta")</f>
        <v>-11.046756122107631</v>
      </c>
      <c r="X55" s="15" cm="1">
        <f t="array" ref="X55">BSGreeks(M55,$B$3,$B$4,$B$7,$B$5,"Theta")</f>
        <v>-0.92439459248074451</v>
      </c>
      <c r="Y55" s="15" cm="1">
        <f t="array" ref="Y55">BSGreeksRR(M55,$B$2,$B$3,$B$6,$B$4,$B$7,$B$5,"Theta")</f>
        <v>-11.778646691841807</v>
      </c>
    </row>
    <row r="56" spans="13:25" x14ac:dyDescent="0.25">
      <c r="M56">
        <v>67</v>
      </c>
      <c r="N56" s="15" cm="1">
        <f t="array" ref="N56">BSGreeks(M56,$B$2,$B$6,$B$7,$B$5,"Delta")</f>
        <v>0.53585639258517215</v>
      </c>
      <c r="O56" s="15" cm="1">
        <f t="array" ref="O56">BSGreeks(M56,$B$3,$B$4,$B$7,$B$5,"Delta") - 1</f>
        <v>-7.5888559769254904E-5</v>
      </c>
      <c r="P56" s="15" cm="1">
        <f t="array" ref="P56">BSGreeksRR(M56,$B$2,$B$3,$B$6,$B$4,$B$7,$B$5,"Delta")</f>
        <v>0.5359322811449414</v>
      </c>
      <c r="Q56" s="15" cm="1">
        <f t="array" ref="Q56">BSGreeks(M56,$B$2,$B$6,$B$7,$B$5,"Gamma")</f>
        <v>5.9302959937117657E-2</v>
      </c>
      <c r="R56" s="15" cm="1">
        <f t="array" ref="R56">BSGreeks(M56,$B$3,$B$4,$B$7,$B$5,"Gamma")</f>
        <v>7.894525744319431E-5</v>
      </c>
      <c r="S56" s="15" cm="1">
        <f t="array" ref="S56">BSGreeksRR(M56,$B$2,$B$3,$B$6,$B$4,$B$7,$B$5,"Gamma")</f>
        <v>5.9224014679674468E-2</v>
      </c>
      <c r="T56" s="15" cm="1">
        <f t="array" ref="T56">BSGreeks(M56,$B$2,$B$6,$B$7,$B$5,"Vega")</f>
        <v>13.31054935788606</v>
      </c>
      <c r="U56" s="15" cm="1">
        <f t="array" ref="U56">BSGreeks(M56,$B$3,$B$4,$B$7,$B$5,"Vega")</f>
        <v>5.9064210110416539E-3</v>
      </c>
      <c r="V56" s="15" cm="1">
        <f t="array" ref="V56">BSGreeksRR(M56,$B$2,$B$3,$B$6,$B$4,$B$7,$B$5,"Vega")</f>
        <v>13.304642936875018</v>
      </c>
      <c r="W56" s="15" cm="1">
        <f t="array" ref="W56">BSGreeks(M56,$B$2,$B$6,$B$7,$B$5,"Theta")</f>
        <v>-11.182299768597227</v>
      </c>
      <c r="X56" s="15" cm="1">
        <f t="array" ref="X56">BSGreeks(M56,$B$3,$B$4,$B$7,$B$5,"Theta")</f>
        <v>-0.88737397124363404</v>
      </c>
      <c r="Y56" s="15" cm="1">
        <f t="array" ref="Y56">BSGreeksRR(M56,$B$2,$B$3,$B$6,$B$4,$B$7,$B$5,"Theta")</f>
        <v>-12.016254012216558</v>
      </c>
    </row>
    <row r="57" spans="13:25" x14ac:dyDescent="0.25">
      <c r="M57">
        <v>68</v>
      </c>
      <c r="N57" s="15" cm="1">
        <f t="array" ref="N57">BSGreeks(M57,$B$2,$B$6,$B$7,$B$5,"Delta")</f>
        <v>0.59411795481580976</v>
      </c>
      <c r="O57" s="15" cm="1">
        <f t="array" ref="O57">BSGreeks(M57,$B$3,$B$4,$B$7,$B$5,"Delta") - 1</f>
        <v>-2.6189671195497866E-5</v>
      </c>
      <c r="P57" s="15" cm="1">
        <f t="array" ref="P57">BSGreeksRR(M57,$B$2,$B$3,$B$6,$B$4,$B$7,$B$5,"Delta")</f>
        <v>0.59414414448700525</v>
      </c>
      <c r="Q57" s="15" cm="1">
        <f t="array" ref="Q57">BSGreeks(M57,$B$2,$B$6,$B$7,$B$5,"Gamma")</f>
        <v>5.7027648865770643E-2</v>
      </c>
      <c r="R57" s="15" cm="1">
        <f t="array" ref="R57">BSGreeks(M57,$B$3,$B$4,$B$7,$B$5,"Gamma")</f>
        <v>2.8473125776247036E-5</v>
      </c>
      <c r="S57" s="15" cm="1">
        <f t="array" ref="S57">BSGreeksRR(M57,$B$2,$B$3,$B$6,$B$4,$B$7,$B$5,"Gamma")</f>
        <v>5.6999175739994398E-2</v>
      </c>
      <c r="T57" s="15" cm="1">
        <f t="array" ref="T57">BSGreeks(M57,$B$2,$B$6,$B$7,$B$5,"Vega")</f>
        <v>13.184792417766174</v>
      </c>
      <c r="U57" s="15" cm="1">
        <f t="array" ref="U57">BSGreeks(M57,$B$3,$B$4,$B$7,$B$5,"Vega")</f>
        <v>2.1943288931561048E-3</v>
      </c>
      <c r="V57" s="15" cm="1">
        <f t="array" ref="V57">BSGreeksRR(M57,$B$2,$B$3,$B$6,$B$4,$B$7,$B$5,"Vega")</f>
        <v>13.182598088873018</v>
      </c>
      <c r="W57" s="15" cm="1">
        <f t="array" ref="W57">BSGreeks(M57,$B$2,$B$6,$B$7,$B$5,"Theta")</f>
        <v>-11.081694216501319</v>
      </c>
      <c r="X57" s="15" cm="1">
        <f t="array" ref="X57">BSGreeks(M57,$B$3,$B$4,$B$7,$B$5,"Theta")</f>
        <v>-0.87194309408230508</v>
      </c>
      <c r="Y57" s="15" cm="1">
        <f t="array" ref="Y57">BSGreeksRR(M57,$B$2,$B$3,$B$6,$B$4,$B$7,$B$5,"Theta")</f>
        <v>-11.994052394808202</v>
      </c>
    </row>
    <row r="58" spans="13:25" x14ac:dyDescent="0.25">
      <c r="M58">
        <v>69</v>
      </c>
      <c r="N58" s="15" cm="1">
        <f t="array" ref="N58">BSGreeks(M58,$B$2,$B$6,$B$7,$B$5,"Delta")</f>
        <v>0.64956223167458349</v>
      </c>
      <c r="O58" s="15" cm="1">
        <f t="array" ref="O58">BSGreeks(M58,$B$3,$B$4,$B$7,$B$5,"Delta") - 1</f>
        <v>-8.6325946956344879E-6</v>
      </c>
      <c r="P58" s="15" cm="1">
        <f t="array" ref="P58">BSGreeksRR(M58,$B$2,$B$3,$B$6,$B$4,$B$7,$B$5,"Delta")</f>
        <v>0.64957086426927912</v>
      </c>
      <c r="Q58" s="15" cm="1">
        <f t="array" ref="Q58">BSGreeks(M58,$B$2,$B$6,$B$7,$B$5,"Gamma")</f>
        <v>5.3705424179453766E-2</v>
      </c>
      <c r="R58" s="15" cm="1">
        <f t="array" ref="R58">BSGreeks(M58,$B$3,$B$4,$B$7,$B$5,"Gamma")</f>
        <v>9.7731969189836466E-6</v>
      </c>
      <c r="S58" s="15" cm="1">
        <f t="array" ref="S58">BSGreeksRR(M58,$B$2,$B$3,$B$6,$B$4,$B$7,$B$5,"Gamma")</f>
        <v>5.3695650982534787E-2</v>
      </c>
      <c r="T58" s="15" cm="1">
        <f t="array" ref="T58">BSGreeks(M58,$B$2,$B$6,$B$7,$B$5,"Vega")</f>
        <v>12.78457622591897</v>
      </c>
      <c r="U58" s="15" cm="1">
        <f t="array" ref="U58">BSGreeks(M58,$B$3,$B$4,$B$7,$B$5,"Vega")</f>
        <v>7.7550317552135231E-4</v>
      </c>
      <c r="V58" s="15" cm="1">
        <f t="array" ref="V58">BSGreeksRR(M58,$B$2,$B$3,$B$6,$B$4,$B$7,$B$5,"Vega")</f>
        <v>12.783800722743448</v>
      </c>
      <c r="W58" s="15" cm="1">
        <f t="array" ref="W58">BSGreeks(M58,$B$2,$B$6,$B$7,$B$5,"Theta")</f>
        <v>-10.761521263023557</v>
      </c>
      <c r="X58" s="15" cm="1">
        <f t="array" ref="X58">BSGreeks(M58,$B$3,$B$4,$B$7,$B$5,"Theta")</f>
        <v>-0.86604514633023599</v>
      </c>
      <c r="Y58" s="15" cm="1">
        <f t="array" ref="Y58">BSGreeksRR(M58,$B$2,$B$3,$B$6,$B$4,$B$7,$B$5,"Theta")</f>
        <v>-11.74055909953077</v>
      </c>
    </row>
    <row r="59" spans="13:25" x14ac:dyDescent="0.25">
      <c r="M59">
        <v>70</v>
      </c>
      <c r="N59" s="15" cm="1">
        <f t="array" ref="N59">BSGreeks(M59,$B$2,$B$6,$B$7,$B$5,"Delta")</f>
        <v>0.70125943349878739</v>
      </c>
      <c r="O59" s="15" cm="1">
        <f t="array" ref="O59">BSGreeks(M59,$B$3,$B$4,$B$7,$B$5,"Delta") - 1</f>
        <v>-2.7230327399596632E-6</v>
      </c>
      <c r="P59" s="15" cm="1">
        <f t="array" ref="P59">BSGreeksRR(M59,$B$2,$B$3,$B$6,$B$4,$B$7,$B$5,"Delta")</f>
        <v>0.70126215653152735</v>
      </c>
      <c r="Q59" s="15" cm="1">
        <f t="array" ref="Q59">BSGreeks(M59,$B$2,$B$6,$B$7,$B$5,"Gamma")</f>
        <v>4.9575697740120293E-2</v>
      </c>
      <c r="R59" s="15" cm="1">
        <f t="array" ref="R59">BSGreeks(M59,$B$3,$B$4,$B$7,$B$5,"Gamma")</f>
        <v>3.1999937503466354E-6</v>
      </c>
      <c r="S59" s="15" cm="1">
        <f t="array" ref="S59">BSGreeksRR(M59,$B$2,$B$3,$B$6,$B$4,$B$7,$B$5,"Gamma")</f>
        <v>4.9572497746369945E-2</v>
      </c>
      <c r="T59" s="15" cm="1">
        <f t="array" ref="T59">BSGreeks(M59,$B$2,$B$6,$B$7,$B$5,"Vega")</f>
        <v>12.146045946329473</v>
      </c>
      <c r="U59" s="15" cm="1">
        <f t="array" ref="U59">BSGreeks(M59,$B$3,$B$4,$B$7,$B$5,"Vega")</f>
        <v>2.6133282294497521E-4</v>
      </c>
      <c r="V59" s="15" cm="1">
        <f t="array" ref="V59">BSGreeksRR(M59,$B$2,$B$3,$B$6,$B$4,$B$7,$B$5,"Vega")</f>
        <v>12.145784613506528</v>
      </c>
      <c r="W59" s="15" cm="1">
        <f t="array" ref="W59">BSGreeks(M59,$B$2,$B$6,$B$7,$B$5,"Theta")</f>
        <v>-10.250697039351959</v>
      </c>
      <c r="X59" s="15" cm="1">
        <f t="array" ref="X59">BSGreeks(M59,$B$3,$B$4,$B$7,$B$5,"Theta")</f>
        <v>-0.86390778031165716</v>
      </c>
      <c r="Y59" s="15" cm="1">
        <f t="array" ref="Y59">BSGreeksRR(M59,$B$2,$B$3,$B$6,$B$4,$B$7,$B$5,"Theta")</f>
        <v>-11.289360581042837</v>
      </c>
    </row>
    <row r="60" spans="13:25" x14ac:dyDescent="0.25">
      <c r="M60">
        <v>71</v>
      </c>
      <c r="N60" s="15" cm="1">
        <f t="array" ref="N60">BSGreeks(M60,$B$2,$B$6,$B$7,$B$5,"Delta")</f>
        <v>0.74853048857038917</v>
      </c>
      <c r="O60" s="15" cm="1">
        <f t="array" ref="O60">BSGreeks(M60,$B$3,$B$4,$B$7,$B$5,"Delta") - 1</f>
        <v>-8.2352808061791904E-7</v>
      </c>
      <c r="P60" s="15" cm="1">
        <f t="array" ref="P60">BSGreeksRR(M60,$B$2,$B$3,$B$6,$B$4,$B$7,$B$5,"Delta")</f>
        <v>0.74853131209846979</v>
      </c>
      <c r="Q60" s="15" cm="1">
        <f t="array" ref="Q60">BSGreeks(M60,$B$2,$B$6,$B$7,$B$5,"Gamma")</f>
        <v>4.489638715938149E-2</v>
      </c>
      <c r="R60" s="15" cm="1">
        <f t="array" ref="R60">BSGreeks(M60,$B$3,$B$4,$B$7,$B$5,"Gamma")</f>
        <v>1.0016974335516096E-6</v>
      </c>
      <c r="S60" s="15" cm="1">
        <f t="array" ref="S60">BSGreeksRR(M60,$B$2,$B$3,$B$6,$B$4,$B$7,$B$5,"Gamma")</f>
        <v>4.4895385461947934E-2</v>
      </c>
      <c r="T60" s="15" cm="1">
        <f t="array" ref="T60">BSGreeks(M60,$B$2,$B$6,$B$7,$B$5,"Vega")</f>
        <v>11.316134383522105</v>
      </c>
      <c r="U60" s="15" cm="1">
        <f t="array" ref="U60">BSGreeks(M60,$B$3,$B$4,$B$7,$B$5,"Vega")</f>
        <v>8.4159279375561061E-5</v>
      </c>
      <c r="V60" s="15" cm="1">
        <f t="array" ref="V60">BSGreeksRR(M60,$B$2,$B$3,$B$6,$B$4,$B$7,$B$5,"Vega")</f>
        <v>11.31605022424273</v>
      </c>
      <c r="W60" s="15" cm="1">
        <f t="array" ref="W60">BSGreeks(M60,$B$2,$B$6,$B$7,$B$5,"Theta")</f>
        <v>-9.9512285940936795</v>
      </c>
      <c r="X60" s="15" cm="1">
        <f t="array" ref="X60">BSGreeks(M60,$B$3,$B$4,$B$7,$B$5,"Theta")</f>
        <v>-0.86319836387656124</v>
      </c>
      <c r="Y60" s="15" cm="1">
        <f t="array" ref="Y60">BSGreeksRR(M60,$B$2,$B$3,$B$6,$B$4,$B$7,$B$5,"Theta")</f>
        <v>-10.679485472518728</v>
      </c>
    </row>
    <row r="61" spans="13:25" x14ac:dyDescent="0.25">
      <c r="M61">
        <v>72</v>
      </c>
      <c r="N61" s="15" cm="1">
        <f t="array" ref="N61">BSGreeks(M61,$B$2,$B$6,$B$7,$B$5,"Delta")</f>
        <v>0.79095375012029878</v>
      </c>
      <c r="O61" s="15" cm="1">
        <f t="array" ref="O61">BSGreeks(M61,$B$3,$B$4,$B$7,$B$5,"Delta") - 1</f>
        <v>-2.3922246539243019E-7</v>
      </c>
      <c r="P61" s="15" cm="1">
        <f t="array" ref="P61">BSGreeksRR(M61,$B$2,$B$3,$B$6,$B$4,$B$7,$B$5,"Delta")</f>
        <v>0.79095398934276417</v>
      </c>
      <c r="Q61" s="15" cm="1">
        <f t="array" ref="Q61">BSGreeks(M61,$B$2,$B$6,$B$7,$B$5,"Gamma")</f>
        <v>3.9920913628974888E-2</v>
      </c>
      <c r="R61" s="15" cm="1">
        <f t="array" ref="R61">BSGreeks(M61,$B$3,$B$4,$B$7,$B$5,"Gamma")</f>
        <v>3.0040823570940039E-7</v>
      </c>
      <c r="S61" s="15" cm="1">
        <f t="array" ref="S61">BSGreeksRR(M61,$B$2,$B$3,$B$6,$B$4,$B$7,$B$5,"Gamma")</f>
        <v>3.9920613220739178E-2</v>
      </c>
      <c r="T61" s="15" cm="1">
        <f t="array" ref="T61">BSGreeks(M61,$B$2,$B$6,$B$7,$B$5,"Vega")</f>
        <v>10.347500812630292</v>
      </c>
      <c r="U61" s="15" cm="1">
        <f t="array" ref="U61">BSGreeks(M61,$B$3,$B$4,$B$7,$B$5,"Vega")</f>
        <v>2.5955271565292194E-5</v>
      </c>
      <c r="V61" s="15" cm="1">
        <f t="array" ref="V61">BSGreeksRR(M61,$B$2,$B$3,$B$6,$B$4,$B$7,$B$5,"Vega")</f>
        <v>10.347474857358726</v>
      </c>
      <c r="W61" s="15" cm="1">
        <f t="array" ref="W61">BSGreeks(M61,$B$2,$B$6,$B$7,$B$5,"Theta")</f>
        <v>-9.1763217373802277</v>
      </c>
      <c r="X61" s="15" cm="1">
        <f t="array" ref="X61">BSGreeks(M61,$B$3,$B$4,$B$7,$B$5,"Theta")</f>
        <v>-0.86295641435960557</v>
      </c>
      <c r="Y61" s="15" cm="1">
        <f t="array" ref="Y61">BSGreeksRR(M61,$B$2,$B$3,$B$6,$B$4,$B$7,$B$5,"Theta")</f>
        <v>-9.9533468049500904</v>
      </c>
    </row>
    <row r="62" spans="13:25" x14ac:dyDescent="0.25">
      <c r="M62">
        <v>73</v>
      </c>
      <c r="N62" s="15" cm="1">
        <f t="array" ref="N62">BSGreeks(M62,$B$2,$B$6,$B$7,$B$5,"Delta")</f>
        <v>0.82835080714968368</v>
      </c>
      <c r="O62" s="15" cm="1">
        <f t="array" ref="O62">BSGreeks(M62,$B$3,$B$4,$B$7,$B$5,"Delta") - 1</f>
        <v>-6.6861669534290513E-8</v>
      </c>
      <c r="P62" s="15" cm="1">
        <f t="array" ref="P62">BSGreeksRR(M62,$B$2,$B$3,$B$6,$B$4,$B$7,$B$5,"Delta")</f>
        <v>0.82835087401135321</v>
      </c>
      <c r="Q62" s="15" cm="1">
        <f t="array" ref="Q62">BSGreeks(M62,$B$2,$B$6,$B$7,$B$5,"Gamma")</f>
        <v>3.4879695613409929E-2</v>
      </c>
      <c r="R62" s="15" cm="1">
        <f t="array" ref="R62">BSGreeks(M62,$B$3,$B$4,$B$7,$B$5,"Gamma")</f>
        <v>8.6484846519749045E-8</v>
      </c>
      <c r="S62" s="15" cm="1">
        <f t="array" ref="S62">BSGreeksRR(M62,$B$2,$B$3,$B$6,$B$4,$B$7,$B$5,"Gamma")</f>
        <v>3.4879609128563409E-2</v>
      </c>
      <c r="T62" s="15" cm="1">
        <f t="array" ref="T62">BSGreeks(M62,$B$2,$B$6,$B$7,$B$5,"Vega")</f>
        <v>9.2936948961930756</v>
      </c>
      <c r="U62" s="15" cm="1">
        <f t="array" ref="U62">BSGreeks(M62,$B$3,$B$4,$B$7,$B$5,"Vega")</f>
        <v>7.6812957850623771E-6</v>
      </c>
      <c r="V62" s="15" cm="1">
        <f t="array" ref="V62">BSGreeksRR(M62,$B$2,$B$3,$B$6,$B$4,$B$7,$B$5,"Vega")</f>
        <v>9.2936872148972913</v>
      </c>
      <c r="W62" s="15" cm="1">
        <f t="array" ref="W62">BSGreeks(M62,$B$2,$B$6,$B$7,$B$5,"Theta")</f>
        <v>-8.3332770042304549</v>
      </c>
      <c r="X62" s="15" cm="1">
        <f t="array" ref="X62">BSGreeks(M62,$B$3,$B$4,$B$7,$B$5,"Theta")</f>
        <v>-0.86288045086878729</v>
      </c>
      <c r="Y62" s="15" cm="1">
        <f t="array" ref="Y62">BSGreeksRR(M62,$B$2,$B$3,$B$6,$B$4,$B$7,$B$5,"Theta")</f>
        <v>-9.1537520951407192</v>
      </c>
    </row>
    <row r="63" spans="13:25" x14ac:dyDescent="0.25">
      <c r="M63">
        <v>74</v>
      </c>
      <c r="N63" s="15" cm="1">
        <f t="array" ref="N63">BSGreeks(M63,$B$2,$B$6,$B$7,$B$5,"Delta")</f>
        <v>0.86075656813896118</v>
      </c>
      <c r="O63" s="15" cm="1">
        <f t="array" ref="O63">BSGreeks(M63,$B$3,$B$4,$B$7,$B$5,"Delta") - 1</f>
        <v>-1.8010580693506029E-8</v>
      </c>
      <c r="P63" s="15" cm="1">
        <f t="array" ref="P63">BSGreeksRR(M63,$B$2,$B$3,$B$6,$B$4,$B$7,$B$5,"Delta")</f>
        <v>0.86075658614954187</v>
      </c>
      <c r="Q63" s="15" cm="1">
        <f t="array" ref="Q63">BSGreeks(M63,$B$2,$B$6,$B$7,$B$5,"Gamma")</f>
        <v>2.99673091210747E-2</v>
      </c>
      <c r="R63" s="15" cm="1">
        <f t="array" ref="R63">BSGreeks(M63,$B$3,$B$4,$B$7,$B$5,"Gamma")</f>
        <v>2.3946462589496265E-8</v>
      </c>
      <c r="S63" s="15" cm="1">
        <f t="array" ref="S63">BSGreeksRR(M63,$B$2,$B$3,$B$6,$B$4,$B$7,$B$5,"Gamma")</f>
        <v>2.9967285174612113E-2</v>
      </c>
      <c r="T63" s="15" cm="1">
        <f t="array" ref="T63">BSGreeks(M63,$B$2,$B$6,$B$7,$B$5,"Vega")</f>
        <v>8.2050492373502539</v>
      </c>
      <c r="U63" s="15" cm="1">
        <f t="array" ref="U63">BSGreeks(M63,$B$3,$B$4,$B$7,$B$5,"Vega")</f>
        <v>2.185513819001359E-6</v>
      </c>
      <c r="V63" s="15" cm="1">
        <f t="array" ref="V63">BSGreeksRR(M63,$B$2,$B$3,$B$6,$B$4,$B$7,$B$5,"Vega")</f>
        <v>8.2050470518364342</v>
      </c>
      <c r="W63" s="15" cm="1">
        <f t="array" ref="W63">BSGreeks(M63,$B$2,$B$6,$B$7,$B$5,"Theta")</f>
        <v>-7.4623604771561975</v>
      </c>
      <c r="X63" s="15" cm="1">
        <f t="array" ref="X63">BSGreeks(M63,$B$3,$B$4,$B$7,$B$5,"Theta")</f>
        <v>-0.86285760533216516</v>
      </c>
      <c r="Y63" s="15" cm="1">
        <f t="array" ref="Y63">BSGreeksRR(M63,$B$2,$B$3,$B$6,$B$4,$B$7,$B$5,"Theta")</f>
        <v>-8.320961092669517</v>
      </c>
    </row>
    <row r="64" spans="13:25" x14ac:dyDescent="0.25">
      <c r="M64">
        <v>75</v>
      </c>
      <c r="N64" s="15" cm="1">
        <f t="array" ref="N64">BSGreeks(M64,$B$2,$B$6,$B$7,$B$5,"Delta")</f>
        <v>0.88837945200609714</v>
      </c>
      <c r="O64" s="15" cm="1">
        <f t="array" ref="O64">BSGreeks(M64,$B$3,$B$4,$B$7,$B$5,"Delta") - 1</f>
        <v>-4.6832491218395944E-9</v>
      </c>
      <c r="P64" s="15" cm="1">
        <f t="array" ref="P64">BSGreeksRR(M64,$B$2,$B$3,$B$6,$B$4,$B$7,$B$5,"Delta")</f>
        <v>0.88837945668934626</v>
      </c>
      <c r="Q64" s="15" cm="1">
        <f t="array" ref="Q64">BSGreeks(M64,$B$2,$B$6,$B$7,$B$5,"Gamma")</f>
        <v>2.5335500791808518E-2</v>
      </c>
      <c r="R64" s="15" cm="1">
        <f t="array" ref="R64">BSGreeks(M64,$B$3,$B$4,$B$7,$B$5,"Gamma")</f>
        <v>6.388429507343412E-9</v>
      </c>
      <c r="S64" s="15" cm="1">
        <f t="array" ref="S64">BSGreeksRR(M64,$B$2,$B$3,$B$6,$B$4,$B$7,$B$5,"Gamma")</f>
        <v>2.5335494403379011E-2</v>
      </c>
      <c r="T64" s="15" cm="1">
        <f t="array" ref="T64">BSGreeks(M64,$B$2,$B$6,$B$7,$B$5,"Vega")</f>
        <v>7.1256095976961458</v>
      </c>
      <c r="U64" s="15" cm="1">
        <f t="array" ref="U64">BSGreeks(M64,$B$3,$B$4,$B$7,$B$5,"Vega")</f>
        <v>5.9891526631344486E-7</v>
      </c>
      <c r="V64" s="15" cm="1">
        <f t="array" ref="V64">BSGreeksRR(M64,$B$2,$B$3,$B$6,$B$4,$B$7,$B$5,"Vega")</f>
        <v>7.1256089987808791</v>
      </c>
      <c r="W64" s="15" cm="1">
        <f t="array" ref="W64">BSGreeks(M64,$B$2,$B$6,$B$7,$B$5,"Theta")</f>
        <v>-6.5988087654329117</v>
      </c>
      <c r="X64" s="15" cm="1">
        <f t="array" ref="X64">BSGreeks(M64,$B$3,$B$4,$B$7,$B$5,"Theta")</f>
        <v>-0.86285125645151406</v>
      </c>
      <c r="Y64" s="15" cm="1">
        <f t="array" ref="Y64">BSGreeksRR(M64,$B$2,$B$3,$B$6,$B$4,$B$7,$B$5,"Theta")</f>
        <v>-7.4903362916252823</v>
      </c>
    </row>
    <row r="65" spans="13:25" x14ac:dyDescent="0.25">
      <c r="M65">
        <v>76</v>
      </c>
      <c r="N65" s="15" cm="1">
        <f t="array" ref="N65">BSGreeks(M65,$B$2,$B$6,$B$7,$B$5,"Delta")</f>
        <v>0.91155730013962133</v>
      </c>
      <c r="O65" s="15" cm="1">
        <f t="array" ref="O65">BSGreeks(M65,$B$3,$B$4,$B$7,$B$5,"Delta") - 1</f>
        <v>-1.1773363395306546E-9</v>
      </c>
      <c r="P65" s="15" cm="1">
        <f t="array" ref="P65">BSGreeksRR(M65,$B$2,$B$3,$B$6,$B$4,$B$7,$B$5,"Delta")</f>
        <v>0.91155730131695767</v>
      </c>
      <c r="Q65" s="15" cm="1">
        <f t="array" ref="Q65">BSGreeks(M65,$B$2,$B$6,$B$7,$B$5,"Gamma")</f>
        <v>2.109146979217091E-2</v>
      </c>
      <c r="R65" s="15" cm="1">
        <f t="array" ref="R65">BSGreeks(M65,$B$3,$B$4,$B$7,$B$5,"Gamma")</f>
        <v>1.6448905918716645E-9</v>
      </c>
      <c r="S65" s="15" cm="1">
        <f t="array" ref="S65">BSGreeksRR(M65,$B$2,$B$3,$B$6,$B$4,$B$7,$B$5,"Gamma")</f>
        <v>2.1091468147280319E-2</v>
      </c>
      <c r="T65" s="15" cm="1">
        <f t="array" ref="T65">BSGreeks(M65,$B$2,$B$6,$B$7,$B$5,"Vega")</f>
        <v>6.0912164759789595</v>
      </c>
      <c r="U65" s="15" cm="1">
        <f t="array" ref="U65">BSGreeks(M65,$B$3,$B$4,$B$7,$B$5,"Vega")</f>
        <v>1.5834813431084557E-7</v>
      </c>
      <c r="V65" s="15" cm="1">
        <f t="array" ref="V65">BSGreeksRR(M65,$B$2,$B$3,$B$6,$B$4,$B$7,$B$5,"Vega")</f>
        <v>6.0912163176308249</v>
      </c>
      <c r="W65" s="15" cm="1">
        <f t="array" ref="W65">BSGreeks(M65,$B$2,$B$6,$B$7,$B$5,"Theta")</f>
        <v>-5.7712942680591626</v>
      </c>
      <c r="X65" s="15" cm="1">
        <f t="array" ref="X65">BSGreeks(M65,$B$3,$B$4,$B$7,$B$5,"Theta")</f>
        <v>-0.86284942504833784</v>
      </c>
      <c r="Y65" s="15" cm="1">
        <f t="array" ref="Y65">BSGreeksRR(M65,$B$2,$B$3,$B$6,$B$4,$B$7,$B$5,"Theta")</f>
        <v>-6.6908168102870009</v>
      </c>
    </row>
    <row r="66" spans="13:25" x14ac:dyDescent="0.25">
      <c r="M66">
        <v>77</v>
      </c>
      <c r="N66" s="15" cm="1">
        <f t="array" ref="N66">BSGreeks(M66,$B$2,$B$6,$B$7,$B$5,"Delta")</f>
        <v>0.93071376937028349</v>
      </c>
      <c r="O66" s="15" cm="1">
        <f t="array" ref="O66">BSGreeks(M66,$B$3,$B$4,$B$7,$B$5,"Delta") - 1</f>
        <v>-2.8656566009033213E-10</v>
      </c>
      <c r="P66" s="15" cm="1">
        <f t="array" ref="P66">BSGreeksRR(M66,$B$2,$B$3,$B$6,$B$4,$B$7,$B$5,"Delta")</f>
        <v>0.93071376965684915</v>
      </c>
      <c r="Q66" s="15" cm="1">
        <f t="array" ref="Q66">BSGreeks(M66,$B$2,$B$6,$B$7,$B$5,"Gamma")</f>
        <v>1.7300342590899468E-2</v>
      </c>
      <c r="R66" s="15" cm="1">
        <f t="array" ref="R66">BSGreeks(M66,$B$3,$B$4,$B$7,$B$5,"Gamma")</f>
        <v>4.094226129616456E-10</v>
      </c>
      <c r="S66" s="15" cm="1">
        <f t="array" ref="S66">BSGreeksRR(M66,$B$2,$B$3,$B$6,$B$4,$B$7,$B$5,"Gamma")</f>
        <v>1.7300342181476854E-2</v>
      </c>
      <c r="T66" s="15" cm="1">
        <f t="array" ref="T66">BSGreeks(M66,$B$2,$B$6,$B$7,$B$5,"Vega")</f>
        <v>5.1286865610721479</v>
      </c>
      <c r="U66" s="15" cm="1">
        <f t="array" ref="U66">BSGreeks(M66,$B$3,$B$4,$B$7,$B$5,"Vega")</f>
        <v>4.0457777870826615E-8</v>
      </c>
      <c r="V66" s="15" cm="1">
        <f t="array" ref="V66">BSGreeksRR(M66,$B$2,$B$3,$B$6,$B$4,$B$7,$B$5,"Vega")</f>
        <v>5.1286865206143695</v>
      </c>
      <c r="W66" s="15" cm="1">
        <f t="array" ref="W66">BSGreeks(M66,$B$2,$B$6,$B$7,$B$5,"Theta")</f>
        <v>-5.0012703361337127</v>
      </c>
      <c r="X66" s="15" cm="1">
        <f t="array" ref="X66">BSGreeks(M66,$B$3,$B$4,$B$7,$B$5,"Theta")</f>
        <v>-0.86284893498732884</v>
      </c>
      <c r="Y66" s="15" cm="1">
        <f t="array" ref="Y66">BSGreeksRR(M66,$B$2,$B$3,$B$6,$B$4,$B$7,$B$5,"Theta")</f>
        <v>-5.9442358323986024</v>
      </c>
    </row>
    <row r="67" spans="13:25" x14ac:dyDescent="0.25">
      <c r="M67">
        <v>78</v>
      </c>
      <c r="N67" s="15" cm="1">
        <f t="array" ref="N67">BSGreeks(M67,$B$2,$B$6,$B$7,$B$5,"Delta")</f>
        <v>0.94631876058274889</v>
      </c>
      <c r="O67" s="15" cm="1">
        <f t="array" ref="O67">BSGreeks(M67,$B$3,$B$4,$B$7,$B$5,"Delta") - 1</f>
        <v>-6.7628125322016786E-11</v>
      </c>
      <c r="P67" s="15" cm="1">
        <f t="array" ref="P67">BSGreeksRR(M67,$B$2,$B$3,$B$6,$B$4,$B$7,$B$5,"Delta")</f>
        <v>0.94631876065037701</v>
      </c>
      <c r="Q67" s="15" cm="1">
        <f t="array" ref="Q67">BSGreeks(M67,$B$2,$B$6,$B$7,$B$5,"Gamma")</f>
        <v>1.3990549436740846E-2</v>
      </c>
      <c r="R67" s="15" cm="1">
        <f t="array" ref="R67">BSGreeks(M67,$B$3,$B$4,$B$7,$B$5,"Gamma")</f>
        <v>9.8665525875615968E-11</v>
      </c>
      <c r="S67" s="15" cm="1">
        <f t="array" ref="S67">BSGreeksRR(M67,$B$2,$B$3,$B$6,$B$4,$B$7,$B$5,"Gamma")</f>
        <v>1.3990549338075321E-2</v>
      </c>
      <c r="T67" s="15" cm="1">
        <f t="array" ref="T67">BSGreeks(M67,$B$2,$B$6,$B$7,$B$5,"Vega")</f>
        <v>4.2559251386565657</v>
      </c>
      <c r="U67" s="15" cm="1">
        <f t="array" ref="U67">BSGreeks(M67,$B$3,$B$4,$B$7,$B$5,"Vega")</f>
        <v>1.0004684323787459E-8</v>
      </c>
      <c r="V67" s="15" cm="1">
        <f t="array" ref="V67">BSGreeksRR(M67,$B$2,$B$3,$B$6,$B$4,$B$7,$B$5,"Vega")</f>
        <v>4.2559251286518816</v>
      </c>
      <c r="W67" s="15" cm="1">
        <f t="array" ref="W67">BSGreeks(M67,$B$2,$B$6,$B$7,$B$5,"Theta")</f>
        <v>-4.4481698917741062</v>
      </c>
      <c r="X67" s="15" cm="1">
        <f t="array" ref="X67">BSGreeks(M67,$B$3,$B$4,$B$7,$B$5,"Theta")</f>
        <v>-0.86284880839619615</v>
      </c>
      <c r="Y67" s="15" cm="1">
        <f t="array" ref="Y67">BSGreeksRR(M67,$B$2,$B$3,$B$6,$B$4,$B$7,$B$5,"Theta")</f>
        <v>-5.2653725974205798</v>
      </c>
    </row>
    <row r="68" spans="13:25" x14ac:dyDescent="0.25">
      <c r="M68">
        <v>79</v>
      </c>
      <c r="N68" s="15" cm="1">
        <f t="array" ref="N68">BSGreeks(M68,$B$2,$B$6,$B$7,$B$5,"Delta")</f>
        <v>0.95885513723021776</v>
      </c>
      <c r="O68" s="15" cm="1">
        <f t="array" ref="O68">BSGreeks(M68,$B$3,$B$4,$B$7,$B$5,"Delta") - 1</f>
        <v>-1.5495049687785922E-11</v>
      </c>
      <c r="P68" s="15" cm="1">
        <f t="array" ref="P68">BSGreeksRR(M68,$B$2,$B$3,$B$6,$B$4,$B$7,$B$5,"Delta")</f>
        <v>0.95885513724571281</v>
      </c>
      <c r="Q68" s="15" cm="1">
        <f t="array" ref="Q68">BSGreeks(M68,$B$2,$B$6,$B$7,$B$5,"Gamma")</f>
        <v>1.1160825628206255E-2</v>
      </c>
      <c r="R68" s="15" cm="1">
        <f t="array" ref="R68">BSGreeks(M68,$B$3,$B$4,$B$7,$B$5,"Gamma")</f>
        <v>2.3054302281261528E-11</v>
      </c>
      <c r="S68" s="15" cm="1">
        <f t="array" ref="S68">BSGreeksRR(M68,$B$2,$B$3,$B$6,$B$4,$B$7,$B$5,"Gamma")</f>
        <v>1.1160825605151954E-2</v>
      </c>
      <c r="T68" s="15" cm="1">
        <f t="array" ref="T68">BSGreeks(M68,$B$2,$B$6,$B$7,$B$5,"Vega")</f>
        <v>3.4827356372817624</v>
      </c>
      <c r="U68" s="15" cm="1">
        <f t="array" ref="U68">BSGreeks(M68,$B$3,$B$4,$B$7,$B$5,"Vega")</f>
        <v>2.398031675622553E-9</v>
      </c>
      <c r="V68" s="15" cm="1">
        <f t="array" ref="V68">BSGreeksRR(M68,$B$2,$B$3,$B$6,$B$4,$B$7,$B$5,"Vega")</f>
        <v>3.4827356348837308</v>
      </c>
      <c r="W68" s="15" cm="1">
        <f t="array" ref="W68">BSGreeks(M68,$B$2,$B$6,$B$7,$B$5,"Theta")</f>
        <v>-3.8296182906742633</v>
      </c>
      <c r="X68" s="15" cm="1">
        <f t="array" ref="X68">BSGreeks(M68,$B$3,$B$4,$B$7,$B$5,"Theta")</f>
        <v>-0.86284877762610657</v>
      </c>
      <c r="Y68" s="15" cm="1">
        <f t="array" ref="Y68">BSGreeksRR(M68,$B$2,$B$3,$B$6,$B$4,$B$7,$B$5,"Theta")</f>
        <v>-4.6625629446486778</v>
      </c>
    </row>
    <row r="69" spans="13:25" x14ac:dyDescent="0.25">
      <c r="M69">
        <v>80</v>
      </c>
      <c r="N69" s="15" cm="1">
        <f t="array" ref="N69">BSGreeks(M69,$B$2,$B$6,$B$7,$B$5,"Delta")</f>
        <v>0.96879278784681888</v>
      </c>
      <c r="O69" s="15" cm="1">
        <f t="array" ref="O69">BSGreeks(M69,$B$3,$B$4,$B$7,$B$5,"Delta") - 1</f>
        <v>-3.4512392943497616E-12</v>
      </c>
      <c r="P69" s="15" cm="1">
        <f t="array" ref="P69">BSGreeksRR(M69,$B$2,$B$3,$B$6,$B$4,$B$7,$B$5,"Delta")</f>
        <v>0.96879278785027012</v>
      </c>
      <c r="Q69" s="15" cm="1">
        <f t="array" ref="Q69">BSGreeks(M69,$B$2,$B$6,$B$7,$B$5,"Gamma")</f>
        <v>8.7877344921895549E-3</v>
      </c>
      <c r="R69" s="15" cm="1">
        <f t="array" ref="R69">BSGreeks(M69,$B$3,$B$4,$B$7,$B$5,"Gamma")</f>
        <v>5.2303983728588566E-12</v>
      </c>
      <c r="S69" s="15" cm="1">
        <f t="array" ref="S69">BSGreeksRR(M69,$B$2,$B$3,$B$6,$B$4,$B$7,$B$5,"Gamma")</f>
        <v>8.7877344869591555E-3</v>
      </c>
      <c r="T69" s="15" cm="1">
        <f t="array" ref="T69">BSGreeks(M69,$B$2,$B$6,$B$7,$B$5,"Vega")</f>
        <v>2.8120750375006578</v>
      </c>
      <c r="U69" s="15" cm="1">
        <f t="array" ref="U69">BSGreeks(M69,$B$3,$B$4,$B$7,$B$5,"Vega")</f>
        <v>5.5790915977161137E-10</v>
      </c>
      <c r="V69" s="15" cm="1">
        <f t="array" ref="V69">BSGreeksRR(M69,$B$2,$B$3,$B$6,$B$4,$B$7,$B$5,"Vega")</f>
        <v>2.8120750369427485</v>
      </c>
      <c r="W69" s="15" cm="1">
        <f t="array" ref="W69">BSGreeks(M69,$B$2,$B$6,$B$7,$B$5,"Theta")</f>
        <v>-3.2930898108493794</v>
      </c>
      <c r="X69" s="15" cm="1">
        <f t="array" ref="X69">BSGreeks(M69,$B$3,$B$4,$B$7,$B$5,"Theta")</f>
        <v>-0.86284876997686089</v>
      </c>
      <c r="Y69" s="15" cm="1">
        <f t="array" ref="Y69">BSGreeksRR(M69,$B$2,$B$3,$B$6,$B$4,$B$7,$B$5,"Theta")</f>
        <v>-4.138672000819775</v>
      </c>
    </row>
    <row r="70" spans="13:25" x14ac:dyDescent="0.25">
      <c r="M70">
        <v>81</v>
      </c>
      <c r="N70" s="15" cm="1">
        <f t="array" ref="N70">BSGreeks(M70,$B$2,$B$6,$B$7,$B$5,"Delta")</f>
        <v>0.97657010931468746</v>
      </c>
      <c r="O70" s="15" cm="1">
        <f t="array" ref="O70">BSGreeks(M70,$B$3,$B$4,$B$7,$B$5,"Delta") - 1</f>
        <v>-7.4817929629489299E-13</v>
      </c>
      <c r="P70" s="15" cm="1">
        <f t="array" ref="P70">BSGreeksRR(M70,$B$2,$B$3,$B$6,$B$4,$B$7,$B$5,"Delta")</f>
        <v>0.97657010931543564</v>
      </c>
      <c r="Q70" s="15" cm="1">
        <f t="array" ref="Q70">BSGreeks(M70,$B$2,$B$6,$B$7,$B$5,"Gamma")</f>
        <v>6.8328691660138165E-3</v>
      </c>
      <c r="R70" s="15" cm="1">
        <f t="array" ref="R70">BSGreeks(M70,$B$3,$B$4,$B$7,$B$5,"Gamma")</f>
        <v>1.1536870961179536E-12</v>
      </c>
      <c r="S70" s="15" cm="1">
        <f t="array" ref="S70">BSGreeksRR(M70,$B$2,$B$3,$B$6,$B$4,$B$7,$B$5,"Gamma")</f>
        <v>6.8328691648601291E-3</v>
      </c>
      <c r="T70" s="15" cm="1">
        <f t="array" ref="T70">BSGreeks(M70,$B$2,$B$6,$B$7,$B$5,"Vega")</f>
        <v>2.2415227299108325</v>
      </c>
      <c r="U70" s="15" cm="1">
        <f t="array" ref="U70">BSGreeks(M70,$B$3,$B$4,$B$7,$B$5,"Vega")</f>
        <v>1.2615568396049822E-10</v>
      </c>
      <c r="V70" s="15" cm="1">
        <f t="array" ref="V70">BSGreeksRR(M70,$B$2,$B$3,$B$6,$B$4,$B$7,$B$5,"Vega")</f>
        <v>2.2415227297846769</v>
      </c>
      <c r="W70" s="15" cm="1">
        <f t="array" ref="W70">BSGreeks(M70,$B$2,$B$6,$B$7,$B$5,"Theta")</f>
        <v>-2.8366479647775193</v>
      </c>
      <c r="X70" s="15" cm="1">
        <f t="array" ref="X70">BSGreeks(M70,$B$3,$B$4,$B$7,$B$5,"Theta")</f>
        <v>-0.86284876818209544</v>
      </c>
      <c r="Y70" s="15" cm="1">
        <f t="array" ref="Y70">BSGreeksRR(M70,$B$2,$B$3,$B$6,$B$4,$B$7,$B$5,"Theta")</f>
        <v>-3.6922447411676251</v>
      </c>
    </row>
    <row r="71" spans="13:25" x14ac:dyDescent="0.25">
      <c r="M71">
        <v>82</v>
      </c>
      <c r="N71" s="15" cm="1">
        <f t="array" ref="N71">BSGreeks(M71,$B$2,$B$6,$B$7,$B$5,"Delta")</f>
        <v>0.98258228677865467</v>
      </c>
      <c r="O71" s="15" cm="1">
        <f t="array" ref="O71">BSGreeks(M71,$B$3,$B$4,$B$7,$B$5,"Delta") - 1</f>
        <v>-1.5809575870662229E-13</v>
      </c>
      <c r="P71" s="15" cm="1">
        <f t="array" ref="P71">BSGreeksRR(M71,$B$2,$B$3,$B$6,$B$4,$B$7,$B$5,"Delta")</f>
        <v>0.98258228677881276</v>
      </c>
      <c r="Q71" s="15" cm="1">
        <f t="array" ref="Q71">BSGreeks(M71,$B$2,$B$6,$B$7,$B$5,"Gamma")</f>
        <v>5.2491738794616816E-3</v>
      </c>
      <c r="R71" s="15" cm="1">
        <f t="array" ref="R71">BSGreeks(M71,$B$3,$B$4,$B$7,$B$5,"Gamma")</f>
        <v>2.4771861512329985E-13</v>
      </c>
      <c r="S71" s="15" cm="1">
        <f t="array" ref="S71">BSGreeksRR(M71,$B$2,$B$3,$B$6,$B$4,$B$7,$B$5,"Gamma")</f>
        <v>5.2491738792139623E-3</v>
      </c>
      <c r="T71" s="15" cm="1">
        <f t="array" ref="T71">BSGreeks(M71,$B$2,$B$6,$B$7,$B$5,"Vega")</f>
        <v>1.7647722582750174</v>
      </c>
      <c r="U71" s="15" cm="1">
        <f t="array" ref="U71">BSGreeks(M71,$B$3,$B$4,$B$7,$B$5,"Vega")</f>
        <v>2.7760999468151137E-11</v>
      </c>
      <c r="V71" s="15" cm="1">
        <f t="array" ref="V71">BSGreeksRR(M71,$B$2,$B$3,$B$6,$B$4,$B$7,$B$5,"Vega")</f>
        <v>1.7647722582472563</v>
      </c>
      <c r="W71" s="15" cm="1">
        <f t="array" ref="W71">BSGreeks(M71,$B$2,$B$6,$B$7,$B$5,"Theta")</f>
        <v>-2.4552475874688673</v>
      </c>
      <c r="X71" s="15" cm="1">
        <f t="array" ref="X71">BSGreeks(M71,$B$3,$B$4,$B$7,$B$5,"Theta")</f>
        <v>-0.8628487677730764</v>
      </c>
      <c r="Y71" s="15" cm="1">
        <f t="array" ref="Y71">BSGreeksRR(M71,$B$2,$B$3,$B$6,$B$4,$B$7,$B$5,"Theta")</f>
        <v>-3.3186821332208627</v>
      </c>
    </row>
    <row r="72" spans="13:25" x14ac:dyDescent="0.25">
      <c r="M72">
        <v>83</v>
      </c>
      <c r="N72" s="15" cm="1">
        <f t="array" ref="N72">BSGreeks(M72,$B$2,$B$6,$B$7,$B$5,"Delta")</f>
        <v>0.98717532072984215</v>
      </c>
      <c r="O72" s="15" cm="1">
        <f t="array" ref="O72">BSGreeks(M72,$B$3,$B$4,$B$7,$B$5,"Delta") - 1</f>
        <v>-3.2529534621517087E-14</v>
      </c>
      <c r="P72" s="15" cm="1">
        <f t="array" ref="P72">BSGreeksRR(M72,$B$2,$B$3,$B$6,$B$4,$B$7,$B$5,"Delta")</f>
        <v>0.98717532072987468</v>
      </c>
      <c r="Q72" s="15" cm="1">
        <f t="array" ref="Q72">BSGreeks(M72,$B$2,$B$6,$B$7,$B$5,"Gamma")</f>
        <v>3.9860867869680808E-3</v>
      </c>
      <c r="R72" s="15" cm="1">
        <f t="array" ref="R72">BSGreeks(M72,$B$3,$B$4,$B$7,$B$5,"Gamma")</f>
        <v>5.1840313576580711E-14</v>
      </c>
      <c r="S72" s="15" cm="1">
        <f t="array" ref="S72">BSGreeksRR(M72,$B$2,$B$3,$B$6,$B$4,$B$7,$B$5,"Gamma")</f>
        <v>3.9860867869162403E-3</v>
      </c>
      <c r="T72" s="15" cm="1">
        <f t="array" ref="T72">BSGreeks(M72,$B$2,$B$6,$B$7,$B$5,"Vega")</f>
        <v>1.3730075937711554</v>
      </c>
      <c r="U72" s="15" cm="1">
        <f t="array" ref="U72">BSGreeks(M72,$B$3,$B$4,$B$7,$B$5,"Vega")</f>
        <v>5.9521320038177422E-12</v>
      </c>
      <c r="V72" s="15" cm="1">
        <f t="array" ref="V72">BSGreeksRR(M72,$B$2,$B$3,$B$6,$B$4,$B$7,$B$5,"Vega")</f>
        <v>1.3730075937652033</v>
      </c>
      <c r="W72" s="15" cm="1">
        <f t="array" ref="W72">BSGreeks(M72,$B$2,$B$6,$B$7,$B$5,"Theta")</f>
        <v>-2.1418358558657777</v>
      </c>
      <c r="X72" s="15" cm="1">
        <f t="array" ref="X72">BSGreeks(M72,$B$3,$B$4,$B$7,$B$5,"Theta")</f>
        <v>-0.86284876768241858</v>
      </c>
      <c r="Y72" s="15" cm="1">
        <f t="array" ref="Y72">BSGreeksRR(M72,$B$2,$B$3,$B$6,$B$4,$B$7,$B$5,"Theta")</f>
        <v>-3.0113315235296838</v>
      </c>
    </row>
    <row r="73" spans="13:25" x14ac:dyDescent="0.25">
      <c r="M73">
        <v>84</v>
      </c>
      <c r="N73" s="15" cm="1">
        <f t="array" ref="N73">BSGreeks(M73,$B$2,$B$6,$B$7,$B$5,"Delta")</f>
        <v>0.99064456465570705</v>
      </c>
      <c r="O73" s="15" cm="1">
        <f t="array" ref="O73">BSGreeks(M73,$B$3,$B$4,$B$7,$B$5,"Delta") - 1</f>
        <v>-6.5503158452884236E-15</v>
      </c>
      <c r="P73" s="15" cm="1">
        <f t="array" ref="P73">BSGreeksRR(M73,$B$2,$B$3,$B$6,$B$4,$B$7,$B$5,"Delta")</f>
        <v>0.9906445646557136</v>
      </c>
      <c r="Q73" s="15" cm="1">
        <f t="array" ref="Q73">BSGreeks(M73,$B$2,$B$6,$B$7,$B$5,"Gamma")</f>
        <v>2.9934185192002391E-3</v>
      </c>
      <c r="R73" s="15" cm="1">
        <f t="array" ref="R73">BSGreeks(M73,$B$3,$B$4,$B$7,$B$5,"Gamma")</f>
        <v>1.0585505663690525E-14</v>
      </c>
      <c r="S73" s="15" cm="1">
        <f t="array" ref="S73">BSGreeksRR(M73,$B$2,$B$3,$B$6,$B$4,$B$7,$B$5,"Gamma")</f>
        <v>2.9934185191896534E-3</v>
      </c>
      <c r="T73" s="15" cm="1">
        <f t="array" ref="T73">BSGreeks(M73,$B$2,$B$6,$B$7,$B$5,"Vega")</f>
        <v>1.0560780535738443</v>
      </c>
      <c r="U73" s="15" cm="1">
        <f t="array" ref="U73">BSGreeks(M73,$B$3,$B$4,$B$7,$B$5,"Vega")</f>
        <v>1.2448554660500058E-12</v>
      </c>
      <c r="V73" s="15" cm="1">
        <f t="array" ref="V73">BSGreeksRR(M73,$B$2,$B$3,$B$6,$B$4,$B$7,$B$5,"Vega")</f>
        <v>1.0560780535725995</v>
      </c>
      <c r="W73" s="15" cm="1">
        <f t="array" ref="W73">BSGreeks(M73,$B$2,$B$6,$B$7,$B$5,"Theta")</f>
        <v>-1.8882922237079287</v>
      </c>
      <c r="X73" s="15" cm="1">
        <f t="array" ref="X73">BSGreeks(M73,$B$3,$B$4,$B$7,$B$5,"Theta")</f>
        <v>-0.86284876766395457</v>
      </c>
      <c r="Y73" s="15" cm="1">
        <f t="array" ref="Y73">BSGreeksRR(M73,$B$2,$B$3,$B$6,$B$4,$B$7,$B$5,"Theta")</f>
        <v>-2.7624214787700123</v>
      </c>
    </row>
    <row r="74" spans="13:25" x14ac:dyDescent="0.25">
      <c r="M74">
        <v>85</v>
      </c>
      <c r="N74" s="15" cm="1">
        <f t="array" ref="N74">BSGreeks(M74,$B$2,$B$6,$B$7,$B$5,"Delta")</f>
        <v>0.9932365320270915</v>
      </c>
      <c r="O74" s="15" cm="1">
        <f t="array" ref="O74">BSGreeks(M74,$B$3,$B$4,$B$7,$B$5,"Delta") - 1</f>
        <v>-1.3322676295501878E-15</v>
      </c>
      <c r="P74" s="15" cm="1">
        <f t="array" ref="P74">BSGreeksRR(M74,$B$2,$B$3,$B$6,$B$4,$B$7,$B$5,"Delta")</f>
        <v>0.99323653202709283</v>
      </c>
      <c r="Q74" s="15" cm="1">
        <f t="array" ref="Q74">BSGreeks(M74,$B$2,$B$6,$B$7,$B$5,"Gamma")</f>
        <v>2.2240328798466468E-3</v>
      </c>
      <c r="R74" s="15" cm="1">
        <f t="array" ref="R74">BSGreeks(M74,$B$3,$B$4,$B$7,$B$5,"Gamma")</f>
        <v>2.111369416011789E-15</v>
      </c>
      <c r="S74" s="15" cm="1">
        <f t="array" ref="S74">BSGreeksRR(M74,$B$2,$B$3,$B$6,$B$4,$B$7,$B$5,"Gamma")</f>
        <v>2.2240328798445353E-3</v>
      </c>
      <c r="T74" s="15" cm="1">
        <f t="array" ref="T74">BSGreeks(M74,$B$2,$B$6,$B$7,$B$5,"Vega")</f>
        <v>0.80343187784460124</v>
      </c>
      <c r="U74" s="15" cm="1">
        <f t="array" ref="U74">BSGreeks(M74,$B$3,$B$4,$B$7,$B$5,"Vega")</f>
        <v>2.5424406717808624E-13</v>
      </c>
      <c r="V74" s="15" cm="1">
        <f t="array" ref="V74">BSGreeksRR(M74,$B$2,$B$3,$B$6,$B$4,$B$7,$B$5,"Vega")</f>
        <v>0.803431877844347</v>
      </c>
      <c r="W74" s="15" cm="1">
        <f t="array" ref="W74">BSGreeks(M74,$B$2,$B$6,$B$7,$B$5,"Theta")</f>
        <v>-1.6861752831245342</v>
      </c>
      <c r="X74" s="15" cm="1">
        <f t="array" ref="X74">BSGreeks(M74,$B$3,$B$4,$B$7,$B$5,"Theta")</f>
        <v>-0.86284876765983665</v>
      </c>
      <c r="Y74" s="15" cm="1">
        <f t="array" ref="Y74">BSGreeksRR(M74,$B$2,$B$3,$B$6,$B$4,$B$7,$B$5,"Theta")</f>
        <v>-2.563807853174298</v>
      </c>
    </row>
    <row r="75" spans="13:25" x14ac:dyDescent="0.25">
      <c r="M75">
        <v>86</v>
      </c>
      <c r="N75" s="15" cm="1">
        <f t="array" ref="N75">BSGreeks(M75,$B$2,$B$6,$B$7,$B$5,"Delta")</f>
        <v>0.9951528493305386</v>
      </c>
      <c r="O75" s="15" cm="1">
        <f t="array" ref="O75">BSGreeks(M75,$B$3,$B$4,$B$7,$B$5,"Delta") - 1</f>
        <v>0</v>
      </c>
      <c r="P75" s="15" cm="1">
        <f t="array" ref="P75">BSGreeksRR(M75,$B$2,$B$3,$B$6,$B$4,$B$7,$B$5,"Delta")</f>
        <v>0.99515284933053882</v>
      </c>
      <c r="Q75" s="15" cm="1">
        <f t="array" ref="Q75">BSGreeks(M75,$B$2,$B$6,$B$7,$B$5,"Gamma")</f>
        <v>1.635489993025004E-3</v>
      </c>
      <c r="R75" s="15" cm="1">
        <f t="array" ref="R75">BSGreeks(M75,$B$3,$B$4,$B$7,$B$5,"Gamma")</f>
        <v>4.1179145040018018E-16</v>
      </c>
      <c r="S75" s="15" cm="1">
        <f t="array" ref="S75">BSGreeksRR(M75,$B$2,$B$3,$B$6,$B$4,$B$7,$B$5,"Gamma")</f>
        <v>1.6354899930245922E-3</v>
      </c>
      <c r="T75" s="15" cm="1">
        <f t="array" ref="T75">BSGreeks(M75,$B$2,$B$6,$B$7,$B$5,"Vega")</f>
        <v>0.60480419942064645</v>
      </c>
      <c r="U75" s="15" cm="1">
        <f t="array" ref="U75">BSGreeks(M75,$B$3,$B$4,$B$7,$B$5,"Vega")</f>
        <v>5.0760159452662208E-14</v>
      </c>
      <c r="V75" s="15" cm="1">
        <f t="array" ref="V75">BSGreeksRR(M75,$B$2,$B$3,$B$6,$B$4,$B$7,$B$5,"Vega")</f>
        <v>0.60480419942059571</v>
      </c>
      <c r="W75" s="15" cm="1">
        <f t="array" ref="W75">BSGreeks(M75,$B$2,$B$6,$B$7,$B$5,"Theta")</f>
        <v>-1.5272731403853705</v>
      </c>
      <c r="X75" s="15" cm="1">
        <f t="array" ref="X75">BSGreeks(M75,$B$3,$B$4,$B$7,$B$5,"Theta")</f>
        <v>-0.86284876765899088</v>
      </c>
      <c r="Y75" s="15" cm="1">
        <f t="array" ref="Y75">BSGreeksRR(M75,$B$2,$B$3,$B$6,$B$4,$B$7,$B$5,"Theta")</f>
        <v>-2.4075264486043686</v>
      </c>
    </row>
    <row r="76" spans="13:25" x14ac:dyDescent="0.25">
      <c r="M76">
        <v>87</v>
      </c>
      <c r="N76" s="15" cm="1">
        <f t="array" ref="N76">BSGreeks(M76,$B$2,$B$6,$B$7,$B$5,"Delta")</f>
        <v>0.99655541801105518</v>
      </c>
      <c r="O76" s="15" cm="1">
        <f t="array" ref="O76">BSGreeks(M76,$B$3,$B$4,$B$7,$B$5,"Delta") - 1</f>
        <v>0</v>
      </c>
      <c r="P76" s="15" cm="1">
        <f t="array" ref="P76">BSGreeksRR(M76,$B$2,$B$3,$B$6,$B$4,$B$7,$B$5,"Delta")</f>
        <v>0.99655541801105518</v>
      </c>
      <c r="Q76" s="15" cm="1">
        <f t="array" ref="Q76">BSGreeks(M76,$B$2,$B$6,$B$7,$B$5,"Gamma")</f>
        <v>1.1908566451348369E-3</v>
      </c>
      <c r="R76" s="15" cm="1">
        <f t="array" ref="R76">BSGreeks(M76,$B$3,$B$4,$B$7,$B$5,"Gamma")</f>
        <v>7.8610793634398587E-17</v>
      </c>
      <c r="S76" s="15" cm="1">
        <f t="array" ref="S76">BSGreeksRR(M76,$B$2,$B$3,$B$6,$B$4,$B$7,$B$5,"Gamma")</f>
        <v>1.1908566451347585E-3</v>
      </c>
      <c r="T76" s="15" cm="1">
        <f t="array" ref="T76">BSGreeks(M76,$B$2,$B$6,$B$7,$B$5,"Vega")</f>
        <v>0.45067969735127911</v>
      </c>
      <c r="U76" s="15" cm="1">
        <f t="array" ref="U76">BSGreeks(M76,$B$3,$B$4,$B$7,$B$5,"Vega")</f>
        <v>9.9167516169793804E-15</v>
      </c>
      <c r="V76" s="15" cm="1">
        <f t="array" ref="V76">BSGreeksRR(M76,$B$2,$B$3,$B$6,$B$4,$B$7,$B$5,"Vega")</f>
        <v>0.45067969735126917</v>
      </c>
      <c r="W76" s="15" cm="1">
        <f t="array" ref="W76">BSGreeks(M76,$B$2,$B$6,$B$7,$B$5,"Theta")</f>
        <v>-1.426823008569329</v>
      </c>
      <c r="X76" s="15" cm="1">
        <f t="array" ref="X76">BSGreeks(M76,$B$3,$B$4,$B$7,$B$5,"Theta")</f>
        <v>-0.86284876765882101</v>
      </c>
      <c r="Y76" s="15" cm="1">
        <f t="array" ref="Y76">BSGreeksRR(M76,$B$2,$B$3,$B$6,$B$4,$B$7,$B$5,"Theta")</f>
        <v>-2.2861674098519509</v>
      </c>
    </row>
    <row r="77" spans="13:25" x14ac:dyDescent="0.25">
      <c r="M77">
        <v>88</v>
      </c>
      <c r="N77" s="15" cm="1">
        <f t="array" ref="N77">BSGreeks(M77,$B$2,$B$6,$B$7,$B$5,"Delta")</f>
        <v>0.99757205913574754</v>
      </c>
      <c r="O77" s="15" cm="1">
        <f t="array" ref="O77">BSGreeks(M77,$B$3,$B$4,$B$7,$B$5,"Delta") - 1</f>
        <v>0</v>
      </c>
      <c r="P77" s="15" cm="1">
        <f t="array" ref="P77">BSGreeksRR(M77,$B$2,$B$3,$B$6,$B$4,$B$7,$B$5,"Delta")</f>
        <v>0.99757205913574754</v>
      </c>
      <c r="Q77" s="15" cm="1">
        <f t="array" ref="Q77">BSGreeks(M77,$B$2,$B$6,$B$7,$B$5,"Gamma")</f>
        <v>8.5889585254191373E-4</v>
      </c>
      <c r="R77" s="15" cm="1">
        <f t="array" ref="R77">BSGreeks(M77,$B$3,$B$4,$B$7,$B$5,"Gamma")</f>
        <v>1.470247994115355E-17</v>
      </c>
      <c r="S77" s="15" cm="1">
        <f t="array" ref="S77">BSGreeksRR(M77,$B$2,$B$3,$B$6,$B$4,$B$7,$B$5,"Gamma")</f>
        <v>8.5889585254189898E-4</v>
      </c>
      <c r="T77" s="15" cm="1">
        <f t="array" ref="T77">BSGreeks(M77,$B$2,$B$6,$B$7,$B$5,"Vega")</f>
        <v>0.33256447410422901</v>
      </c>
      <c r="U77" s="15" cm="1">
        <f t="array" ref="U77">BSGreeks(M77,$B$3,$B$4,$B$7,$B$5,"Vega")</f>
        <v>1.8976000777382181E-15</v>
      </c>
      <c r="V77" s="15" cm="1">
        <f t="array" ref="V77">BSGreeksRR(M77,$B$2,$B$3,$B$6,$B$4,$B$7,$B$5,"Vega")</f>
        <v>0.33256447410422713</v>
      </c>
      <c r="W77" s="15" cm="1">
        <f t="array" ref="W77">BSGreeks(M77,$B$2,$B$6,$B$7,$B$5,"Theta")</f>
        <v>-1.3323308299716889</v>
      </c>
      <c r="X77" s="15" cm="1">
        <f t="array" ref="X77">BSGreeks(M77,$B$3,$B$4,$B$7,$B$5,"Theta")</f>
        <v>-0.86284876765878771</v>
      </c>
      <c r="Y77" s="15" cm="1">
        <f t="array" ref="Y77">BSGreeksRR(M77,$B$2,$B$3,$B$6,$B$4,$B$7,$B$5,"Theta")</f>
        <v>-2.1930980867861183</v>
      </c>
    </row>
    <row r="78" spans="13:25" x14ac:dyDescent="0.25">
      <c r="M78">
        <v>89</v>
      </c>
      <c r="N78" s="15" cm="1">
        <f t="array" ref="N78">BSGreeks(M78,$B$2,$B$6,$B$7,$B$5,"Delta")</f>
        <v>0.99830211954139925</v>
      </c>
      <c r="O78" s="15" cm="1">
        <f t="array" ref="O78">BSGreeks(M78,$B$3,$B$4,$B$7,$B$5,"Delta") - 1</f>
        <v>0</v>
      </c>
      <c r="P78" s="15" cm="1">
        <f t="array" ref="P78">BSGreeksRR(M78,$B$2,$B$3,$B$6,$B$4,$B$7,$B$5,"Delta")</f>
        <v>0.99830211954139925</v>
      </c>
      <c r="Q78" s="15" cm="1">
        <f t="array" ref="Q78">BSGreeks(M78,$B$2,$B$6,$B$7,$B$5,"Gamma")</f>
        <v>6.1383042230127088E-4</v>
      </c>
      <c r="R78" s="15" cm="1">
        <f t="array" ref="R78">BSGreeks(M78,$B$3,$B$4,$B$7,$B$5,"Gamma")</f>
        <v>2.6964721576517458E-18</v>
      </c>
      <c r="S78" s="15" cm="1">
        <f t="array" ref="S78">BSGreeksRR(M78,$B$2,$B$3,$B$6,$B$4,$B$7,$B$5,"Gamma")</f>
        <v>6.1383042230126817E-4</v>
      </c>
      <c r="T78" s="15" cm="1">
        <f t="array" ref="T78">BSGreeks(M78,$B$2,$B$6,$B$7,$B$5,"Vega")</f>
        <v>0.24310753875241833</v>
      </c>
      <c r="U78" s="15" cm="1">
        <f t="array" ref="U78">BSGreeks(M78,$B$3,$B$4,$B$7,$B$5,"Vega")</f>
        <v>3.5597926601265794E-16</v>
      </c>
      <c r="V78" s="15" cm="1">
        <f t="array" ref="V78">BSGreeksRR(M78,$B$2,$B$3,$B$6,$B$4,$B$7,$B$5,"Vega")</f>
        <v>0.24310753875241797</v>
      </c>
      <c r="W78" s="15" cm="1">
        <f t="array" ref="W78">BSGreeks(M78,$B$2,$B$6,$B$7,$B$5,"Theta")</f>
        <v>-1.2607652816902404</v>
      </c>
      <c r="X78" s="15" cm="1">
        <f t="array" ref="X78">BSGreeks(M78,$B$3,$B$4,$B$7,$B$5,"Theta")</f>
        <v>-0.86284876765878193</v>
      </c>
      <c r="Y78" s="15" cm="1">
        <f t="array" ref="Y78">BSGreeksRR(M78,$B$2,$B$3,$B$6,$B$4,$B$7,$B$5,"Theta")</f>
        <v>-2.1225659777462096</v>
      </c>
    </row>
    <row r="79" spans="13:25" x14ac:dyDescent="0.25">
      <c r="M79">
        <v>90</v>
      </c>
      <c r="N79" s="15" cm="1">
        <f t="array" ref="N79">BSGreeks(M79,$B$2,$B$6,$B$7,$B$5,"Delta")</f>
        <v>0.99882169832466738</v>
      </c>
      <c r="O79" s="15" cm="1">
        <f t="array" ref="O79">BSGreeks(M79,$B$3,$B$4,$B$7,$B$5,"Delta") - 1</f>
        <v>0</v>
      </c>
      <c r="P79" s="15" cm="1">
        <f t="array" ref="P79">BSGreeksRR(M79,$B$2,$B$3,$B$6,$B$4,$B$7,$B$5,"Delta")</f>
        <v>0.99882169832466738</v>
      </c>
      <c r="Q79" s="15" cm="1">
        <f t="array" ref="Q79">BSGreeks(M79,$B$2,$B$6,$B$7,$B$5,"Gamma")</f>
        <v>4.348444643020239E-4</v>
      </c>
      <c r="R79" s="15" cm="1">
        <f t="array" ref="R79">BSGreeks(M79,$B$3,$B$4,$B$7,$B$5,"Gamma")</f>
        <v>4.8537133681097794E-19</v>
      </c>
      <c r="S79" s="15" cm="1">
        <f t="array" ref="S79">BSGreeksRR(M79,$B$2,$B$3,$B$6,$B$4,$B$7,$B$5,"Gamma")</f>
        <v>4.3484446430202341E-4</v>
      </c>
      <c r="T79" s="15" cm="1">
        <f t="array" ref="T79">BSGreeks(M79,$B$2,$B$6,$B$7,$B$5,"Vega")</f>
        <v>0.17611200804231969</v>
      </c>
      <c r="U79" s="15" cm="1">
        <f t="array" ref="U79">BSGreeks(M79,$B$3,$B$4,$B$7,$B$5,"Vega")</f>
        <v>6.5525130469482017E-17</v>
      </c>
      <c r="V79" s="15" cm="1">
        <f t="array" ref="V79">BSGreeksRR(M79,$B$2,$B$3,$B$6,$B$4,$B$7,$B$5,"Vega")</f>
        <v>0.17611200804231963</v>
      </c>
      <c r="W79" s="15" cm="1">
        <f t="array" ref="W79">BSGreeks(M79,$B$2,$B$6,$B$7,$B$5,"Theta")</f>
        <v>-1.2071688571221615</v>
      </c>
      <c r="X79" s="15" cm="1">
        <f t="array" ref="X79">BSGreeks(M79,$B$3,$B$4,$B$7,$B$5,"Theta")</f>
        <v>-0.86284876765878071</v>
      </c>
      <c r="Y79" s="15" cm="1">
        <f t="array" ref="Y79">BSGreeksRR(M79,$B$2,$B$3,$B$6,$B$4,$B$7,$B$5,"Theta")</f>
        <v>-2.0697133517125814</v>
      </c>
    </row>
    <row r="80" spans="13:25" x14ac:dyDescent="0.25">
      <c r="M80">
        <v>91</v>
      </c>
      <c r="N80" s="15" cm="1">
        <f t="array" ref="N80">BSGreeks(M80,$B$2,$B$6,$B$7,$B$5,"Delta")</f>
        <v>0.99918829870678105</v>
      </c>
      <c r="O80" s="15" cm="1">
        <f t="array" ref="O80">BSGreeks(M80,$B$3,$B$4,$B$7,$B$5,"Delta") - 1</f>
        <v>0</v>
      </c>
      <c r="P80" s="15" cm="1">
        <f t="array" ref="P80">BSGreeksRR(M80,$B$2,$B$3,$B$6,$B$4,$B$7,$B$5,"Delta")</f>
        <v>0.99918829870678105</v>
      </c>
      <c r="Q80" s="15" cm="1">
        <f t="array" ref="Q80">BSGreeks(M80,$B$2,$B$6,$B$7,$B$5,"Gamma")</f>
        <v>3.0545096983890138E-4</v>
      </c>
      <c r="R80" s="15" cm="1">
        <f t="array" ref="R80">BSGreeks(M80,$B$3,$B$4,$B$7,$B$5,"Gamma")</f>
        <v>8.5819210618738161E-20</v>
      </c>
      <c r="S80" s="15" cm="1">
        <f t="array" ref="S80">BSGreeksRR(M80,$B$2,$B$3,$B$6,$B$4,$B$7,$B$5,"Gamma")</f>
        <v>3.0545096983890127E-4</v>
      </c>
      <c r="T80" s="15" cm="1">
        <f t="array" ref="T80">BSGreeks(M80,$B$2,$B$6,$B$7,$B$5,"Vega")</f>
        <v>0.12647197406179711</v>
      </c>
      <c r="U80" s="15" cm="1">
        <f t="array" ref="U80">BSGreeks(M80,$B$3,$B$4,$B$7,$B$5,"Vega")</f>
        <v>1.1844481385562845E-17</v>
      </c>
      <c r="V80" s="15" cm="1">
        <f t="array" ref="V80">BSGreeksRR(M80,$B$2,$B$3,$B$6,$B$4,$B$7,$B$5,"Vega")</f>
        <v>0.12647197406179711</v>
      </c>
      <c r="W80" s="15" cm="1">
        <f t="array" ref="W80">BSGreeks(M80,$B$2,$B$6,$B$7,$B$5,"Theta")</f>
        <v>-1.1674568299377435</v>
      </c>
      <c r="X80" s="15" cm="1">
        <f t="array" ref="X80">BSGreeks(M80,$B$3,$B$4,$B$7,$B$5,"Theta")</f>
        <v>-0.86284876765878049</v>
      </c>
      <c r="Y80" s="15" cm="1">
        <f t="array" ref="Y80">BSGreeksRR(M80,$B$2,$B$3,$B$6,$B$4,$B$7,$B$5,"Theta")</f>
        <v>-2.0305319896403824</v>
      </c>
    </row>
    <row r="81" spans="13:25" x14ac:dyDescent="0.25">
      <c r="M81">
        <v>92</v>
      </c>
      <c r="N81" s="15" cm="1">
        <f t="array" ref="N81">BSGreeks(M81,$B$2,$B$6,$B$7,$B$5,"Delta")</f>
        <v>0.99944482065753248</v>
      </c>
      <c r="O81" s="15" cm="1">
        <f t="array" ref="O81">BSGreeks(M81,$B$3,$B$4,$B$7,$B$5,"Delta") - 1</f>
        <v>0</v>
      </c>
      <c r="P81" s="15" cm="1">
        <f t="array" ref="P81">BSGreeksRR(M81,$B$2,$B$3,$B$6,$B$4,$B$7,$B$5,"Delta")</f>
        <v>0.99944482065753248</v>
      </c>
      <c r="Q81" s="15" cm="1">
        <f t="array" ref="Q81">BSGreeks(M81,$B$2,$B$6,$B$7,$B$5,"Gamma")</f>
        <v>2.1281853636617026E-4</v>
      </c>
      <c r="R81" s="15" cm="1">
        <f t="array" ref="R81">BSGreeks(M81,$B$3,$B$4,$B$7,$B$5,"Gamma")</f>
        <v>1.4916632219596078E-20</v>
      </c>
      <c r="S81" s="15" cm="1">
        <f t="array" ref="S81">BSGreeksRR(M81,$B$2,$B$3,$B$6,$B$4,$B$7,$B$5,"Gamma")</f>
        <v>2.1281853636617024E-4</v>
      </c>
      <c r="T81" s="15" cm="1">
        <f t="array" ref="T81">BSGreeks(M81,$B$2,$B$6,$B$7,$B$5,"Vega")</f>
        <v>9.0064804590163264E-2</v>
      </c>
      <c r="U81" s="15" cm="1">
        <f t="array" ref="U81">BSGreeks(M81,$B$3,$B$4,$B$7,$B$5,"Vega")</f>
        <v>2.10423958511102E-18</v>
      </c>
      <c r="V81" s="15" cm="1">
        <f t="array" ref="V81">BSGreeksRR(M81,$B$2,$B$3,$B$6,$B$4,$B$7,$B$5,"Vega")</f>
        <v>9.0064804590163264E-2</v>
      </c>
      <c r="W81" s="15" cm="1">
        <f t="array" ref="W81">BSGreeks(M81,$B$2,$B$6,$B$7,$B$5,"Theta")</f>
        <v>-1.1383310943604363</v>
      </c>
      <c r="X81" s="15" cm="1">
        <f t="array" ref="X81">BSGreeks(M81,$B$3,$B$4,$B$7,$B$5,"Theta")</f>
        <v>-0.86284876765878038</v>
      </c>
      <c r="Y81" s="15" cm="1">
        <f t="array" ref="Y81">BSGreeksRR(M81,$B$2,$B$3,$B$6,$B$4,$B$7,$B$5,"Theta")</f>
        <v>-2.0017816789060374</v>
      </c>
    </row>
    <row r="82" spans="13:25" x14ac:dyDescent="0.25">
      <c r="M82">
        <v>93</v>
      </c>
      <c r="N82" s="15" cm="1">
        <f t="array" ref="N82">BSGreeks(M82,$B$2,$B$6,$B$7,$B$5,"Delta")</f>
        <v>0.99962288691431433</v>
      </c>
      <c r="O82" s="15" cm="1">
        <f t="array" ref="O82">BSGreeks(M82,$B$3,$B$4,$B$7,$B$5,"Delta") - 1</f>
        <v>0</v>
      </c>
      <c r="P82" s="15" cm="1">
        <f t="array" ref="P82">BSGreeksRR(M82,$B$2,$B$3,$B$6,$B$4,$B$7,$B$5,"Delta")</f>
        <v>0.99962288691431433</v>
      </c>
      <c r="Q82" s="15" cm="1">
        <f t="array" ref="Q82">BSGreeks(M82,$B$2,$B$6,$B$7,$B$5,"Gamma")</f>
        <v>1.4711955347534588E-4</v>
      </c>
      <c r="R82" s="15" cm="1">
        <f t="array" ref="R82">BSGreeks(M82,$B$3,$B$4,$B$7,$B$5,"Gamma")</f>
        <v>2.5507136847743809E-21</v>
      </c>
      <c r="S82" s="15" cm="1">
        <f t="array" ref="S82">BSGreeksRR(M82,$B$2,$B$3,$B$6,$B$4,$B$7,$B$5,"Gamma")</f>
        <v>1.4711955347534588E-4</v>
      </c>
      <c r="T82" s="15" cm="1">
        <f t="array" ref="T82">BSGreeks(M82,$B$2,$B$6,$B$7,$B$5,"Vega")</f>
        <v>6.3621850900413321E-2</v>
      </c>
      <c r="U82" s="15" cm="1">
        <f t="array" ref="U82">BSGreeks(M82,$B$3,$B$4,$B$7,$B$5,"Vega")</f>
        <v>3.6768537766022698E-19</v>
      </c>
      <c r="V82" s="15" cm="1">
        <f t="array" ref="V82">BSGreeksRR(M82,$B$2,$B$3,$B$6,$B$4,$B$7,$B$5,"Vega")</f>
        <v>6.3621850900413321E-2</v>
      </c>
      <c r="W82" s="15" cm="1">
        <f t="array" ref="W82">BSGreeks(M82,$B$2,$B$6,$B$7,$B$5,"Theta")</f>
        <v>-1.1171767314086365</v>
      </c>
      <c r="X82" s="15" cm="1">
        <f t="array" ref="X82">BSGreeks(M82,$B$3,$B$4,$B$7,$B$5,"Theta")</f>
        <v>-0.86284876765878038</v>
      </c>
      <c r="Y82" s="15" cm="1">
        <f t="array" ref="Y82">BSGreeksRR(M82,$B$2,$B$3,$B$6,$B$4,$B$7,$B$5,"Theta")</f>
        <v>-1.980890766579219</v>
      </c>
    </row>
    <row r="83" spans="13:25" x14ac:dyDescent="0.25">
      <c r="M83">
        <v>94</v>
      </c>
      <c r="N83" s="15" cm="1">
        <f t="array" ref="N83">BSGreeks(M83,$B$2,$B$6,$B$7,$B$5,"Delta")</f>
        <v>0.99974554437936825</v>
      </c>
      <c r="O83" s="15" cm="1">
        <f t="array" ref="O83">BSGreeks(M83,$B$3,$B$4,$B$7,$B$5,"Delta") - 1</f>
        <v>0</v>
      </c>
      <c r="P83" s="15" cm="1">
        <f t="array" ref="P83">BSGreeksRR(M83,$B$2,$B$3,$B$6,$B$4,$B$7,$B$5,"Delta")</f>
        <v>0.99974554437936825</v>
      </c>
      <c r="Q83" s="15" cm="1">
        <f t="array" ref="Q83">BSGreeks(M83,$B$2,$B$6,$B$7,$B$5,"Gamma")</f>
        <v>1.009372618036695E-4</v>
      </c>
      <c r="R83" s="15" cm="1">
        <f t="array" ref="R83">BSGreeks(M83,$B$3,$B$4,$B$7,$B$5,"Gamma")</f>
        <v>4.2940981118782329E-22</v>
      </c>
      <c r="S83" s="15" cm="1">
        <f t="array" ref="S83">BSGreeksRR(M83,$B$2,$B$3,$B$6,$B$4,$B$7,$B$5,"Gamma")</f>
        <v>1.009372618036695E-4</v>
      </c>
      <c r="T83" s="15" cm="1">
        <f t="array" ref="T83">BSGreeks(M83,$B$2,$B$6,$B$7,$B$5,"Vega")</f>
        <v>4.4594082264861182E-2</v>
      </c>
      <c r="U83" s="15" cm="1">
        <f t="array" ref="U83">BSGreeks(M83,$B$3,$B$4,$B$7,$B$5,"Vega")</f>
        <v>6.3237751527593444E-20</v>
      </c>
      <c r="V83" s="15" cm="1">
        <f t="array" ref="V83">BSGreeksRR(M83,$B$2,$B$3,$B$6,$B$4,$B$7,$B$5,"Vega")</f>
        <v>4.4594082264861182E-2</v>
      </c>
      <c r="W83" s="15" cm="1">
        <f t="array" ref="W83">BSGreeks(M83,$B$2,$B$6,$B$7,$B$5,"Theta")</f>
        <v>-1.1019545165001947</v>
      </c>
      <c r="X83" s="15" cm="1">
        <f t="array" ref="X83">BSGreeks(M83,$B$3,$B$4,$B$7,$B$5,"Theta")</f>
        <v>-0.86284876765878038</v>
      </c>
      <c r="Y83" s="15" cm="1">
        <f t="array" ref="Y83">BSGreeksRR(M83,$B$2,$B$3,$B$6,$B$4,$B$7,$B$5,"Theta")</f>
        <v>-1.9658519857837771</v>
      </c>
    </row>
    <row r="84" spans="13:25" x14ac:dyDescent="0.25">
      <c r="M84">
        <v>95</v>
      </c>
      <c r="N84" s="15" cm="1">
        <f t="array" ref="N84">BSGreeks(M84,$B$2,$B$6,$B$7,$B$5,"Delta")</f>
        <v>0.99982941040989071</v>
      </c>
      <c r="O84" s="15" cm="1">
        <f t="array" ref="O84">BSGreeks(M84,$B$3,$B$4,$B$7,$B$5,"Delta") - 1</f>
        <v>0</v>
      </c>
      <c r="P84" s="15" cm="1">
        <f t="array" ref="P84">BSGreeksRR(M84,$B$2,$B$3,$B$6,$B$4,$B$7,$B$5,"Delta")</f>
        <v>0.99982941040989071</v>
      </c>
      <c r="Q84" s="15" cm="1">
        <f t="array" ref="Q84">BSGreeks(M84,$B$2,$B$6,$B$7,$B$5,"Gamma")</f>
        <v>6.8750333210833428E-5</v>
      </c>
      <c r="R84" s="15" cm="1">
        <f t="array" ref="R84">BSGreeks(M84,$B$3,$B$4,$B$7,$B$5,"Gamma")</f>
        <v>7.1220131758731551E-23</v>
      </c>
      <c r="S84" s="15" cm="1">
        <f t="array" ref="S84">BSGreeksRR(M84,$B$2,$B$3,$B$6,$B$4,$B$7,$B$5,"Gamma")</f>
        <v>6.8750333210833428E-5</v>
      </c>
      <c r="T84" s="15" cm="1">
        <f t="array" ref="T84">BSGreeks(M84,$B$2,$B$6,$B$7,$B$5,"Vega")</f>
        <v>3.1023587861388584E-2</v>
      </c>
      <c r="U84" s="15" cm="1">
        <f t="array" ref="U84">BSGreeks(M84,$B$3,$B$4,$B$7,$B$5,"Vega")</f>
        <v>1.0712694818709204E-20</v>
      </c>
      <c r="V84" s="15" cm="1">
        <f t="array" ref="V84">BSGreeksRR(M84,$B$2,$B$3,$B$6,$B$4,$B$7,$B$5,"Vega")</f>
        <v>3.1023587861388584E-2</v>
      </c>
      <c r="W84" s="15" cm="1">
        <f t="array" ref="W84">BSGreeks(M84,$B$2,$B$6,$B$7,$B$5,"Theta")</f>
        <v>-1.0910981209774167</v>
      </c>
      <c r="X84" s="15" cm="1">
        <f t="array" ref="X84">BSGreeks(M84,$B$3,$B$4,$B$7,$B$5,"Theta")</f>
        <v>-0.86284876765878038</v>
      </c>
      <c r="Y84" s="15" cm="1">
        <f t="array" ref="Y84">BSGreeksRR(M84,$B$2,$B$3,$B$6,$B$4,$B$7,$B$5,"Theta")</f>
        <v>-1.9551223528725925</v>
      </c>
    </row>
    <row r="85" spans="13:25" x14ac:dyDescent="0.25">
      <c r="M85">
        <v>96</v>
      </c>
      <c r="N85" s="15" cm="1">
        <f t="array" ref="N85">BSGreeks(M85,$B$2,$B$6,$B$7,$B$5,"Delta")</f>
        <v>0.9998863451555976</v>
      </c>
      <c r="O85" s="15" cm="1">
        <f t="array" ref="O85">BSGreeks(M85,$B$3,$B$4,$B$7,$B$5,"Delta") - 1</f>
        <v>0</v>
      </c>
      <c r="P85" s="15" cm="1">
        <f t="array" ref="P85">BSGreeksRR(M85,$B$2,$B$3,$B$6,$B$4,$B$7,$B$5,"Delta")</f>
        <v>0.9998863451555976</v>
      </c>
      <c r="Q85" s="15" cm="1">
        <f t="array" ref="Q85">BSGreeks(M85,$B$2,$B$6,$B$7,$B$5,"Gamma")</f>
        <v>4.6500468374830984E-5</v>
      </c>
      <c r="R85" s="15" cm="1">
        <f t="array" ref="R85">BSGreeks(M85,$B$3,$B$4,$B$7,$B$5,"Gamma")</f>
        <v>1.1645084131611062E-23</v>
      </c>
      <c r="S85" s="15" cm="1">
        <f t="array" ref="S85">BSGreeksRR(M85,$B$2,$B$3,$B$6,$B$4,$B$7,$B$5,"Gamma")</f>
        <v>4.6500468374830984E-5</v>
      </c>
      <c r="T85" s="15" cm="1">
        <f t="array" ref="T85">BSGreeks(M85,$B$2,$B$6,$B$7,$B$5,"Vega")</f>
        <v>2.1427415827122119E-2</v>
      </c>
      <c r="U85" s="15" cm="1">
        <f t="array" ref="U85">BSGreeks(M85,$B$3,$B$4,$B$7,$B$5,"Vega")</f>
        <v>1.7886849226154591E-21</v>
      </c>
      <c r="V85" s="15" cm="1">
        <f t="array" ref="V85">BSGreeksRR(M85,$B$2,$B$3,$B$6,$B$4,$B$7,$B$5,"Vega")</f>
        <v>2.1427415827122116E-2</v>
      </c>
      <c r="W85" s="15" cm="1">
        <f t="array" ref="W85">BSGreeks(M85,$B$2,$B$6,$B$7,$B$5,"Theta")</f>
        <v>-1.0848286812022456</v>
      </c>
      <c r="X85" s="15" cm="1">
        <f t="array" ref="X85">BSGreeks(M85,$B$3,$B$4,$B$7,$B$5,"Theta")</f>
        <v>-0.86284876765878038</v>
      </c>
      <c r="Y85" s="15" cm="1">
        <f t="array" ref="Y85">BSGreeksRR(M85,$B$2,$B$3,$B$6,$B$4,$B$7,$B$5,"Theta")</f>
        <v>-1.9475323819349724</v>
      </c>
    </row>
    <row r="86" spans="13:25" x14ac:dyDescent="0.25">
      <c r="M86">
        <v>97</v>
      </c>
      <c r="N86" s="15" cm="1">
        <f t="array" ref="N86">BSGreeks(M86,$B$2,$B$6,$B$7,$B$5,"Delta")</f>
        <v>0.99992473201028764</v>
      </c>
      <c r="O86" s="15" cm="1">
        <f t="array" ref="O86">BSGreeks(M86,$B$3,$B$4,$B$7,$B$5,"Delta") - 1</f>
        <v>0</v>
      </c>
      <c r="P86" s="15" cm="1">
        <f t="array" ref="P86">BSGreeksRR(M86,$B$2,$B$3,$B$6,$B$4,$B$7,$B$5,"Delta")</f>
        <v>0.99992473201028764</v>
      </c>
      <c r="Q86" s="15" cm="1">
        <f t="array" ref="Q86">BSGreeks(M86,$B$2,$B$6,$B$7,$B$5,"Gamma")</f>
        <v>3.1240030835936281E-5</v>
      </c>
      <c r="R86" s="15" cm="1">
        <f t="array" ref="R86">BSGreeks(M86,$B$3,$B$4,$B$7,$B$5,"Gamma")</f>
        <v>1.8783127470784356E-24</v>
      </c>
      <c r="S86" s="15" cm="1">
        <f t="array" ref="S86">BSGreeksRR(M86,$B$2,$B$3,$B$6,$B$4,$B$7,$B$5,"Gamma")</f>
        <v>3.1240030835936281E-5</v>
      </c>
      <c r="T86" s="15" cm="1">
        <f t="array" ref="T86">BSGreeks(M86,$B$2,$B$6,$B$7,$B$5,"Vega")</f>
        <v>1.4696872506766222E-2</v>
      </c>
      <c r="U86" s="15" cm="1">
        <f t="array" ref="U86">BSGreeks(M86,$B$3,$B$4,$B$7,$B$5,"Vega")</f>
        <v>2.9455074395434999E-22</v>
      </c>
      <c r="V86" s="15" cm="1">
        <f t="array" ref="V86">BSGreeksRR(M86,$B$2,$B$3,$B$6,$B$4,$B$7,$B$5,"Vega")</f>
        <v>1.4696872506766222E-2</v>
      </c>
      <c r="W86" s="15" cm="1">
        <f t="array" ref="W86">BSGreeks(M86,$B$2,$B$6,$B$7,$B$5,"Theta")</f>
        <v>-1.0794442465459611</v>
      </c>
      <c r="X86" s="15" cm="1">
        <f t="array" ref="X86">BSGreeks(M86,$B$3,$B$4,$B$7,$B$5,"Theta")</f>
        <v>-0.86284876765878038</v>
      </c>
      <c r="Y86" s="15" cm="1">
        <f t="array" ref="Y86">BSGreeksRR(M86,$B$2,$B$3,$B$6,$B$4,$B$7,$B$5,"Theta")</f>
        <v>-1.9422071962816114</v>
      </c>
    </row>
    <row r="87" spans="13:25" x14ac:dyDescent="0.25">
      <c r="M87">
        <v>98</v>
      </c>
      <c r="N87" s="15" cm="1">
        <f t="array" ref="N87">BSGreeks(M87,$B$2,$B$6,$B$7,$B$5,"Delta")</f>
        <v>0.99995044257430643</v>
      </c>
      <c r="O87" s="15" cm="1">
        <f t="array" ref="O87">BSGreeks(M87,$B$3,$B$4,$B$7,$B$5,"Delta") - 1</f>
        <v>0</v>
      </c>
      <c r="P87" s="15" cm="1">
        <f t="array" ref="P87">BSGreeksRR(M87,$B$2,$B$3,$B$6,$B$4,$B$7,$B$5,"Delta")</f>
        <v>0.99995044257430643</v>
      </c>
      <c r="Q87" s="15" cm="1">
        <f t="array" ref="Q87">BSGreeks(M87,$B$2,$B$6,$B$7,$B$5,"Gamma")</f>
        <v>2.0851874238200727E-5</v>
      </c>
      <c r="R87" s="15" cm="1">
        <f t="array" ref="R87">BSGreeks(M87,$B$3,$B$4,$B$7,$B$5,"Gamma")</f>
        <v>2.9904974943376278E-25</v>
      </c>
      <c r="S87" s="15" cm="1">
        <f t="array" ref="S87">BSGreeksRR(M87,$B$2,$B$3,$B$6,$B$4,$B$7,$B$5,"Gamma")</f>
        <v>2.0851874238200727E-5</v>
      </c>
      <c r="T87" s="15" cm="1">
        <f t="array" ref="T87">BSGreeks(M87,$B$2,$B$6,$B$7,$B$5,"Vega")</f>
        <v>1.0013070009183989E-2</v>
      </c>
      <c r="U87" s="15" cm="1">
        <f t="array" ref="U87">BSGreeks(M87,$B$3,$B$4,$B$7,$B$5,"Vega")</f>
        <v>4.7867896559364292E-23</v>
      </c>
      <c r="V87" s="15" cm="1">
        <f t="array" ref="V87">BSGreeksRR(M87,$B$2,$B$3,$B$6,$B$4,$B$7,$B$5,"Vega")</f>
        <v>1.0013070009183989E-2</v>
      </c>
      <c r="W87" s="15" cm="1">
        <f t="array" ref="W87">BSGreeks(M87,$B$2,$B$6,$B$7,$B$5,"Theta")</f>
        <v>-1.0756972045478952</v>
      </c>
      <c r="X87" s="15" cm="1">
        <f t="array" ref="X87">BSGreeks(M87,$B$3,$B$4,$B$7,$B$5,"Theta")</f>
        <v>-0.86284876765878038</v>
      </c>
      <c r="Y87" s="15" cm="1">
        <f t="array" ref="Y87">BSGreeksRR(M87,$B$2,$B$3,$B$6,$B$4,$B$7,$B$5,"Theta")</f>
        <v>-1.9385002489455849</v>
      </c>
    </row>
    <row r="88" spans="13:25" x14ac:dyDescent="0.25">
      <c r="M88">
        <v>99</v>
      </c>
      <c r="N88" s="15" cm="1">
        <f t="array" ref="N88">BSGreeks(M88,$B$2,$B$6,$B$7,$B$5,"Delta")</f>
        <v>0.99996755337560372</v>
      </c>
      <c r="O88" s="15" cm="1">
        <f t="array" ref="O88">BSGreeks(M88,$B$3,$B$4,$B$7,$B$5,"Delta") - 1</f>
        <v>0</v>
      </c>
      <c r="P88" s="15" cm="1">
        <f t="array" ref="P88">BSGreeksRR(M88,$B$2,$B$3,$B$6,$B$4,$B$7,$B$5,"Delta")</f>
        <v>0.99996755337560372</v>
      </c>
      <c r="Q88" s="15" cm="1">
        <f t="array" ref="Q88">BSGreeks(M88,$B$2,$B$6,$B$7,$B$5,"Gamma")</f>
        <v>1.3831265350286987E-5</v>
      </c>
      <c r="R88" s="15" cm="1">
        <f t="array" ref="R88">BSGreeks(M88,$B$3,$B$4,$B$7,$B$5,"Gamma")</f>
        <v>4.7024384491587701E-26</v>
      </c>
      <c r="S88" s="15" cm="1">
        <f t="array" ref="S88">BSGreeksRR(M88,$B$2,$B$3,$B$6,$B$4,$B$7,$B$5,"Gamma")</f>
        <v>1.3831265350286987E-5</v>
      </c>
      <c r="T88" s="15" cm="1">
        <f t="array" ref="T88">BSGreeks(M88,$B$2,$B$6,$B$7,$B$5,"Vega")</f>
        <v>6.778011584908138E-3</v>
      </c>
      <c r="U88" s="15" cm="1">
        <f t="array" ref="U88">BSGreeks(M88,$B$3,$B$4,$B$7,$B$5,"Vega")</f>
        <v>7.6814332067008497E-24</v>
      </c>
      <c r="V88" s="15" cm="1">
        <f t="array" ref="V88">BSGreeksRR(M88,$B$2,$B$3,$B$6,$B$4,$B$7,$B$5,"Vega")</f>
        <v>6.778011584908138E-3</v>
      </c>
      <c r="W88" s="15" cm="1">
        <f t="array" ref="W88">BSGreeks(M88,$B$2,$B$6,$B$7,$B$5,"Theta")</f>
        <v>-1.0731091578084746</v>
      </c>
      <c r="X88" s="15" cm="1">
        <f t="array" ref="X88">BSGreeks(M88,$B$3,$B$4,$B$7,$B$5,"Theta")</f>
        <v>-0.86284876765878038</v>
      </c>
      <c r="Y88" s="15" cm="1">
        <f t="array" ref="Y88">BSGreeksRR(M88,$B$2,$B$3,$B$6,$B$4,$B$7,$B$5,"Theta")</f>
        <v>-1.9359391594914332</v>
      </c>
    </row>
    <row r="89" spans="13:25" x14ac:dyDescent="0.25">
      <c r="M89">
        <v>100</v>
      </c>
      <c r="N89" s="15" cm="1">
        <f t="array" ref="N89">BSGreeks(M89,$B$2,$B$6,$B$7,$B$5,"Delta")</f>
        <v>0.99997887113230932</v>
      </c>
      <c r="O89" s="15" cm="1">
        <f t="array" ref="O89">BSGreeks(M89,$B$3,$B$4,$B$7,$B$5,"Delta") - 1</f>
        <v>0</v>
      </c>
      <c r="P89" s="15" cm="1">
        <f t="array" ref="P89">BSGreeksRR(M89,$B$2,$B$3,$B$6,$B$4,$B$7,$B$5,"Delta")</f>
        <v>0.99997887113230932</v>
      </c>
      <c r="Q89" s="15" cm="1">
        <f t="array" ref="Q89">BSGreeks(M89,$B$2,$B$6,$B$7,$B$5,"Gamma")</f>
        <v>9.1193000701811038E-6</v>
      </c>
      <c r="R89" s="15" cm="1">
        <f t="array" ref="R89">BSGreeks(M89,$B$3,$B$4,$B$7,$B$5,"Gamma")</f>
        <v>7.3071896043491895E-27</v>
      </c>
      <c r="S89" s="15" cm="1">
        <f t="array" ref="S89">BSGreeksRR(M89,$B$2,$B$3,$B$6,$B$4,$B$7,$B$5,"Gamma")</f>
        <v>9.1193000701811038E-6</v>
      </c>
      <c r="T89" s="15" cm="1">
        <f t="array" ref="T89">BSGreeks(M89,$B$2,$B$6,$B$7,$B$5,"Vega")</f>
        <v>4.5596500350905522E-3</v>
      </c>
      <c r="U89" s="15" cm="1">
        <f t="array" ref="U89">BSGreeks(M89,$B$3,$B$4,$B$7,$B$5,"Vega")</f>
        <v>1.2178649340581982E-24</v>
      </c>
      <c r="V89" s="15" cm="1">
        <f t="array" ref="V89">BSGreeksRR(M89,$B$2,$B$3,$B$6,$B$4,$B$7,$B$5,"Vega")</f>
        <v>4.5596500350905522E-3</v>
      </c>
      <c r="W89" s="15" cm="1">
        <f t="array" ref="W89">BSGreeks(M89,$B$2,$B$6,$B$7,$B$5,"Theta")</f>
        <v>-1.0713344685686204</v>
      </c>
      <c r="X89" s="15" cm="1">
        <f t="array" ref="X89">BSGreeks(M89,$B$3,$B$4,$B$7,$B$5,"Theta")</f>
        <v>-0.86284876765878038</v>
      </c>
      <c r="Y89" s="15" cm="1">
        <f t="array" ref="Y89">BSGreeksRR(M89,$B$2,$B$3,$B$6,$B$4,$B$7,$B$5,"Theta")</f>
        <v>-1.9341824818538207</v>
      </c>
    </row>
  </sheetData>
  <mergeCells count="1">
    <mergeCell ref="A1:B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B5B9-C7FC-4FC0-A87F-0D06081FBF64}">
  <sheetPr codeName="Feuil3"/>
  <dimension ref="A1:N182"/>
  <sheetViews>
    <sheetView showGridLines="0" zoomScale="48" workbookViewId="0">
      <selection activeCell="E1" sqref="E1"/>
    </sheetView>
  </sheetViews>
  <sheetFormatPr baseColWidth="10" defaultRowHeight="15" x14ac:dyDescent="0.25"/>
  <cols>
    <col min="4" max="4" width="11" bestFit="1" customWidth="1"/>
    <col min="5" max="5" width="11.85546875" bestFit="1" customWidth="1"/>
    <col min="6" max="6" width="15.28515625" customWidth="1"/>
    <col min="7" max="7" width="11" bestFit="1" customWidth="1"/>
    <col min="8" max="8" width="11.85546875" bestFit="1" customWidth="1"/>
    <col min="9" max="9" width="12.42578125" bestFit="1" customWidth="1"/>
    <col min="10" max="11" width="11.42578125" bestFit="1" customWidth="1"/>
  </cols>
  <sheetData>
    <row r="1" spans="1:14" ht="35.450000000000003" customHeight="1" x14ac:dyDescent="0.25">
      <c r="A1" s="61" t="s">
        <v>68</v>
      </c>
      <c r="B1" s="61"/>
      <c r="D1" s="7" t="s">
        <v>25</v>
      </c>
      <c r="E1" s="8" t="s">
        <v>0</v>
      </c>
      <c r="F1" s="8" t="s">
        <v>26</v>
      </c>
      <c r="G1" s="8" t="s">
        <v>7</v>
      </c>
      <c r="H1" s="8" t="s">
        <v>69</v>
      </c>
      <c r="I1" s="8" t="s">
        <v>28</v>
      </c>
      <c r="J1" s="8" t="s">
        <v>35</v>
      </c>
      <c r="K1" s="9" t="s">
        <v>29</v>
      </c>
    </row>
    <row r="2" spans="1:14" x14ac:dyDescent="0.25">
      <c r="A2" s="1" t="s">
        <v>0</v>
      </c>
      <c r="B2" s="24">
        <v>60.57</v>
      </c>
      <c r="D2" s="22">
        <f t="array" ref="D2:E91">BSPath($B$2, $B$8, $B$5, $B$6, $B$9)</f>
        <v>0</v>
      </c>
      <c r="E2" s="11">
        <v>60.57</v>
      </c>
      <c r="F2" s="11">
        <f>BSCall(B2,$B$3, $B$6 - D2,$B$8, $B$5) - BSPut(B2,$B$4, $B$7 - D2,$B$8, $B$5)</f>
        <v>0.53420437876534088</v>
      </c>
      <c r="G2" s="11">
        <f t="shared" ref="G2:G29" si="0">BSGreeksRR(E2,$B$3,$B$4,$B$6 - D2,$B$7 - D2,$B$8, $B$5,$G$1)</f>
        <v>0.1997103005337969</v>
      </c>
      <c r="H2" s="11">
        <f t="shared" ref="H2:H33" si="1">E2*G2</f>
        <v>12.096452903332079</v>
      </c>
      <c r="I2" s="11">
        <f t="shared" ref="I2:I33" si="2">F2 - H2</f>
        <v>-11.562248524566737</v>
      </c>
      <c r="J2" s="11">
        <f>BSCall(E2,$B$3, $B$6 - D2,$B$8,$B$5) - BSPut(E2,$B$4, $B$7 - D2,$B$8, $B$5)</f>
        <v>0.53420437876534088</v>
      </c>
      <c r="K2" s="20">
        <f t="shared" ref="K2:K33" si="3">F2 - J2</f>
        <v>0</v>
      </c>
    </row>
    <row r="3" spans="1:14" x14ac:dyDescent="0.25">
      <c r="A3" s="1" t="s">
        <v>1</v>
      </c>
      <c r="B3" s="1">
        <v>67</v>
      </c>
      <c r="D3" s="22">
        <v>2.7777777777777779E-3</v>
      </c>
      <c r="E3" s="11">
        <v>60.401743822734048</v>
      </c>
      <c r="F3" s="11">
        <f t="shared" ref="F3:F34" si="4" xml:space="preserve"> G2*E3 + I2* EXP($B$8*(D3 - D2))</f>
        <v>0.50008799790501435</v>
      </c>
      <c r="G3" s="11">
        <f t="shared" si="0"/>
        <v>0.19172758944412047</v>
      </c>
      <c r="H3" s="11">
        <f t="shared" si="1"/>
        <v>11.580680741354094</v>
      </c>
      <c r="I3" s="11">
        <f t="shared" si="2"/>
        <v>-11.080592743449079</v>
      </c>
      <c r="J3" s="11">
        <f>BSCall(E3,$B$3, $B$6 - D3,$B$8,$B$5) - BSPut(E3,$B$4, $B$7 - D3,$B$8, $B$5)</f>
        <v>0.49506478966715889</v>
      </c>
      <c r="K3" s="20">
        <f t="shared" si="3"/>
        <v>5.0232082378554588E-3</v>
      </c>
    </row>
    <row r="4" spans="1:14" x14ac:dyDescent="0.25">
      <c r="A4" s="1" t="s">
        <v>2</v>
      </c>
      <c r="B4" s="1">
        <v>54</v>
      </c>
      <c r="D4" s="22">
        <v>5.5555555555555558E-3</v>
      </c>
      <c r="E4" s="11">
        <v>60.994077216078189</v>
      </c>
      <c r="F4" s="11">
        <f t="shared" si="4"/>
        <v>0.61316216982558736</v>
      </c>
      <c r="G4" s="11">
        <f t="shared" si="0"/>
        <v>0.20743029222097856</v>
      </c>
      <c r="H4" s="11">
        <f t="shared" si="1"/>
        <v>12.65201926068003</v>
      </c>
      <c r="I4" s="11">
        <f t="shared" si="2"/>
        <v>-12.038857090854442</v>
      </c>
      <c r="J4" s="11">
        <f>BSCall(E4,$B$3, $B$6 - D4,$B$8,$B$5) - BSPut(E4,$B$4, $B$7 - D4,$B$8, $B$5)</f>
        <v>0.60599207330545135</v>
      </c>
      <c r="K4" s="20">
        <f t="shared" si="3"/>
        <v>7.1700965201360045E-3</v>
      </c>
    </row>
    <row r="5" spans="1:14" x14ac:dyDescent="0.25">
      <c r="A5" s="1" t="s">
        <v>3</v>
      </c>
      <c r="B5" s="1">
        <v>0.2</v>
      </c>
      <c r="D5" s="22">
        <v>8.3333333333333332E-3</v>
      </c>
      <c r="E5" s="11">
        <v>60.599151420769779</v>
      </c>
      <c r="F5" s="11">
        <f t="shared" si="4"/>
        <v>0.53070752449360548</v>
      </c>
      <c r="G5" s="11">
        <f t="shared" si="0"/>
        <v>0.19107037472271018</v>
      </c>
      <c r="H5" s="11">
        <f t="shared" si="1"/>
        <v>11.578702569844737</v>
      </c>
      <c r="I5" s="11">
        <f t="shared" si="2"/>
        <v>-11.047995045351131</v>
      </c>
      <c r="J5" s="11">
        <f>BSCall(E5,$B$3, $B$6 - D5,$B$8,$B$5) - BSPut(E5,$B$4, $B$7 - D5,$B$8, $B$5)</f>
        <v>0.51989535274540066</v>
      </c>
      <c r="K5" s="20">
        <f t="shared" si="3"/>
        <v>1.0812171748204813E-2</v>
      </c>
    </row>
    <row r="6" spans="1:14" x14ac:dyDescent="0.25">
      <c r="A6" s="1" t="s">
        <v>4</v>
      </c>
      <c r="B6" s="1">
        <v>0.25</v>
      </c>
      <c r="D6" s="22">
        <v>1.1111111111111112E-2</v>
      </c>
      <c r="E6" s="11">
        <v>60.897802447334435</v>
      </c>
      <c r="F6" s="11">
        <f t="shared" si="4"/>
        <v>0.58727985513685965</v>
      </c>
      <c r="G6" s="11">
        <f t="shared" si="0"/>
        <v>0.19817681845650567</v>
      </c>
      <c r="H6" s="11">
        <f t="shared" si="1"/>
        <v>12.068532740005542</v>
      </c>
      <c r="I6" s="11">
        <f t="shared" si="2"/>
        <v>-11.481252884868683</v>
      </c>
      <c r="J6" s="11">
        <f>BSCall(E6,$B$3, $B$6 - D6,$B$8,$B$5) - BSPut(E6,$B$4, $B$7 - D6,$B$8, $B$5)</f>
        <v>0.57052747809554882</v>
      </c>
      <c r="K6" s="20">
        <f t="shared" si="3"/>
        <v>1.6752377041310829E-2</v>
      </c>
    </row>
    <row r="7" spans="1:14" x14ac:dyDescent="0.25">
      <c r="A7" s="1" t="s">
        <v>5</v>
      </c>
      <c r="B7" s="1">
        <v>8.3333333333333329E-2</v>
      </c>
      <c r="D7" s="22">
        <v>1.388888888888889E-2</v>
      </c>
      <c r="E7" s="11">
        <v>60.731556077429872</v>
      </c>
      <c r="F7" s="11">
        <f t="shared" si="4"/>
        <v>0.55382338922355956</v>
      </c>
      <c r="G7" s="11">
        <f t="shared" si="0"/>
        <v>0.18933353605482556</v>
      </c>
      <c r="H7" s="11">
        <f t="shared" si="1"/>
        <v>11.498520262251729</v>
      </c>
      <c r="I7" s="11">
        <f t="shared" si="2"/>
        <v>-10.944696873028169</v>
      </c>
      <c r="J7" s="11">
        <f>BSCall(E7,$B$3, $B$6 - D7,$B$8,$B$5) - BSPut(E7,$B$4, $B$7 - D7,$B$8, $B$5)</f>
        <v>0.53052579107124254</v>
      </c>
      <c r="K7" s="20">
        <f t="shared" si="3"/>
        <v>2.3297598152317023E-2</v>
      </c>
    </row>
    <row r="8" spans="1:14" x14ac:dyDescent="0.25">
      <c r="A8" s="1" t="s">
        <v>6</v>
      </c>
      <c r="B8" s="1">
        <v>1.6E-2</v>
      </c>
      <c r="D8" s="22">
        <v>1.6666666666666666E-2</v>
      </c>
      <c r="E8" s="11">
        <v>61.356295752301193</v>
      </c>
      <c r="F8" s="11">
        <f t="shared" si="4"/>
        <v>0.67162111919881617</v>
      </c>
      <c r="G8" s="11">
        <f t="shared" si="0"/>
        <v>0.21087622658057234</v>
      </c>
      <c r="H8" s="11">
        <f t="shared" si="1"/>
        <v>12.938584125206875</v>
      </c>
      <c r="I8" s="11">
        <f t="shared" si="2"/>
        <v>-12.266963006008059</v>
      </c>
      <c r="J8" s="11">
        <f>BSCall(E8,$B$3, $B$6 - D8,$B$8,$B$5) - BSPut(E8,$B$4, $B$7 - D8,$B$8, $B$5)</f>
        <v>0.64669042374405661</v>
      </c>
      <c r="K8" s="20">
        <f t="shared" si="3"/>
        <v>2.4930695454759566E-2</v>
      </c>
    </row>
    <row r="9" spans="1:14" x14ac:dyDescent="0.25">
      <c r="A9" s="25" t="s">
        <v>30</v>
      </c>
      <c r="B9" s="1">
        <f>360*B6</f>
        <v>90</v>
      </c>
      <c r="D9" s="22">
        <v>1.9444444444444445E-2</v>
      </c>
      <c r="E9" s="11">
        <v>61.24960458601393</v>
      </c>
      <c r="F9" s="11">
        <f t="shared" si="4"/>
        <v>0.64857727817115851</v>
      </c>
      <c r="G9" s="11">
        <f t="shared" si="0"/>
        <v>0.20380322696669734</v>
      </c>
      <c r="H9" s="11">
        <f t="shared" si="1"/>
        <v>12.482867065063862</v>
      </c>
      <c r="I9" s="11">
        <f t="shared" si="2"/>
        <v>-11.834289786892704</v>
      </c>
      <c r="J9" s="11">
        <f>BSCall(E9,$B$3, $B$6 - D9,$B$8,$B$5) - BSPut(E9,$B$4, $B$7 - D9,$B$8, $B$5)</f>
        <v>0.61517398634573073</v>
      </c>
      <c r="K9" s="20">
        <f t="shared" si="3"/>
        <v>3.3403291825427783E-2</v>
      </c>
    </row>
    <row r="10" spans="1:14" x14ac:dyDescent="0.25">
      <c r="D10" s="22">
        <v>2.2222222222222223E-2</v>
      </c>
      <c r="E10" s="11">
        <v>61.883743176662271</v>
      </c>
      <c r="F10" s="11">
        <f t="shared" si="4"/>
        <v>0.77729078916607186</v>
      </c>
      <c r="G10" s="11">
        <f t="shared" si="0"/>
        <v>0.23029481548338984</v>
      </c>
      <c r="H10" s="11">
        <f t="shared" si="1"/>
        <v>14.251505216290923</v>
      </c>
      <c r="I10" s="11">
        <f t="shared" si="2"/>
        <v>-13.474214427124851</v>
      </c>
      <c r="J10" s="11">
        <f>BSCall(E10,$B$3, $B$6 - D10,$B$8,$B$5) - BSPut(E10,$B$4, $B$7 - D10,$B$8, $B$5)</f>
        <v>0.74243387340257661</v>
      </c>
      <c r="K10" s="20">
        <f t="shared" si="3"/>
        <v>3.4856915763495255E-2</v>
      </c>
    </row>
    <row r="11" spans="1:14" x14ac:dyDescent="0.25">
      <c r="D11" s="22">
        <v>2.5000000000000001E-2</v>
      </c>
      <c r="E11" s="11">
        <v>61.380103035881888</v>
      </c>
      <c r="F11" s="11">
        <f t="shared" si="4"/>
        <v>0.66070620859242446</v>
      </c>
      <c r="G11" s="11">
        <f t="shared" si="0"/>
        <v>0.20450883088476468</v>
      </c>
      <c r="H11" s="11">
        <f t="shared" si="1"/>
        <v>12.5527731114546</v>
      </c>
      <c r="I11" s="11">
        <f t="shared" si="2"/>
        <v>-11.892066902862176</v>
      </c>
      <c r="J11" s="11">
        <f>BSCall(E11,$B$3, $B$6 - D11,$B$8,$B$5) - BSPut(E11,$B$4, $B$7 - D11,$B$8, $B$5)</f>
        <v>0.62260246817362963</v>
      </c>
      <c r="K11" s="20">
        <f t="shared" si="3"/>
        <v>3.8103740418794829E-2</v>
      </c>
    </row>
    <row r="12" spans="1:14" x14ac:dyDescent="0.25">
      <c r="D12" s="22">
        <v>2.777777777777778E-2</v>
      </c>
      <c r="E12" s="11">
        <v>61.781549300155305</v>
      </c>
      <c r="F12" s="11">
        <f t="shared" si="4"/>
        <v>0.74227696670981835</v>
      </c>
      <c r="G12" s="11">
        <f t="shared" si="0"/>
        <v>0.22098345510318518</v>
      </c>
      <c r="H12" s="11">
        <f t="shared" si="1"/>
        <v>13.652700225976092</v>
      </c>
      <c r="I12" s="11">
        <f t="shared" si="2"/>
        <v>-12.910423259266274</v>
      </c>
      <c r="J12" s="11">
        <f>BSCall(E12,$B$3, $B$6 - D12,$B$8,$B$5) - BSPut(E12,$B$4, $B$7 - D12,$B$8, $B$5)</f>
        <v>0.69755095084405061</v>
      </c>
      <c r="K12" s="20">
        <f t="shared" si="3"/>
        <v>4.4726015865767743E-2</v>
      </c>
    </row>
    <row r="13" spans="1:14" x14ac:dyDescent="0.25">
      <c r="D13" s="22">
        <v>3.0555555555555558E-2</v>
      </c>
      <c r="E13" s="11">
        <v>62.615559882433118</v>
      </c>
      <c r="F13" s="11">
        <f t="shared" si="4"/>
        <v>0.92600569743366279</v>
      </c>
      <c r="G13" s="11">
        <f t="shared" si="0"/>
        <v>0.26227141039071789</v>
      </c>
      <c r="H13" s="11">
        <f t="shared" si="1"/>
        <v>16.422271202770187</v>
      </c>
      <c r="I13" s="11">
        <f t="shared" si="2"/>
        <v>-15.496265505336524</v>
      </c>
      <c r="J13" s="11">
        <f>BSCall(E13,$B$3, $B$6 - D13,$B$8,$B$5) - BSPut(E13,$B$4, $B$7 - D13,$B$8, $B$5)</f>
        <v>0.88690541365834941</v>
      </c>
      <c r="K13" s="20">
        <f t="shared" si="3"/>
        <v>3.9100283775313383E-2</v>
      </c>
    </row>
    <row r="14" spans="1:14" x14ac:dyDescent="0.25">
      <c r="D14" s="22">
        <v>3.3333333333333333E-2</v>
      </c>
      <c r="E14" s="11">
        <v>62.103436278059789</v>
      </c>
      <c r="F14" s="11">
        <f t="shared" si="4"/>
        <v>0.79100157920376546</v>
      </c>
      <c r="G14" s="11">
        <f t="shared" si="0"/>
        <v>0.23303298519683274</v>
      </c>
      <c r="H14" s="11">
        <f t="shared" si="1"/>
        <v>14.472149146857552</v>
      </c>
      <c r="I14" s="11">
        <f t="shared" si="2"/>
        <v>-13.681147567653786</v>
      </c>
      <c r="J14" s="11">
        <f>BSCall(E14,$B$3, $B$6 - D14,$B$8,$B$5) - BSPut(E14,$B$4, $B$7 - D14,$B$8, $B$5)</f>
        <v>0.74795346388193218</v>
      </c>
      <c r="K14" s="20">
        <f t="shared" si="3"/>
        <v>4.304811532183328E-2</v>
      </c>
    </row>
    <row r="15" spans="1:14" x14ac:dyDescent="0.25">
      <c r="D15" s="22">
        <v>3.6111111111111115E-2</v>
      </c>
      <c r="E15" s="11">
        <v>63.481010634097402</v>
      </c>
      <c r="F15" s="11">
        <f t="shared" si="4"/>
        <v>1.1114137792063641</v>
      </c>
      <c r="G15" s="11">
        <f t="shared" si="0"/>
        <v>0.30860815915220596</v>
      </c>
      <c r="H15" s="11">
        <f t="shared" si="1"/>
        <v>19.590757832910409</v>
      </c>
      <c r="I15" s="11">
        <f t="shared" si="2"/>
        <v>-18.479344053704047</v>
      </c>
      <c r="J15" s="11">
        <f>BSCall(E15,$B$3, $B$6 - D15,$B$8,$B$5) - BSPut(E15,$B$4, $B$7 - D15,$B$8, $B$5)</f>
        <v>1.1067039855426193</v>
      </c>
      <c r="K15" s="20">
        <f t="shared" si="3"/>
        <v>4.709793663744799E-3</v>
      </c>
    </row>
    <row r="16" spans="1:14" ht="15.75" x14ac:dyDescent="0.25">
      <c r="D16" s="22">
        <v>3.888888888888889E-2</v>
      </c>
      <c r="E16" s="11">
        <v>64.702605710879368</v>
      </c>
      <c r="F16" s="11">
        <f t="shared" si="4"/>
        <v>1.4875866646498075</v>
      </c>
      <c r="G16" s="11">
        <f t="shared" si="0"/>
        <v>0.38324611472459907</v>
      </c>
      <c r="H16" s="11">
        <f t="shared" si="1"/>
        <v>24.797022251252173</v>
      </c>
      <c r="I16" s="11">
        <f t="shared" si="2"/>
        <v>-23.309435586602365</v>
      </c>
      <c r="J16" s="11">
        <f>BSCall(E16,$B$3, $B$6 - D16,$B$8,$B$5) - BSPut(E16,$B$4, $B$7 - D16,$B$8, $B$5)</f>
        <v>1.5135759580872337</v>
      </c>
      <c r="K16" s="20">
        <f t="shared" si="3"/>
        <v>-2.5989293437426175E-2</v>
      </c>
      <c r="M16" s="62" t="s">
        <v>67</v>
      </c>
      <c r="N16" s="63"/>
    </row>
    <row r="17" spans="4:14" x14ac:dyDescent="0.25">
      <c r="D17" s="22">
        <v>4.1666666666666671E-2</v>
      </c>
      <c r="E17" s="11">
        <v>65.47810779746915</v>
      </c>
      <c r="F17" s="11">
        <f t="shared" si="4"/>
        <v>1.783758828359197</v>
      </c>
      <c r="G17" s="11">
        <f t="shared" si="0"/>
        <v>0.43268714640301215</v>
      </c>
      <c r="H17" s="11">
        <f t="shared" si="1"/>
        <v>28.331535614755744</v>
      </c>
      <c r="I17" s="11">
        <f t="shared" si="2"/>
        <v>-26.547776786396547</v>
      </c>
      <c r="J17" s="11">
        <f>BSCall(E17,$B$3, $B$6 - D17,$B$8,$B$5) - BSPut(E17,$B$4, $B$7 - D17,$B$8, $B$5)</f>
        <v>1.8134320829624433</v>
      </c>
      <c r="K17" s="20">
        <f t="shared" si="3"/>
        <v>-2.9673254603246324E-2</v>
      </c>
      <c r="M17" s="4" t="s">
        <v>50</v>
      </c>
      <c r="N17" s="12">
        <v>-0.51401877401350649</v>
      </c>
    </row>
    <row r="18" spans="4:14" x14ac:dyDescent="0.25">
      <c r="D18" s="22">
        <v>4.4444444444444446E-2</v>
      </c>
      <c r="E18" s="11">
        <v>65.520492720780808</v>
      </c>
      <c r="F18" s="11">
        <f t="shared" si="4"/>
        <v>1.8009183124665107</v>
      </c>
      <c r="G18" s="11">
        <f t="shared" si="0"/>
        <v>0.43461109007231158</v>
      </c>
      <c r="H18" s="11">
        <f t="shared" si="1"/>
        <v>28.475932763453503</v>
      </c>
      <c r="I18" s="11">
        <f t="shared" si="2"/>
        <v>-26.675014450986993</v>
      </c>
      <c r="J18" s="11">
        <f>BSCall(E18,$B$3, $B$6 - D18,$B$8,$B$5) - BSPut(E18,$B$4, $B$7 - D18,$B$8, $B$5)</f>
        <v>1.8148960959780598</v>
      </c>
      <c r="K18" s="20">
        <f t="shared" si="3"/>
        <v>-1.3977783511549102E-2</v>
      </c>
      <c r="M18" s="4" t="s">
        <v>51</v>
      </c>
      <c r="N18" s="12">
        <v>0.46426611897011238</v>
      </c>
    </row>
    <row r="19" spans="4:14" x14ac:dyDescent="0.25">
      <c r="D19" s="22">
        <v>4.7222222222222221E-2</v>
      </c>
      <c r="E19" s="11">
        <v>65.791256808551864</v>
      </c>
      <c r="F19" s="11">
        <f t="shared" si="4"/>
        <v>1.9174098052612187</v>
      </c>
      <c r="G19" s="11">
        <f t="shared" si="0"/>
        <v>0.45180955024727831</v>
      </c>
      <c r="H19" s="11">
        <f t="shared" si="1"/>
        <v>29.725118148875005</v>
      </c>
      <c r="I19" s="11">
        <f t="shared" si="2"/>
        <v>-27.807708343613786</v>
      </c>
      <c r="J19" s="11">
        <f>BSCall(E19,$B$3, $B$6 - D19,$B$8,$B$5) - BSPut(E19,$B$4, $B$7 - D19,$B$8, $B$5)</f>
        <v>1.9177476005929741</v>
      </c>
      <c r="K19" s="20">
        <f t="shared" si="3"/>
        <v>-3.3779533175537502E-4</v>
      </c>
      <c r="M19" s="4" t="s">
        <v>52</v>
      </c>
      <c r="N19" s="12">
        <v>-3.5944350343153228E-2</v>
      </c>
    </row>
    <row r="20" spans="4:14" x14ac:dyDescent="0.25">
      <c r="D20" s="22">
        <v>0.05</v>
      </c>
      <c r="E20" s="11">
        <v>65.718728773023145</v>
      </c>
      <c r="F20" s="11">
        <f t="shared" si="4"/>
        <v>1.8834050205352533</v>
      </c>
      <c r="G20" s="11">
        <f t="shared" si="0"/>
        <v>0.4461561286888362</v>
      </c>
      <c r="H20" s="11">
        <f t="shared" si="1"/>
        <v>29.320813611723636</v>
      </c>
      <c r="I20" s="11">
        <f t="shared" si="2"/>
        <v>-27.437408591188383</v>
      </c>
      <c r="J20" s="11">
        <f>BSCall(E20,$B$3, $B$6 - D20,$B$8,$B$5) - BSPut(E20,$B$4, $B$7 - D20,$B$8, $B$5)</f>
        <v>1.8678508150225377</v>
      </c>
      <c r="K20" s="20">
        <f t="shared" si="3"/>
        <v>1.555420551271558E-2</v>
      </c>
      <c r="M20" s="5" t="s">
        <v>53</v>
      </c>
      <c r="N20" s="14">
        <v>0.17029365269806021</v>
      </c>
    </row>
    <row r="21" spans="4:14" x14ac:dyDescent="0.25">
      <c r="D21" s="22">
        <v>5.2777777777777778E-2</v>
      </c>
      <c r="E21" s="11">
        <v>65.022858063643724</v>
      </c>
      <c r="F21" s="11">
        <f t="shared" si="4"/>
        <v>1.5717185712896722</v>
      </c>
      <c r="G21" s="11">
        <f t="shared" si="0"/>
        <v>0.3984714135115891</v>
      </c>
      <c r="H21" s="11">
        <f t="shared" si="1"/>
        <v>25.909750163183546</v>
      </c>
      <c r="I21" s="11">
        <f t="shared" si="2"/>
        <v>-24.338031591893873</v>
      </c>
      <c r="J21" s="11">
        <f>BSCall(E21,$B$3, $B$6 - D21,$B$8,$B$5) - BSPut(E21,$B$4, $B$7 - D21,$B$8, $B$5)</f>
        <v>1.5568861688554356</v>
      </c>
      <c r="K21" s="20">
        <f t="shared" si="3"/>
        <v>1.4832402434236558E-2</v>
      </c>
    </row>
    <row r="22" spans="4:14" x14ac:dyDescent="0.25">
      <c r="D22" s="22">
        <v>5.5555555555555559E-2</v>
      </c>
      <c r="E22" s="11">
        <v>65.277059305761682</v>
      </c>
      <c r="F22" s="11">
        <f t="shared" si="4"/>
        <v>1.671928785221926</v>
      </c>
      <c r="G22" s="11">
        <f t="shared" si="0"/>
        <v>0.41448262012256848</v>
      </c>
      <c r="H22" s="11">
        <f t="shared" si="1"/>
        <v>27.056206574948394</v>
      </c>
      <c r="I22" s="11">
        <f t="shared" si="2"/>
        <v>-25.384277789726468</v>
      </c>
      <c r="J22" s="11">
        <f>BSCall(E22,$B$3, $B$6 - D22,$B$8,$B$5) - BSPut(E22,$B$4, $B$7 - D22,$B$8, $B$5)</f>
        <v>1.6432375144590461</v>
      </c>
      <c r="K22" s="20">
        <f t="shared" si="3"/>
        <v>2.8691270762879917E-2</v>
      </c>
      <c r="N22">
        <v>0.30634606973384659</v>
      </c>
    </row>
    <row r="23" spans="4:14" x14ac:dyDescent="0.25">
      <c r="D23" s="22">
        <v>5.8333333333333334E-2</v>
      </c>
      <c r="E23" s="11">
        <v>65.476923547151429</v>
      </c>
      <c r="F23" s="11">
        <f t="shared" si="4"/>
        <v>1.7536408244667037</v>
      </c>
      <c r="G23" s="11">
        <f t="shared" si="0"/>
        <v>0.42707884245994127</v>
      </c>
      <c r="H23" s="11">
        <f t="shared" si="1"/>
        <v>27.963808716355505</v>
      </c>
      <c r="I23" s="11">
        <f t="shared" si="2"/>
        <v>-26.210167891888801</v>
      </c>
      <c r="J23" s="11">
        <f>BSCall(E23,$B$3, $B$6 - D23,$B$8,$B$5) - BSPut(E23,$B$4, $B$7 - D23,$B$8, $B$5)</f>
        <v>1.7100227459200139</v>
      </c>
      <c r="K23" s="20">
        <f t="shared" si="3"/>
        <v>4.3618078546689754E-2</v>
      </c>
    </row>
    <row r="24" spans="4:14" x14ac:dyDescent="0.25">
      <c r="D24" s="22">
        <v>6.1111111111111116E-2</v>
      </c>
      <c r="E24" s="11">
        <v>66.207014320584165</v>
      </c>
      <c r="F24" s="11">
        <f t="shared" si="4"/>
        <v>2.0642822246373171</v>
      </c>
      <c r="G24" s="11">
        <f t="shared" si="0"/>
        <v>0.47657792149661765</v>
      </c>
      <c r="H24" s="11">
        <f t="shared" si="1"/>
        <v>31.552801273400799</v>
      </c>
      <c r="I24" s="11">
        <f t="shared" si="2"/>
        <v>-29.488519048763482</v>
      </c>
      <c r="J24" s="11">
        <f>BSCall(E24,$B$3, $B$6 - D24,$B$8,$B$5) - BSPut(E24,$B$4, $B$7 - D24,$B$8, $B$5)</f>
        <v>2.0220093967974595</v>
      </c>
      <c r="K24" s="20">
        <f t="shared" si="3"/>
        <v>4.2272827839857641E-2</v>
      </c>
    </row>
    <row r="25" spans="4:14" x14ac:dyDescent="0.25">
      <c r="D25" s="22">
        <v>6.3888888888888898E-2</v>
      </c>
      <c r="E25" s="11">
        <v>65.973328719881565</v>
      </c>
      <c r="F25" s="11">
        <f t="shared" si="4"/>
        <v>1.9516021967992785</v>
      </c>
      <c r="G25" s="11">
        <f t="shared" si="0"/>
        <v>0.45964794977450735</v>
      </c>
      <c r="H25" s="11">
        <f t="shared" si="1"/>
        <v>30.324505285893185</v>
      </c>
      <c r="I25" s="11">
        <f t="shared" si="2"/>
        <v>-28.372903089093906</v>
      </c>
      <c r="J25" s="11">
        <f>BSCall(E25,$B$3, $B$6 - D25,$B$8,$B$5) - BSPut(E25,$B$4, $B$7 - D25,$B$8, $B$5)</f>
        <v>1.8944664625162206</v>
      </c>
      <c r="K25" s="20">
        <f t="shared" si="3"/>
        <v>5.7135734283057849E-2</v>
      </c>
    </row>
    <row r="26" spans="4:14" x14ac:dyDescent="0.25">
      <c r="D26" s="22">
        <v>6.6666666666666666E-2</v>
      </c>
      <c r="E26" s="11">
        <v>64.852858673362007</v>
      </c>
      <c r="F26" s="11">
        <f t="shared" si="4"/>
        <v>1.4353193911947137</v>
      </c>
      <c r="G26" s="11">
        <f t="shared" si="0"/>
        <v>0.38083699434927043</v>
      </c>
      <c r="H26" s="11">
        <f t="shared" si="1"/>
        <v>24.698367772121202</v>
      </c>
      <c r="I26" s="11">
        <f t="shared" si="2"/>
        <v>-23.263048380926488</v>
      </c>
      <c r="J26" s="11">
        <f>BSCall(E26,$B$3, $B$6 - D26,$B$8,$B$5) - BSPut(E26,$B$4, $B$7 - D26,$B$8, $B$5)</f>
        <v>1.4060133173003591</v>
      </c>
      <c r="K26" s="20">
        <f t="shared" si="3"/>
        <v>2.9306073894354689E-2</v>
      </c>
    </row>
    <row r="27" spans="4:14" x14ac:dyDescent="0.25">
      <c r="D27" s="22">
        <v>6.9444444444444448E-2</v>
      </c>
      <c r="E27" s="11">
        <v>64.865707070060651</v>
      </c>
      <c r="F27" s="11">
        <f t="shared" si="4"/>
        <v>1.4391785997380673</v>
      </c>
      <c r="G27" s="11">
        <f t="shared" si="0"/>
        <v>0.38039138845784576</v>
      </c>
      <c r="H27" s="11">
        <f t="shared" si="1"/>
        <v>24.674356375680272</v>
      </c>
      <c r="I27" s="11">
        <f t="shared" si="2"/>
        <v>-23.235177775942205</v>
      </c>
      <c r="J27" s="11">
        <f>BSCall(E27,$B$3, $B$6 - D27,$B$8,$B$5) - BSPut(E27,$B$4, $B$7 - D27,$B$8, $B$5)</f>
        <v>1.3937783873652905</v>
      </c>
      <c r="K27" s="20">
        <f t="shared" si="3"/>
        <v>4.5400212372776805E-2</v>
      </c>
    </row>
    <row r="28" spans="4:14" x14ac:dyDescent="0.25">
      <c r="D28" s="22">
        <v>7.2222222222222229E-2</v>
      </c>
      <c r="E28" s="11">
        <v>63.773468611176632</v>
      </c>
      <c r="F28" s="11">
        <f t="shared" si="4"/>
        <v>1.0226677983196346</v>
      </c>
      <c r="G28" s="11">
        <f t="shared" si="0"/>
        <v>0.30524014208665418</v>
      </c>
      <c r="H28" s="11">
        <f t="shared" si="1"/>
        <v>19.466222620234337</v>
      </c>
      <c r="I28" s="11">
        <f t="shared" si="2"/>
        <v>-18.443554821914702</v>
      </c>
      <c r="J28" s="11">
        <f>BSCall(E28,$B$3, $B$6 - D28,$B$8,$B$5) - BSPut(E28,$B$4, $B$7 - D28,$B$8, $B$5)</f>
        <v>1.0032812273902323</v>
      </c>
      <c r="K28" s="20">
        <f t="shared" si="3"/>
        <v>1.9386570929402325E-2</v>
      </c>
    </row>
    <row r="29" spans="4:14" x14ac:dyDescent="0.25">
      <c r="D29" s="22">
        <v>7.4999999999999997E-2</v>
      </c>
      <c r="E29" s="11">
        <v>63.562016430630216</v>
      </c>
      <c r="F29" s="11">
        <f t="shared" si="4"/>
        <v>0.95730437292134596</v>
      </c>
      <c r="G29" s="11">
        <f t="shared" si="0"/>
        <v>0.28968477912811585</v>
      </c>
      <c r="H29" s="11">
        <f t="shared" si="1"/>
        <v>18.412948690644786</v>
      </c>
      <c r="I29" s="11">
        <f t="shared" si="2"/>
        <v>-17.45564431772344</v>
      </c>
      <c r="J29" s="11">
        <f>BSCall(E29,$B$3, $B$6 - D29,$B$8,$B$5) - BSPut(E29,$B$4, $B$7 - D29,$B$8, $B$5)</f>
        <v>0.92500111614049241</v>
      </c>
      <c r="K29" s="20">
        <f t="shared" si="3"/>
        <v>3.2303256780853551E-2</v>
      </c>
    </row>
    <row r="30" spans="4:14" x14ac:dyDescent="0.25">
      <c r="D30" s="22">
        <v>7.7777777777777779E-2</v>
      </c>
      <c r="E30" s="11">
        <v>63.482745704595381</v>
      </c>
      <c r="F30" s="11">
        <f t="shared" si="4"/>
        <v>0.93356502650410178</v>
      </c>
      <c r="G30" s="11">
        <f t="shared" ref="G30:G61" si="5">BSGreeks(E30,$B$3,$B$6 - D30,$B$8, $B$5,$G$1)</f>
        <v>0.2826462332370655</v>
      </c>
      <c r="H30" s="11">
        <f t="shared" si="1"/>
        <v>17.943158948950384</v>
      </c>
      <c r="I30" s="11">
        <f t="shared" si="2"/>
        <v>-17.009593922446282</v>
      </c>
      <c r="J30" s="11">
        <f t="shared" ref="J30:J61" si="6">BSCall(E30,$B$3, $B$6 - D30,$B$8, $B$5)</f>
        <v>0.88714353488808451</v>
      </c>
      <c r="K30" s="20">
        <f t="shared" si="3"/>
        <v>4.6421491616017274E-2</v>
      </c>
    </row>
    <row r="31" spans="4:14" x14ac:dyDescent="0.25">
      <c r="D31" s="22">
        <v>8.0555555555555561E-2</v>
      </c>
      <c r="E31" s="11">
        <v>63.130793150333098</v>
      </c>
      <c r="F31" s="11">
        <f t="shared" si="4"/>
        <v>0.833330964011747</v>
      </c>
      <c r="G31" s="11">
        <f t="shared" si="5"/>
        <v>0.25835148046653933</v>
      </c>
      <c r="H31" s="11">
        <f t="shared" si="1"/>
        <v>16.309933873415417</v>
      </c>
      <c r="I31" s="11">
        <f t="shared" si="2"/>
        <v>-15.47660290940367</v>
      </c>
      <c r="J31" s="11">
        <f t="shared" si="6"/>
        <v>0.77715685879841134</v>
      </c>
      <c r="K31" s="20">
        <f t="shared" si="3"/>
        <v>5.6174105213335657E-2</v>
      </c>
    </row>
    <row r="32" spans="4:14" x14ac:dyDescent="0.25">
      <c r="D32" s="22">
        <v>8.3333333333333343E-2</v>
      </c>
      <c r="E32" s="11">
        <v>64.3694844601482</v>
      </c>
      <c r="F32" s="11">
        <f t="shared" si="4"/>
        <v>1.1526608334395583</v>
      </c>
      <c r="G32" s="11">
        <f t="shared" si="5"/>
        <v>0.33831665185746362</v>
      </c>
      <c r="H32" s="11">
        <f t="shared" si="1"/>
        <v>21.777268464348374</v>
      </c>
      <c r="I32" s="11">
        <f t="shared" si="2"/>
        <v>-20.624607630908816</v>
      </c>
      <c r="J32" s="11">
        <f t="shared" si="6"/>
        <v>1.1299787079986623</v>
      </c>
      <c r="K32" s="20">
        <f t="shared" si="3"/>
        <v>2.2682125440895984E-2</v>
      </c>
    </row>
    <row r="33" spans="4:11" x14ac:dyDescent="0.25">
      <c r="D33" s="22">
        <v>8.611111111111111E-2</v>
      </c>
      <c r="E33" s="11">
        <v>62.859271168051215</v>
      </c>
      <c r="F33" s="11">
        <f t="shared" si="4"/>
        <v>0.64081385926834145</v>
      </c>
      <c r="G33" s="11">
        <f t="shared" si="5"/>
        <v>0.23729224577957014</v>
      </c>
      <c r="H33" s="11">
        <f t="shared" si="1"/>
        <v>14.916017623533856</v>
      </c>
      <c r="I33" s="11">
        <f t="shared" si="2"/>
        <v>-14.275203764265514</v>
      </c>
      <c r="J33" s="11">
        <f t="shared" si="6"/>
        <v>0.68143879426356213</v>
      </c>
      <c r="K33" s="20">
        <f t="shared" si="3"/>
        <v>-4.0624934995220685E-2</v>
      </c>
    </row>
    <row r="34" spans="4:11" x14ac:dyDescent="0.25">
      <c r="D34" s="22">
        <v>8.8888888888888892E-2</v>
      </c>
      <c r="E34" s="11">
        <v>63.117408233091957</v>
      </c>
      <c r="F34" s="11">
        <f t="shared" si="4"/>
        <v>0.70143331555099664</v>
      </c>
      <c r="G34" s="11">
        <f t="shared" si="5"/>
        <v>0.25099149101669205</v>
      </c>
      <c r="H34" s="11">
        <f t="shared" ref="H34:H65" si="7">E34*G34</f>
        <v>15.841932401532985</v>
      </c>
      <c r="I34" s="11">
        <f t="shared" ref="I34:I65" si="8">F34 - H34</f>
        <v>-15.140499085981988</v>
      </c>
      <c r="J34" s="11">
        <f t="shared" si="6"/>
        <v>0.73017960434672702</v>
      </c>
      <c r="K34" s="20">
        <f t="shared" ref="K34:K65" si="9">F34 - J34</f>
        <v>-2.8746288795730379E-2</v>
      </c>
    </row>
    <row r="35" spans="4:11" x14ac:dyDescent="0.25">
      <c r="D35" s="22">
        <v>9.1666666666666674E-2</v>
      </c>
      <c r="E35" s="11">
        <v>63.313020382766361</v>
      </c>
      <c r="F35" s="11">
        <f t="shared" ref="F35:F66" si="10" xml:space="preserve"> G34*E35 + I34* EXP($B$8*(D35 - D34))</f>
        <v>0.74985737463446789</v>
      </c>
      <c r="G35" s="11">
        <f t="shared" si="5"/>
        <v>0.26121300821165627</v>
      </c>
      <c r="H35" s="11">
        <f t="shared" si="7"/>
        <v>16.538184513148309</v>
      </c>
      <c r="I35" s="11">
        <f t="shared" si="8"/>
        <v>-15.788327138513841</v>
      </c>
      <c r="J35" s="11">
        <f t="shared" si="6"/>
        <v>0.76544492659873642</v>
      </c>
      <c r="K35" s="20">
        <f t="shared" si="9"/>
        <v>-1.5587551964268531E-2</v>
      </c>
    </row>
    <row r="36" spans="4:11" x14ac:dyDescent="0.25">
      <c r="D36" s="22">
        <v>9.4444444444444442E-2</v>
      </c>
      <c r="E36" s="11">
        <v>63.371509864526736</v>
      </c>
      <c r="F36" s="11">
        <f t="shared" si="10"/>
        <v>0.76443386909181932</v>
      </c>
      <c r="G36" s="11">
        <f t="shared" si="5"/>
        <v>0.26276069861363871</v>
      </c>
      <c r="H36" s="11">
        <f t="shared" si="7"/>
        <v>16.651542204204141</v>
      </c>
      <c r="I36" s="11">
        <f t="shared" si="8"/>
        <v>-15.887108335112321</v>
      </c>
      <c r="J36" s="11">
        <f t="shared" si="6"/>
        <v>0.76560187590131668</v>
      </c>
      <c r="K36" s="20">
        <f t="shared" si="9"/>
        <v>-1.1680068094973572E-3</v>
      </c>
    </row>
    <row r="37" spans="4:11" x14ac:dyDescent="0.25">
      <c r="D37" s="22">
        <v>9.7222222222222224E-2</v>
      </c>
      <c r="E37" s="11">
        <v>62.112053622438061</v>
      </c>
      <c r="F37" s="11">
        <f t="shared" si="10"/>
        <v>0.43279215765230639</v>
      </c>
      <c r="G37" s="11">
        <f t="shared" si="5"/>
        <v>0.18441326414726419</v>
      </c>
      <c r="H37" s="11">
        <f t="shared" si="7"/>
        <v>11.454286551403708</v>
      </c>
      <c r="I37" s="11">
        <f t="shared" si="8"/>
        <v>-11.021494393751402</v>
      </c>
      <c r="J37" s="11">
        <f t="shared" si="6"/>
        <v>0.47156547290948131</v>
      </c>
      <c r="K37" s="20">
        <f t="shared" si="9"/>
        <v>-3.8773315257174923E-2</v>
      </c>
    </row>
    <row r="38" spans="4:11" x14ac:dyDescent="0.25">
      <c r="D38" s="22">
        <v>0.1</v>
      </c>
      <c r="E38" s="11">
        <v>62.490374419758751</v>
      </c>
      <c r="F38" s="11">
        <f t="shared" si="10"/>
        <v>0.50206967570014527</v>
      </c>
      <c r="G38" s="11">
        <f t="shared" si="5"/>
        <v>0.20331114457042385</v>
      </c>
      <c r="H38" s="11">
        <f t="shared" si="7"/>
        <v>12.704989547915488</v>
      </c>
      <c r="I38" s="11">
        <f t="shared" si="8"/>
        <v>-12.202919872215343</v>
      </c>
      <c r="J38" s="11">
        <f t="shared" si="6"/>
        <v>0.53213781906512958</v>
      </c>
      <c r="K38" s="20">
        <f t="shared" si="9"/>
        <v>-3.0068143364984312E-2</v>
      </c>
    </row>
    <row r="39" spans="4:11" x14ac:dyDescent="0.25">
      <c r="D39" s="22">
        <v>0.10277777777777779</v>
      </c>
      <c r="E39" s="11">
        <v>62.174052638700807</v>
      </c>
      <c r="F39" s="11">
        <f t="shared" si="10"/>
        <v>0.43721556829393293</v>
      </c>
      <c r="G39" s="11">
        <f t="shared" si="5"/>
        <v>0.18271203622333798</v>
      </c>
      <c r="H39" s="11">
        <f t="shared" si="7"/>
        <v>11.359947757874025</v>
      </c>
      <c r="I39" s="11">
        <f t="shared" si="8"/>
        <v>-10.922732189580092</v>
      </c>
      <c r="J39" s="11">
        <f t="shared" si="6"/>
        <v>0.45829348733249836</v>
      </c>
      <c r="K39" s="20">
        <f t="shared" si="9"/>
        <v>-2.1077919038565429E-2</v>
      </c>
    </row>
    <row r="40" spans="4:11" x14ac:dyDescent="0.25">
      <c r="D40" s="22">
        <v>0.10555555555555556</v>
      </c>
      <c r="E40" s="11">
        <v>63.540374184006438</v>
      </c>
      <c r="F40" s="11">
        <f t="shared" si="10"/>
        <v>0.68637349442051665</v>
      </c>
      <c r="G40" s="11">
        <f t="shared" si="5"/>
        <v>0.26464978629690838</v>
      </c>
      <c r="H40" s="11">
        <f t="shared" si="7"/>
        <v>16.815946449022899</v>
      </c>
      <c r="I40" s="11">
        <f t="shared" si="8"/>
        <v>-16.129572954602381</v>
      </c>
      <c r="J40" s="11">
        <f t="shared" si="6"/>
        <v>0.74780130963949487</v>
      </c>
      <c r="K40" s="20">
        <f t="shared" si="9"/>
        <v>-6.1427815218978221E-2</v>
      </c>
    </row>
    <row r="41" spans="4:11" x14ac:dyDescent="0.25">
      <c r="D41" s="22">
        <v>0.10833333333333334</v>
      </c>
      <c r="E41" s="11">
        <v>63.174612059482847</v>
      </c>
      <c r="F41" s="11">
        <f t="shared" si="10"/>
        <v>0.58885774049007367</v>
      </c>
      <c r="G41" s="11">
        <f t="shared" si="5"/>
        <v>0.23785129950720851</v>
      </c>
      <c r="H41" s="11">
        <f t="shared" si="7"/>
        <v>15.026163574211761</v>
      </c>
      <c r="I41" s="11">
        <f t="shared" si="8"/>
        <v>-14.437305833721688</v>
      </c>
      <c r="J41" s="11">
        <f t="shared" si="6"/>
        <v>0.64043330699959278</v>
      </c>
      <c r="K41" s="20">
        <f t="shared" si="9"/>
        <v>-5.1575566509519111E-2</v>
      </c>
    </row>
    <row r="42" spans="4:11" x14ac:dyDescent="0.25">
      <c r="D42" s="22">
        <v>0.11111111111111112</v>
      </c>
      <c r="E42" s="11">
        <v>62.94724171037938</v>
      </c>
      <c r="F42" s="11">
        <f t="shared" si="10"/>
        <v>0.53413573519007507</v>
      </c>
      <c r="G42" s="11">
        <f t="shared" si="5"/>
        <v>0.22063695201361103</v>
      </c>
      <c r="H42" s="11">
        <f t="shared" si="7"/>
        <v>13.88848754864215</v>
      </c>
      <c r="I42" s="11">
        <f t="shared" si="8"/>
        <v>-13.354351813452075</v>
      </c>
      <c r="J42" s="11">
        <f t="shared" si="6"/>
        <v>0.57352802648248602</v>
      </c>
      <c r="K42" s="20">
        <f t="shared" si="9"/>
        <v>-3.9392291292410953E-2</v>
      </c>
    </row>
    <row r="43" spans="4:11" x14ac:dyDescent="0.25">
      <c r="D43" s="22">
        <v>0.11388888888888889</v>
      </c>
      <c r="E43" s="11">
        <v>62.64289055592814</v>
      </c>
      <c r="F43" s="11">
        <f t="shared" si="10"/>
        <v>0.46639108419318553</v>
      </c>
      <c r="G43" s="11">
        <f t="shared" si="5"/>
        <v>0.19908247696883735</v>
      </c>
      <c r="H43" s="11">
        <f t="shared" si="7"/>
        <v>12.471101816361962</v>
      </c>
      <c r="I43" s="11">
        <f t="shared" si="8"/>
        <v>-12.004710732168776</v>
      </c>
      <c r="J43" s="11">
        <f t="shared" si="6"/>
        <v>0.49556822375134774</v>
      </c>
      <c r="K43" s="20">
        <f t="shared" si="9"/>
        <v>-2.9177139558162202E-2</v>
      </c>
    </row>
    <row r="44" spans="4:11" x14ac:dyDescent="0.25">
      <c r="D44" s="22">
        <v>0.11666666666666667</v>
      </c>
      <c r="E44" s="11">
        <v>62.398335232768197</v>
      </c>
      <c r="F44" s="11">
        <f t="shared" si="10"/>
        <v>0.41717085014670374</v>
      </c>
      <c r="G44" s="11">
        <f t="shared" si="5"/>
        <v>0.18178332415878845</v>
      </c>
      <c r="H44" s="11">
        <f t="shared" si="7"/>
        <v>11.342976800587051</v>
      </c>
      <c r="I44" s="11">
        <f t="shared" si="8"/>
        <v>-10.925805950440347</v>
      </c>
      <c r="J44" s="11">
        <f t="shared" si="6"/>
        <v>0.43564578166034984</v>
      </c>
      <c r="K44" s="20">
        <f t="shared" si="9"/>
        <v>-1.8474931513646098E-2</v>
      </c>
    </row>
    <row r="45" spans="4:11" x14ac:dyDescent="0.25">
      <c r="D45" s="22">
        <v>0.11944444444444445</v>
      </c>
      <c r="E45" s="11">
        <v>61.927250146646365</v>
      </c>
      <c r="F45" s="11">
        <f t="shared" si="10"/>
        <v>0.33104983506319563</v>
      </c>
      <c r="G45" s="11">
        <f t="shared" si="5"/>
        <v>0.15280980197975527</v>
      </c>
      <c r="H45" s="11">
        <f t="shared" si="7"/>
        <v>9.4630908320598017</v>
      </c>
      <c r="I45" s="11">
        <f t="shared" si="8"/>
        <v>-9.1320409969966061</v>
      </c>
      <c r="J45" s="11">
        <f t="shared" si="6"/>
        <v>0.34459496391806099</v>
      </c>
      <c r="K45" s="20">
        <f t="shared" si="9"/>
        <v>-1.3545128854865363E-2</v>
      </c>
    </row>
    <row r="46" spans="4:11" x14ac:dyDescent="0.25">
      <c r="D46" s="22">
        <v>0.12222222222222223</v>
      </c>
      <c r="E46" s="11">
        <v>62.083313301796586</v>
      </c>
      <c r="F46" s="11">
        <f t="shared" si="10"/>
        <v>0.35449193738984874</v>
      </c>
      <c r="G46" s="11">
        <f t="shared" si="5"/>
        <v>0.158238165798925</v>
      </c>
      <c r="H46" s="11">
        <f t="shared" si="7"/>
        <v>9.8239496235962935</v>
      </c>
      <c r="I46" s="11">
        <f t="shared" si="8"/>
        <v>-9.4694576862064448</v>
      </c>
      <c r="J46" s="11">
        <f t="shared" si="6"/>
        <v>0.35700649231271397</v>
      </c>
      <c r="K46" s="20">
        <f t="shared" si="9"/>
        <v>-2.5145549228652309E-3</v>
      </c>
    </row>
    <row r="47" spans="4:11" x14ac:dyDescent="0.25">
      <c r="D47" s="22">
        <v>0.125</v>
      </c>
      <c r="E47" s="11">
        <v>62.433566303890423</v>
      </c>
      <c r="F47" s="11">
        <f t="shared" si="10"/>
        <v>0.40949445586800337</v>
      </c>
      <c r="G47" s="11">
        <f t="shared" si="5"/>
        <v>0.17498496430990107</v>
      </c>
      <c r="H47" s="11">
        <f t="shared" si="7"/>
        <v>10.924935371426107</v>
      </c>
      <c r="I47" s="11">
        <f t="shared" si="8"/>
        <v>-10.515440915558104</v>
      </c>
      <c r="J47" s="11">
        <f t="shared" si="6"/>
        <v>0.40273504060326509</v>
      </c>
      <c r="K47" s="20">
        <f t="shared" si="9"/>
        <v>6.7594152647382777E-3</v>
      </c>
    </row>
    <row r="48" spans="4:11" x14ac:dyDescent="0.25">
      <c r="D48" s="22">
        <v>0.1277777777777778</v>
      </c>
      <c r="E48" s="11">
        <v>62.02939923785064</v>
      </c>
      <c r="F48" s="11">
        <f t="shared" si="10"/>
        <v>0.3383039329264399</v>
      </c>
      <c r="G48" s="11">
        <f t="shared" si="5"/>
        <v>0.14928043737504623</v>
      </c>
      <c r="H48" s="11">
        <f t="shared" si="7"/>
        <v>9.2597758483377035</v>
      </c>
      <c r="I48" s="11">
        <f t="shared" si="8"/>
        <v>-8.9214719154112636</v>
      </c>
      <c r="J48" s="11">
        <f t="shared" si="6"/>
        <v>0.3247852900274934</v>
      </c>
      <c r="K48" s="20">
        <f t="shared" si="9"/>
        <v>1.3518642898946498E-2</v>
      </c>
    </row>
    <row r="49" spans="4:11" x14ac:dyDescent="0.25">
      <c r="D49" s="22">
        <v>0.13055555555555556</v>
      </c>
      <c r="E49" s="11">
        <v>62.156392291764561</v>
      </c>
      <c r="F49" s="11">
        <f t="shared" si="10"/>
        <v>0.35686499288393492</v>
      </c>
      <c r="G49" s="11">
        <f t="shared" si="5"/>
        <v>0.15305924132501952</v>
      </c>
      <c r="H49" s="11">
        <f t="shared" si="7"/>
        <v>9.5136102476777751</v>
      </c>
      <c r="I49" s="11">
        <f t="shared" si="8"/>
        <v>-9.1567452547938402</v>
      </c>
      <c r="J49" s="11">
        <f t="shared" si="6"/>
        <v>0.33195021403973834</v>
      </c>
      <c r="K49" s="20">
        <f t="shared" si="9"/>
        <v>2.4914778844196572E-2</v>
      </c>
    </row>
    <row r="50" spans="4:11" x14ac:dyDescent="0.25">
      <c r="D50" s="22">
        <v>0.13333333333333333</v>
      </c>
      <c r="E50" s="11">
        <v>62.286161891248952</v>
      </c>
      <c r="F50" s="11">
        <f t="shared" si="10"/>
        <v>0.37632045382846613</v>
      </c>
      <c r="G50" s="11">
        <f t="shared" si="5"/>
        <v>0.15710057968475646</v>
      </c>
      <c r="H50" s="11">
        <f t="shared" si="7"/>
        <v>9.7851921394537982</v>
      </c>
      <c r="I50" s="11">
        <f t="shared" si="8"/>
        <v>-9.408871685625332</v>
      </c>
      <c r="J50" s="11">
        <f t="shared" si="6"/>
        <v>0.33966922808866545</v>
      </c>
      <c r="K50" s="20">
        <f t="shared" si="9"/>
        <v>3.6651225739800675E-2</v>
      </c>
    </row>
    <row r="51" spans="4:11" x14ac:dyDescent="0.25">
      <c r="D51" s="22">
        <v>0.13611111111111113</v>
      </c>
      <c r="E51" s="11">
        <v>63.835040118882283</v>
      </c>
      <c r="F51" s="11">
        <f t="shared" si="10"/>
        <v>0.61923193988299374</v>
      </c>
      <c r="G51" s="11">
        <f t="shared" si="5"/>
        <v>0.25584659359711071</v>
      </c>
      <c r="H51" s="11">
        <f t="shared" si="7"/>
        <v>16.331977566550933</v>
      </c>
      <c r="I51" s="11">
        <f t="shared" si="8"/>
        <v>-15.712745626667939</v>
      </c>
      <c r="J51" s="11">
        <f t="shared" si="6"/>
        <v>0.64069038249568533</v>
      </c>
      <c r="K51" s="20">
        <f t="shared" si="9"/>
        <v>-2.1458442612691586E-2</v>
      </c>
    </row>
    <row r="52" spans="4:11" x14ac:dyDescent="0.25">
      <c r="D52" s="22">
        <v>0.1388888888888889</v>
      </c>
      <c r="E52" s="11">
        <v>64.837974288443334</v>
      </c>
      <c r="F52" s="11">
        <f t="shared" si="10"/>
        <v>0.87513087099827302</v>
      </c>
      <c r="G52" s="11">
        <f t="shared" si="5"/>
        <v>0.33286435778391144</v>
      </c>
      <c r="H52" s="11">
        <f t="shared" si="7"/>
        <v>21.582250671532453</v>
      </c>
      <c r="I52" s="11">
        <f t="shared" si="8"/>
        <v>-20.70711980053418</v>
      </c>
      <c r="J52" s="11">
        <f t="shared" si="6"/>
        <v>0.91595905815414735</v>
      </c>
      <c r="K52" s="20">
        <f t="shared" si="9"/>
        <v>-4.0828187155874329E-2</v>
      </c>
    </row>
    <row r="53" spans="4:11" x14ac:dyDescent="0.25">
      <c r="D53" s="22">
        <v>0.14166666666666666</v>
      </c>
      <c r="E53" s="11">
        <v>64.379816872348769</v>
      </c>
      <c r="F53" s="11">
        <f t="shared" si="10"/>
        <v>0.7217062600386619</v>
      </c>
      <c r="G53" s="11">
        <f t="shared" si="5"/>
        <v>0.2922703076568528</v>
      </c>
      <c r="H53" s="11">
        <f t="shared" si="7"/>
        <v>18.816308884173218</v>
      </c>
      <c r="I53" s="11">
        <f t="shared" si="8"/>
        <v>-18.094602624134556</v>
      </c>
      <c r="J53" s="11">
        <f t="shared" si="6"/>
        <v>0.75275998206179828</v>
      </c>
      <c r="K53" s="20">
        <f t="shared" si="9"/>
        <v>-3.1053722023136388E-2</v>
      </c>
    </row>
    <row r="54" spans="4:11" x14ac:dyDescent="0.25">
      <c r="D54" s="22">
        <v>0.14444444444444446</v>
      </c>
      <c r="E54" s="11">
        <v>64.978586126209834</v>
      </c>
      <c r="F54" s="11">
        <f t="shared" si="10"/>
        <v>0.89590451164755081</v>
      </c>
      <c r="G54" s="11">
        <f t="shared" si="5"/>
        <v>0.33981078121310232</v>
      </c>
      <c r="H54" s="11">
        <f t="shared" si="7"/>
        <v>22.080424113670215</v>
      </c>
      <c r="I54" s="11">
        <f t="shared" si="8"/>
        <v>-21.184519602022664</v>
      </c>
      <c r="J54" s="11">
        <f t="shared" si="6"/>
        <v>0.92141160337468309</v>
      </c>
      <c r="K54" s="20">
        <f t="shared" si="9"/>
        <v>-2.5507091727132281E-2</v>
      </c>
    </row>
    <row r="55" spans="4:11" x14ac:dyDescent="0.25">
      <c r="D55" s="22">
        <v>0.14722222222222223</v>
      </c>
      <c r="E55" s="11">
        <v>65.487259419355226</v>
      </c>
      <c r="F55" s="11">
        <f t="shared" si="10"/>
        <v>1.0678156256457001</v>
      </c>
      <c r="G55" s="11">
        <f t="shared" si="5"/>
        <v>0.38267387288835203</v>
      </c>
      <c r="H55" s="11">
        <f t="shared" si="7"/>
        <v>25.060263186848875</v>
      </c>
      <c r="I55" s="11">
        <f t="shared" si="8"/>
        <v>-23.992447561203175</v>
      </c>
      <c r="J55" s="11">
        <f t="shared" si="6"/>
        <v>1.0830414218457649</v>
      </c>
      <c r="K55" s="20">
        <f t="shared" si="9"/>
        <v>-1.5225796200064812E-2</v>
      </c>
    </row>
    <row r="56" spans="4:11" x14ac:dyDescent="0.25">
      <c r="D56" s="22">
        <v>0.15</v>
      </c>
      <c r="E56" s="11">
        <v>65.329000409582292</v>
      </c>
      <c r="F56" s="11">
        <f t="shared" si="10"/>
        <v>1.0061876827571012</v>
      </c>
      <c r="G56" s="11">
        <f t="shared" si="5"/>
        <v>0.3660172474124832</v>
      </c>
      <c r="H56" s="11">
        <f t="shared" si="7"/>
        <v>23.911540906124298</v>
      </c>
      <c r="I56" s="11">
        <f t="shared" si="8"/>
        <v>-22.905353223367197</v>
      </c>
      <c r="J56" s="11">
        <f t="shared" si="6"/>
        <v>1.0011282638625218</v>
      </c>
      <c r="K56" s="20">
        <f t="shared" si="9"/>
        <v>5.0594188945793928E-3</v>
      </c>
    </row>
    <row r="57" spans="4:11" x14ac:dyDescent="0.25">
      <c r="D57" s="22">
        <v>0.15277777777777779</v>
      </c>
      <c r="E57" s="11">
        <v>65.560288860613426</v>
      </c>
      <c r="F57" s="11">
        <f t="shared" si="10"/>
        <v>1.0898252066400929</v>
      </c>
      <c r="G57" s="11">
        <f t="shared" si="5"/>
        <v>0.38506325139770559</v>
      </c>
      <c r="H57" s="11">
        <f t="shared" si="7"/>
        <v>25.244857991240586</v>
      </c>
      <c r="I57" s="11">
        <f t="shared" si="8"/>
        <v>-24.155032784600493</v>
      </c>
      <c r="J57" s="11">
        <f t="shared" si="6"/>
        <v>1.0649663339667403</v>
      </c>
      <c r="K57" s="20">
        <f t="shared" si="9"/>
        <v>2.4858872673352517E-2</v>
      </c>
    </row>
    <row r="58" spans="4:11" x14ac:dyDescent="0.25">
      <c r="D58" s="22">
        <v>0.15555555555555556</v>
      </c>
      <c r="E58" s="11">
        <v>65.55227691111368</v>
      </c>
      <c r="F58" s="11">
        <f t="shared" si="10"/>
        <v>1.0856665184458585</v>
      </c>
      <c r="G58" s="11">
        <f t="shared" si="5"/>
        <v>0.38205392043219172</v>
      </c>
      <c r="H58" s="11">
        <f t="shared" si="7"/>
        <v>25.044504387147622</v>
      </c>
      <c r="I58" s="11">
        <f t="shared" si="8"/>
        <v>-23.958837868701764</v>
      </c>
      <c r="J58" s="11">
        <f t="shared" si="6"/>
        <v>1.038361292402556</v>
      </c>
      <c r="K58" s="20">
        <f t="shared" si="9"/>
        <v>4.7305226043302451E-2</v>
      </c>
    </row>
    <row r="59" spans="4:11" x14ac:dyDescent="0.25">
      <c r="D59" s="22">
        <v>0.15833333333333333</v>
      </c>
      <c r="E59" s="11">
        <v>65.552620660517832</v>
      </c>
      <c r="F59" s="11">
        <f t="shared" si="10"/>
        <v>1.0847329883513552</v>
      </c>
      <c r="G59" s="11">
        <f t="shared" si="5"/>
        <v>0.37973813299890835</v>
      </c>
      <c r="H59" s="11">
        <f t="shared" si="7"/>
        <v>24.892829782810708</v>
      </c>
      <c r="I59" s="11">
        <f t="shared" si="8"/>
        <v>-23.808096794459352</v>
      </c>
      <c r="J59" s="11">
        <f t="shared" si="6"/>
        <v>1.0146831393673315</v>
      </c>
      <c r="K59" s="20">
        <f t="shared" si="9"/>
        <v>7.0049848984023777E-2</v>
      </c>
    </row>
    <row r="60" spans="4:11" x14ac:dyDescent="0.25">
      <c r="D60" s="22">
        <v>0.16111111111111112</v>
      </c>
      <c r="E60" s="11">
        <v>64.787434926891862</v>
      </c>
      <c r="F60" s="11">
        <f t="shared" si="10"/>
        <v>0.79310462531700665</v>
      </c>
      <c r="G60" s="11">
        <f t="shared" si="5"/>
        <v>0.30519954749284373</v>
      </c>
      <c r="H60" s="11">
        <f t="shared" si="7"/>
        <v>19.773095822909454</v>
      </c>
      <c r="I60" s="11">
        <f t="shared" si="8"/>
        <v>-18.979991197592447</v>
      </c>
      <c r="J60" s="11">
        <f t="shared" si="6"/>
        <v>0.72977670994564192</v>
      </c>
      <c r="K60" s="20">
        <f t="shared" si="9"/>
        <v>6.3327915371364729E-2</v>
      </c>
    </row>
    <row r="61" spans="4:11" x14ac:dyDescent="0.25">
      <c r="D61" s="22">
        <v>0.16388888888888889</v>
      </c>
      <c r="E61" s="11">
        <v>66.068893460028235</v>
      </c>
      <c r="F61" s="11">
        <f t="shared" si="10"/>
        <v>1.1833616158507887</v>
      </c>
      <c r="G61" s="11">
        <f t="shared" si="5"/>
        <v>0.42636699453004007</v>
      </c>
      <c r="H61" s="11">
        <f t="shared" si="7"/>
        <v>28.169595536477658</v>
      </c>
      <c r="I61" s="11">
        <f t="shared" si="8"/>
        <v>-26.986233920626869</v>
      </c>
      <c r="J61" s="11">
        <f t="shared" si="6"/>
        <v>1.1729014363749624</v>
      </c>
      <c r="K61" s="20">
        <f t="shared" si="9"/>
        <v>1.0460179475826337E-2</v>
      </c>
    </row>
    <row r="62" spans="4:11" x14ac:dyDescent="0.25">
      <c r="D62" s="22">
        <v>0.16666666666666669</v>
      </c>
      <c r="E62" s="11">
        <v>65.428003552383231</v>
      </c>
      <c r="F62" s="11">
        <f t="shared" si="10"/>
        <v>0.9089078972758422</v>
      </c>
      <c r="G62" s="11">
        <f t="shared" ref="G62:G91" si="11">BSGreeks(E62,$B$3,$B$6 - D62,$B$8, $B$5,$G$1)</f>
        <v>0.35969784922371639</v>
      </c>
      <c r="H62" s="11">
        <f t="shared" si="7"/>
        <v>23.534312156793924</v>
      </c>
      <c r="I62" s="11">
        <f t="shared" si="8"/>
        <v>-22.625404259518081</v>
      </c>
      <c r="J62" s="11">
        <f t="shared" ref="J62:J91" si="12">BSCall(E62,$B$3, $B$6 - D62,$B$8, $B$5)</f>
        <v>0.89582881480850829</v>
      </c>
      <c r="K62" s="20">
        <f t="shared" si="9"/>
        <v>1.3079082467333913E-2</v>
      </c>
    </row>
    <row r="63" spans="4:11" x14ac:dyDescent="0.25">
      <c r="D63" s="22">
        <v>0.16944444444444445</v>
      </c>
      <c r="E63" s="11">
        <v>65.587054003452934</v>
      </c>
      <c r="F63" s="11">
        <f t="shared" si="10"/>
        <v>0.96511240657462238</v>
      </c>
      <c r="G63" s="11">
        <f t="shared" si="11"/>
        <v>0.37281862803280291</v>
      </c>
      <c r="H63" s="11">
        <f t="shared" si="7"/>
        <v>24.452075490280677</v>
      </c>
      <c r="I63" s="11">
        <f t="shared" si="8"/>
        <v>-23.486963083706055</v>
      </c>
      <c r="J63" s="11">
        <f t="shared" si="12"/>
        <v>0.92912981142035989</v>
      </c>
      <c r="K63" s="20">
        <f t="shared" si="9"/>
        <v>3.5982595154262498E-2</v>
      </c>
    </row>
    <row r="64" spans="4:11" x14ac:dyDescent="0.25">
      <c r="D64" s="22">
        <v>0.17222222222222222</v>
      </c>
      <c r="E64" s="11">
        <v>65.916352924057861</v>
      </c>
      <c r="F64" s="11">
        <f t="shared" si="10"/>
        <v>1.0868372901439471</v>
      </c>
      <c r="G64" s="11">
        <f t="shared" si="11"/>
        <v>0.40433488949127078</v>
      </c>
      <c r="H64" s="11">
        <f t="shared" si="7"/>
        <v>26.652281275216538</v>
      </c>
      <c r="I64" s="11">
        <f t="shared" si="8"/>
        <v>-25.565443985072591</v>
      </c>
      <c r="J64" s="11">
        <f t="shared" si="12"/>
        <v>1.0310785678045313</v>
      </c>
      <c r="K64" s="20">
        <f t="shared" si="9"/>
        <v>5.5758722339415812E-2</v>
      </c>
    </row>
    <row r="65" spans="4:11" x14ac:dyDescent="0.25">
      <c r="D65" s="22">
        <v>0.17500000000000002</v>
      </c>
      <c r="E65" s="11">
        <v>65.065451921884687</v>
      </c>
      <c r="F65" s="11">
        <f t="shared" si="10"/>
        <v>0.74165206025715946</v>
      </c>
      <c r="G65" s="11">
        <f t="shared" si="11"/>
        <v>0.31361571319783843</v>
      </c>
      <c r="H65" s="11">
        <f t="shared" si="7"/>
        <v>20.405548109021534</v>
      </c>
      <c r="I65" s="11">
        <f t="shared" si="8"/>
        <v>-19.663896048764375</v>
      </c>
      <c r="J65" s="11">
        <f t="shared" si="12"/>
        <v>0.70033817365053386</v>
      </c>
      <c r="K65" s="20">
        <f t="shared" si="9"/>
        <v>4.1313886606625605E-2</v>
      </c>
    </row>
    <row r="66" spans="4:11" x14ac:dyDescent="0.25">
      <c r="D66" s="22">
        <v>0.17777777777777778</v>
      </c>
      <c r="E66" s="11">
        <v>65.334405038601673</v>
      </c>
      <c r="F66" s="11">
        <f t="shared" si="10"/>
        <v>0.82512601341621661</v>
      </c>
      <c r="G66" s="11">
        <f t="shared" si="11"/>
        <v>0.33724596426072156</v>
      </c>
      <c r="H66" s="11">
        <f t="shared" ref="H66:H91" si="13">E66*G66</f>
        <v>22.033764426643767</v>
      </c>
      <c r="I66" s="11">
        <f t="shared" ref="I66:I91" si="14">F66 - H66</f>
        <v>-21.208638413227551</v>
      </c>
      <c r="J66" s="11">
        <f t="shared" si="12"/>
        <v>0.76288848432438838</v>
      </c>
      <c r="K66" s="20">
        <f t="shared" ref="K66:K91" si="15">F66 - J66</f>
        <v>6.2237529091828225E-2</v>
      </c>
    </row>
    <row r="67" spans="4:11" x14ac:dyDescent="0.25">
      <c r="D67" s="22">
        <v>0.18055555555555555</v>
      </c>
      <c r="E67" s="11">
        <v>65.776394868534254</v>
      </c>
      <c r="F67" s="11">
        <f t="shared" ref="F67:F92" si="16" xml:space="preserve"> G66*E67 + I66* EXP($B$8*(D67 - D66))</f>
        <v>0.97324267270645137</v>
      </c>
      <c r="G67" s="11">
        <f t="shared" si="11"/>
        <v>0.38121908626400769</v>
      </c>
      <c r="H67" s="11">
        <f t="shared" si="13"/>
        <v>25.075217149523194</v>
      </c>
      <c r="I67" s="11">
        <f t="shared" si="14"/>
        <v>-24.101974476816743</v>
      </c>
      <c r="J67" s="11">
        <f t="shared" si="12"/>
        <v>0.89497675351552475</v>
      </c>
      <c r="K67" s="20">
        <f t="shared" si="15"/>
        <v>7.8265919190926625E-2</v>
      </c>
    </row>
    <row r="68" spans="4:11" x14ac:dyDescent="0.25">
      <c r="D68" s="22">
        <v>0.18333333333333335</v>
      </c>
      <c r="E68" s="11">
        <v>66.314844440067546</v>
      </c>
      <c r="F68" s="11">
        <f t="shared" si="16"/>
        <v>1.1774387036952092</v>
      </c>
      <c r="G68" s="11">
        <f t="shared" si="11"/>
        <v>0.43936740710927108</v>
      </c>
      <c r="H68" s="11">
        <f t="shared" si="13"/>
        <v>29.13658125448714</v>
      </c>
      <c r="I68" s="11">
        <f t="shared" si="14"/>
        <v>-27.959142550791931</v>
      </c>
      <c r="J68" s="11">
        <f t="shared" si="12"/>
        <v>1.0872512003907704</v>
      </c>
      <c r="K68" s="20">
        <f t="shared" si="15"/>
        <v>9.018750330443881E-2</v>
      </c>
    </row>
    <row r="69" spans="4:11" x14ac:dyDescent="0.25">
      <c r="D69" s="22">
        <v>0.18611111111111112</v>
      </c>
      <c r="E69" s="11">
        <v>66.197246602359485</v>
      </c>
      <c r="F69" s="11">
        <f t="shared" si="16"/>
        <v>1.1245273904875717</v>
      </c>
      <c r="G69" s="11">
        <f t="shared" si="11"/>
        <v>0.42350182098415273</v>
      </c>
      <c r="H69" s="11">
        <f t="shared" si="13"/>
        <v>28.034654480236259</v>
      </c>
      <c r="I69" s="11">
        <f t="shared" si="14"/>
        <v>-26.910127089748688</v>
      </c>
      <c r="J69" s="11">
        <f t="shared" si="12"/>
        <v>1.0069732537591509</v>
      </c>
      <c r="K69" s="20">
        <f t="shared" si="15"/>
        <v>0.11755413672842074</v>
      </c>
    </row>
    <row r="70" spans="4:11" x14ac:dyDescent="0.25">
      <c r="D70" s="22">
        <v>0.18888888888888888</v>
      </c>
      <c r="E70" s="11">
        <v>65.232429666139637</v>
      </c>
      <c r="F70" s="11">
        <f t="shared" si="16"/>
        <v>0.71472962885538394</v>
      </c>
      <c r="G70" s="11">
        <f t="shared" si="11"/>
        <v>0.30985452504303812</v>
      </c>
      <c r="H70" s="11">
        <f t="shared" si="13"/>
        <v>20.212563511605087</v>
      </c>
      <c r="I70" s="11">
        <f t="shared" si="14"/>
        <v>-19.497833882749703</v>
      </c>
      <c r="J70" s="11">
        <f t="shared" si="12"/>
        <v>0.62520081280562134</v>
      </c>
      <c r="K70" s="20">
        <f t="shared" si="15"/>
        <v>8.9528816049762594E-2</v>
      </c>
    </row>
    <row r="71" spans="4:11" x14ac:dyDescent="0.25">
      <c r="D71" s="22">
        <v>0.19166666666666668</v>
      </c>
      <c r="E71" s="11">
        <v>65.234816141990038</v>
      </c>
      <c r="F71" s="11">
        <f t="shared" si="16"/>
        <v>0.71460249954434474</v>
      </c>
      <c r="G71" s="11">
        <f t="shared" si="11"/>
        <v>0.30528711409258874</v>
      </c>
      <c r="H71" s="11">
        <f t="shared" si="13"/>
        <v>19.915348758348763</v>
      </c>
      <c r="I71" s="11">
        <f t="shared" si="14"/>
        <v>-19.200746258804418</v>
      </c>
      <c r="J71" s="11">
        <f t="shared" si="12"/>
        <v>0.598999074659613</v>
      </c>
      <c r="K71" s="20">
        <f t="shared" si="15"/>
        <v>0.11560342488473174</v>
      </c>
    </row>
    <row r="72" spans="4:11" x14ac:dyDescent="0.25">
      <c r="D72" s="22">
        <v>0.19444444444444445</v>
      </c>
      <c r="E72" s="11">
        <v>65.367172309545168</v>
      </c>
      <c r="F72" s="11">
        <f t="shared" si="16"/>
        <v>0.75415574650523354</v>
      </c>
      <c r="G72" s="11">
        <f t="shared" si="11"/>
        <v>0.31527421614736795</v>
      </c>
      <c r="H72" s="11">
        <f t="shared" si="13"/>
        <v>20.608584011661787</v>
      </c>
      <c r="I72" s="11">
        <f t="shared" si="14"/>
        <v>-19.854428265156553</v>
      </c>
      <c r="J72" s="11">
        <f t="shared" si="12"/>
        <v>0.61235952636517155</v>
      </c>
      <c r="K72" s="20">
        <f t="shared" si="15"/>
        <v>0.14179622014006199</v>
      </c>
    </row>
    <row r="73" spans="4:11" x14ac:dyDescent="0.25">
      <c r="D73" s="22">
        <v>0.19722222222222224</v>
      </c>
      <c r="E73" s="11">
        <v>64.296920609124783</v>
      </c>
      <c r="F73" s="11">
        <f t="shared" si="16"/>
        <v>0.41585054193120286</v>
      </c>
      <c r="G73" s="11">
        <f t="shared" si="11"/>
        <v>0.19629761586462624</v>
      </c>
      <c r="H73" s="11">
        <f t="shared" si="13"/>
        <v>12.621332223008347</v>
      </c>
      <c r="I73" s="11">
        <f t="shared" si="14"/>
        <v>-12.205481681077144</v>
      </c>
      <c r="J73" s="11">
        <f t="shared" si="12"/>
        <v>0.31515427559561165</v>
      </c>
      <c r="K73" s="20">
        <f t="shared" si="15"/>
        <v>0.1006962663355912</v>
      </c>
    </row>
    <row r="74" spans="4:11" x14ac:dyDescent="0.25">
      <c r="D74" s="22">
        <v>0.2</v>
      </c>
      <c r="E74" s="11">
        <v>64.149812355560897</v>
      </c>
      <c r="F74" s="11">
        <f t="shared" si="16"/>
        <v>0.38643106457513632</v>
      </c>
      <c r="G74" s="11">
        <f t="shared" si="11"/>
        <v>0.17571942377960426</v>
      </c>
      <c r="H74" s="11">
        <f t="shared" si="13"/>
        <v>11.272368062688898</v>
      </c>
      <c r="I74" s="11">
        <f t="shared" si="14"/>
        <v>-10.885936998113761</v>
      </c>
      <c r="J74" s="11">
        <f t="shared" si="12"/>
        <v>0.26620348934232363</v>
      </c>
      <c r="K74" s="20">
        <f t="shared" si="15"/>
        <v>0.12022757523281269</v>
      </c>
    </row>
    <row r="75" spans="4:11" x14ac:dyDescent="0.25">
      <c r="D75" s="22">
        <v>0.20277777777777778</v>
      </c>
      <c r="E75" s="11">
        <v>63.352190442691395</v>
      </c>
      <c r="F75" s="11">
        <f t="shared" si="16"/>
        <v>0.24578957147788216</v>
      </c>
      <c r="G75" s="11">
        <f t="shared" si="11"/>
        <v>0.10583291132510372</v>
      </c>
      <c r="H75" s="11">
        <f t="shared" si="13"/>
        <v>6.7047467533724419</v>
      </c>
      <c r="I75" s="11">
        <f t="shared" si="14"/>
        <v>-6.4589571818945597</v>
      </c>
      <c r="J75" s="11">
        <f t="shared" si="12"/>
        <v>0.13707347347030524</v>
      </c>
      <c r="K75" s="20">
        <f t="shared" si="15"/>
        <v>0.10871609800757692</v>
      </c>
    </row>
    <row r="76" spans="4:11" x14ac:dyDescent="0.25">
      <c r="D76" s="22">
        <v>0.20555555555555557</v>
      </c>
      <c r="E76" s="11">
        <v>62.651403726919241</v>
      </c>
      <c r="F76" s="11">
        <f t="shared" si="16"/>
        <v>0.1713362019868061</v>
      </c>
      <c r="G76" s="11">
        <f t="shared" si="11"/>
        <v>6.0137085704658762E-2</v>
      </c>
      <c r="H76" s="11">
        <f t="shared" si="13"/>
        <v>3.7676728354429199</v>
      </c>
      <c r="I76" s="11">
        <f t="shared" si="14"/>
        <v>-3.5963366334561138</v>
      </c>
      <c r="J76" s="11">
        <f t="shared" si="12"/>
        <v>6.7341157935548138E-2</v>
      </c>
      <c r="K76" s="20">
        <f t="shared" si="15"/>
        <v>0.10399504405125796</v>
      </c>
    </row>
    <row r="77" spans="4:11" x14ac:dyDescent="0.25">
      <c r="D77" s="22">
        <v>0.20833333333333334</v>
      </c>
      <c r="E77" s="11">
        <v>62.335284329672724</v>
      </c>
      <c r="F77" s="11">
        <f t="shared" si="16"/>
        <v>0.15216586196598847</v>
      </c>
      <c r="G77" s="11">
        <f t="shared" si="11"/>
        <v>4.173197008820087E-2</v>
      </c>
      <c r="H77" s="11">
        <f t="shared" si="13"/>
        <v>2.6013742210853987</v>
      </c>
      <c r="I77" s="11">
        <f t="shared" si="14"/>
        <v>-2.4492083591194103</v>
      </c>
      <c r="J77" s="11">
        <f t="shared" si="12"/>
        <v>4.2509030848117496E-2</v>
      </c>
      <c r="K77" s="20">
        <f t="shared" si="15"/>
        <v>0.10965683111787097</v>
      </c>
    </row>
    <row r="78" spans="4:11" x14ac:dyDescent="0.25">
      <c r="D78" s="22">
        <v>0.21111111111111111</v>
      </c>
      <c r="E78" s="11">
        <v>63.885285137183146</v>
      </c>
      <c r="F78" s="11">
        <f t="shared" si="16"/>
        <v>0.21674159317784358</v>
      </c>
      <c r="G78" s="11">
        <f t="shared" si="11"/>
        <v>0.12070411868371517</v>
      </c>
      <c r="H78" s="11">
        <f t="shared" si="13"/>
        <v>7.7112170393415393</v>
      </c>
      <c r="I78" s="11">
        <f t="shared" si="14"/>
        <v>-7.4944754461636958</v>
      </c>
      <c r="J78" s="11">
        <f t="shared" si="12"/>
        <v>0.14733356329504627</v>
      </c>
      <c r="K78" s="20">
        <f t="shared" si="15"/>
        <v>6.9408029882797317E-2</v>
      </c>
    </row>
    <row r="79" spans="4:11" x14ac:dyDescent="0.25">
      <c r="D79" s="22">
        <v>0.21388888888888891</v>
      </c>
      <c r="E79" s="11">
        <v>64.066276927323344</v>
      </c>
      <c r="F79" s="11">
        <f t="shared" si="16"/>
        <v>0.23825495249603534</v>
      </c>
      <c r="G79" s="11">
        <f t="shared" si="11"/>
        <v>0.1263347058552946</v>
      </c>
      <c r="H79" s="11">
        <f t="shared" si="13"/>
        <v>8.0937942508572416</v>
      </c>
      <c r="I79" s="11">
        <f t="shared" si="14"/>
        <v>-7.8555392983612062</v>
      </c>
      <c r="J79" s="11">
        <f t="shared" si="12"/>
        <v>0.15060457169543859</v>
      </c>
      <c r="K79" s="20">
        <f t="shared" si="15"/>
        <v>8.7650380800596756E-2</v>
      </c>
    </row>
    <row r="80" spans="4:11" x14ac:dyDescent="0.25">
      <c r="D80" s="22">
        <v>0.21666666666666667</v>
      </c>
      <c r="E80" s="11">
        <v>63.665373077034879</v>
      </c>
      <c r="F80" s="11">
        <f t="shared" si="16"/>
        <v>0.18725773965498949</v>
      </c>
      <c r="G80" s="11">
        <f t="shared" si="11"/>
        <v>8.6087601430650321E-2</v>
      </c>
      <c r="H80" s="11">
        <f t="shared" si="13"/>
        <v>5.4807992623894339</v>
      </c>
      <c r="I80" s="11">
        <f t="shared" si="14"/>
        <v>-5.2935415227344444</v>
      </c>
      <c r="J80" s="11">
        <f t="shared" si="12"/>
        <v>9.0638374706137698E-2</v>
      </c>
      <c r="K80" s="20">
        <f t="shared" si="15"/>
        <v>9.6619364948851788E-2</v>
      </c>
    </row>
    <row r="81" spans="4:11" x14ac:dyDescent="0.25">
      <c r="D81" s="22">
        <v>0.21944444444444444</v>
      </c>
      <c r="E81" s="11">
        <v>63.526355995121001</v>
      </c>
      <c r="F81" s="11">
        <f t="shared" si="16"/>
        <v>0.17505481877474782</v>
      </c>
      <c r="G81" s="11">
        <f t="shared" si="11"/>
        <v>6.7935907243900778E-2</v>
      </c>
      <c r="H81" s="11">
        <f t="shared" si="13"/>
        <v>4.3157206284275604</v>
      </c>
      <c r="I81" s="11">
        <f t="shared" si="14"/>
        <v>-4.1406658096528126</v>
      </c>
      <c r="J81" s="11">
        <f t="shared" si="12"/>
        <v>6.5487245758249837E-2</v>
      </c>
      <c r="K81" s="20">
        <f t="shared" si="15"/>
        <v>0.10956757301649798</v>
      </c>
    </row>
    <row r="82" spans="4:11" x14ac:dyDescent="0.25">
      <c r="D82" s="22">
        <v>0.22222222222222224</v>
      </c>
      <c r="E82" s="11">
        <v>63.478798206644946</v>
      </c>
      <c r="F82" s="11">
        <f t="shared" si="16"/>
        <v>0.1716399035869669</v>
      </c>
      <c r="G82" s="11">
        <f t="shared" si="11"/>
        <v>5.5962535459279497E-2</v>
      </c>
      <c r="H82" s="11">
        <f t="shared" si="13"/>
        <v>3.5524344955518155</v>
      </c>
      <c r="I82" s="11">
        <f t="shared" si="14"/>
        <v>-3.3807945919648485</v>
      </c>
      <c r="J82" s="11">
        <f t="shared" si="12"/>
        <v>4.9766730165364051E-2</v>
      </c>
      <c r="K82" s="20">
        <f t="shared" si="15"/>
        <v>0.12187317342160285</v>
      </c>
    </row>
    <row r="83" spans="4:11" x14ac:dyDescent="0.25">
      <c r="D83" s="22">
        <v>0.22500000000000001</v>
      </c>
      <c r="E83" s="11">
        <v>62.458943110927301</v>
      </c>
      <c r="F83" s="11">
        <f t="shared" si="16"/>
        <v>0.11441596575301505</v>
      </c>
      <c r="G83" s="11">
        <f t="shared" si="11"/>
        <v>1.4228545013859751E-2</v>
      </c>
      <c r="H83" s="11">
        <f t="shared" si="13"/>
        <v>0.88869988357193441</v>
      </c>
      <c r="I83" s="11">
        <f t="shared" si="14"/>
        <v>-0.77428391781891936</v>
      </c>
      <c r="J83" s="11">
        <f t="shared" si="12"/>
        <v>9.8042293561550042E-3</v>
      </c>
      <c r="K83" s="20">
        <f t="shared" si="15"/>
        <v>0.10461173639686004</v>
      </c>
    </row>
    <row r="84" spans="4:11" x14ac:dyDescent="0.25">
      <c r="D84" s="22">
        <v>0.22777777777777777</v>
      </c>
      <c r="E84" s="11">
        <v>62.392475594714021</v>
      </c>
      <c r="F84" s="11">
        <f t="shared" si="16"/>
        <v>0.11343581632330912</v>
      </c>
      <c r="G84" s="11">
        <f t="shared" si="11"/>
        <v>9.06638936942788E-3</v>
      </c>
      <c r="H84" s="11">
        <f t="shared" si="13"/>
        <v>0.56567447746420363</v>
      </c>
      <c r="I84" s="11">
        <f t="shared" si="14"/>
        <v>-0.4522386611408945</v>
      </c>
      <c r="J84" s="11">
        <f t="shared" si="12"/>
        <v>5.6041311562316405E-3</v>
      </c>
      <c r="K84" s="20">
        <f t="shared" si="15"/>
        <v>0.10783168516707749</v>
      </c>
    </row>
    <row r="85" spans="4:11" x14ac:dyDescent="0.25">
      <c r="D85" s="22">
        <v>0.23055555555555557</v>
      </c>
      <c r="E85" s="11">
        <v>62.291607814518493</v>
      </c>
      <c r="F85" s="11">
        <f t="shared" si="16"/>
        <v>0.11250120981051381</v>
      </c>
      <c r="G85" s="11">
        <f t="shared" si="11"/>
        <v>4.831757136917368E-3</v>
      </c>
      <c r="H85" s="11">
        <f t="shared" si="13"/>
        <v>0.30097792062785744</v>
      </c>
      <c r="I85" s="11">
        <f t="shared" si="14"/>
        <v>-0.18847671081734363</v>
      </c>
      <c r="J85" s="11">
        <f t="shared" si="12"/>
        <v>2.6235378105261137E-3</v>
      </c>
      <c r="K85" s="20">
        <f t="shared" si="15"/>
        <v>0.1098776719999877</v>
      </c>
    </row>
    <row r="86" spans="4:11" x14ac:dyDescent="0.25">
      <c r="D86" s="22">
        <v>0.23333333333333334</v>
      </c>
      <c r="E86" s="11">
        <v>63.344184920886633</v>
      </c>
      <c r="F86" s="11">
        <f t="shared" si="16"/>
        <v>0.11757862982750827</v>
      </c>
      <c r="G86" s="11">
        <f t="shared" si="11"/>
        <v>1.5782588720656545E-2</v>
      </c>
      <c r="H86" s="11">
        <f t="shared" si="13"/>
        <v>0.99973521845156776</v>
      </c>
      <c r="I86" s="11">
        <f t="shared" si="14"/>
        <v>-0.88215658862405943</v>
      </c>
      <c r="J86" s="11">
        <f t="shared" si="12"/>
        <v>9.1313077954878665E-3</v>
      </c>
      <c r="K86" s="20">
        <f t="shared" si="15"/>
        <v>0.10844732203202041</v>
      </c>
    </row>
    <row r="87" spans="4:11" x14ac:dyDescent="0.25">
      <c r="D87" s="22">
        <v>0.23611111111111113</v>
      </c>
      <c r="E87" s="11">
        <v>62.943954184627209</v>
      </c>
      <c r="F87" s="11">
        <f t="shared" si="16"/>
        <v>0.11122274489298722</v>
      </c>
      <c r="G87" s="11">
        <f t="shared" si="11"/>
        <v>4.2915606068831755E-3</v>
      </c>
      <c r="H87" s="11">
        <f t="shared" si="13"/>
        <v>0.27012779422020555</v>
      </c>
      <c r="I87" s="11">
        <f t="shared" si="14"/>
        <v>-0.15890504932721833</v>
      </c>
      <c r="J87" s="11">
        <f t="shared" si="12"/>
        <v>1.9709701402605591E-3</v>
      </c>
      <c r="K87" s="20">
        <f t="shared" si="15"/>
        <v>0.10925177475272667</v>
      </c>
    </row>
    <row r="88" spans="4:11" x14ac:dyDescent="0.25">
      <c r="D88" s="22">
        <v>0.2388888888888889</v>
      </c>
      <c r="E88" s="11">
        <v>62.323001860013768</v>
      </c>
      <c r="F88" s="11">
        <f t="shared" si="16"/>
        <v>0.10855082775434127</v>
      </c>
      <c r="G88" s="11">
        <f t="shared" si="11"/>
        <v>3.2071813954338385E-4</v>
      </c>
      <c r="H88" s="11">
        <f t="shared" si="13"/>
        <v>1.9988117207302467E-2</v>
      </c>
      <c r="I88" s="11">
        <f t="shared" si="14"/>
        <v>8.8562710547038806E-2</v>
      </c>
      <c r="J88" s="11">
        <f t="shared" si="12"/>
        <v>1.0749528525841333E-4</v>
      </c>
      <c r="K88" s="20">
        <f t="shared" si="15"/>
        <v>0.10844333246908286</v>
      </c>
    </row>
    <row r="89" spans="4:11" x14ac:dyDescent="0.25">
      <c r="D89" s="22">
        <v>0.24166666666666667</v>
      </c>
      <c r="E89" s="11">
        <v>62.335805899493117</v>
      </c>
      <c r="F89" s="11">
        <f t="shared" si="16"/>
        <v>0.10855887045000112</v>
      </c>
      <c r="G89" s="11">
        <f t="shared" si="11"/>
        <v>4.1468732876861503E-5</v>
      </c>
      <c r="H89" s="11">
        <f t="shared" si="13"/>
        <v>2.5849868835099675E-3</v>
      </c>
      <c r="I89" s="11">
        <f t="shared" si="14"/>
        <v>0.10597388356649115</v>
      </c>
      <c r="J89" s="11">
        <f t="shared" si="12"/>
        <v>1.0747889218618271E-5</v>
      </c>
      <c r="K89" s="20">
        <f t="shared" si="15"/>
        <v>0.1085481225607825</v>
      </c>
    </row>
    <row r="90" spans="4:11" x14ac:dyDescent="0.25">
      <c r="D90" s="22">
        <v>0.24444444444444446</v>
      </c>
      <c r="E90" s="11">
        <v>62.074179578698221</v>
      </c>
      <c r="F90" s="11">
        <f t="shared" si="16"/>
        <v>0.10855273119303836</v>
      </c>
      <c r="G90" s="11">
        <f t="shared" si="11"/>
        <v>1.6181755543377478E-7</v>
      </c>
      <c r="H90" s="11">
        <f t="shared" si="13"/>
        <v>1.0044691994982091E-5</v>
      </c>
      <c r="I90" s="11">
        <f t="shared" si="14"/>
        <v>0.10854268650104339</v>
      </c>
      <c r="J90" s="11">
        <f t="shared" si="12"/>
        <v>2.7329402666939424E-8</v>
      </c>
      <c r="K90" s="20">
        <f t="shared" si="15"/>
        <v>0.10855270386363569</v>
      </c>
    </row>
    <row r="91" spans="4:11" x14ac:dyDescent="0.25">
      <c r="D91" s="23">
        <v>0.24722222222222223</v>
      </c>
      <c r="E91" s="13">
        <v>62.098174485826696</v>
      </c>
      <c r="F91" s="13">
        <f t="shared" si="16"/>
        <v>0.10855755930243986</v>
      </c>
      <c r="G91" s="13">
        <f t="shared" si="11"/>
        <v>3.0499152555507825E-13</v>
      </c>
      <c r="H91" s="13">
        <f t="shared" si="13"/>
        <v>1.8939416970617721E-11</v>
      </c>
      <c r="I91" s="13">
        <f t="shared" si="14"/>
        <v>0.10855755928350044</v>
      </c>
      <c r="J91" s="13">
        <f t="shared" si="12"/>
        <v>2.6717584081498026E-14</v>
      </c>
      <c r="K91" s="21">
        <f t="shared" si="15"/>
        <v>0.10855755930241315</v>
      </c>
    </row>
    <row r="92" spans="4:11" x14ac:dyDescent="0.25">
      <c r="F92">
        <f t="shared" si="16"/>
        <v>0.10812900197667911</v>
      </c>
    </row>
    <row r="182" spans="6:6" x14ac:dyDescent="0.25">
      <c r="F182">
        <f xml:space="preserve"> G181*E182 + I181* EXP($B$8*(D182 - D181))</f>
        <v>0</v>
      </c>
    </row>
  </sheetData>
  <mergeCells count="2">
    <mergeCell ref="A1:B1"/>
    <mergeCell ref="M16:N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elta_hedge">
                <anchor moveWithCells="1" sizeWithCells="1">
                  <from>
                    <xdr:col>0</xdr:col>
                    <xdr:colOff>0</xdr:colOff>
                    <xdr:row>10</xdr:row>
                    <xdr:rowOff>0</xdr:rowOff>
                  </from>
                  <to>
                    <xdr:col>2</xdr:col>
                    <xdr:colOff>0</xdr:colOff>
                    <xdr:row>12</xdr:row>
                    <xdr:rowOff>0</xdr:rowOff>
                  </to>
                </anchor>
              </controlPr>
            </control>
          </mc:Choice>
        </mc:AlternateContent>
        <mc:AlternateContent xmlns:mc="http://schemas.openxmlformats.org/markup-compatibility/2006">
          <mc:Choice Requires="x14">
            <control shapeId="3074" r:id="rId5" name="Button 2">
              <controlPr defaultSize="0" print="0" autoFill="0" autoPict="0" macro="[0]!Delta_hedge_bis">
                <anchor moveWithCells="1" sizeWithCells="1">
                  <from>
                    <xdr:col>12</xdr:col>
                    <xdr:colOff>0</xdr:colOff>
                    <xdr:row>20</xdr:row>
                    <xdr:rowOff>171450</xdr:rowOff>
                  </from>
                  <to>
                    <xdr:col>13</xdr:col>
                    <xdr:colOff>752475</xdr:colOff>
                    <xdr:row>23</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FD95F-465D-40CD-B896-37FE8746A7B0}">
  <sheetPr codeName="Feuil4"/>
  <dimension ref="A1:R182"/>
  <sheetViews>
    <sheetView showGridLines="0" zoomScale="44" zoomScaleNormal="55" workbookViewId="0">
      <selection activeCell="E2" sqref="E2"/>
    </sheetView>
  </sheetViews>
  <sheetFormatPr baseColWidth="10" defaultRowHeight="15" x14ac:dyDescent="0.25"/>
  <cols>
    <col min="1" max="1" width="15.42578125" customWidth="1"/>
    <col min="2" max="2" width="11.140625" bestFit="1" customWidth="1"/>
    <col min="4" max="4" width="12.28515625" bestFit="1" customWidth="1"/>
    <col min="5" max="5" width="13.42578125" bestFit="1" customWidth="1"/>
    <col min="6" max="6" width="18" customWidth="1"/>
    <col min="7" max="7" width="18.5703125" bestFit="1" customWidth="1"/>
    <col min="8" max="8" width="12.28515625" bestFit="1" customWidth="1"/>
    <col min="9" max="9" width="19.5703125" bestFit="1" customWidth="1"/>
    <col min="10" max="10" width="14.85546875" customWidth="1"/>
    <col min="11" max="11" width="15.42578125" customWidth="1"/>
    <col min="12" max="12" width="12.5703125" customWidth="1"/>
    <col min="13" max="13" width="13.28515625" bestFit="1" customWidth="1"/>
    <col min="14" max="14" width="13.85546875" customWidth="1"/>
    <col min="15" max="15" width="12.42578125" customWidth="1"/>
    <col min="17" max="17" width="11.140625" bestFit="1" customWidth="1"/>
    <col min="18" max="18" width="11" bestFit="1" customWidth="1"/>
  </cols>
  <sheetData>
    <row r="1" spans="1:15" ht="36.6" customHeight="1" x14ac:dyDescent="0.25">
      <c r="A1" s="64" t="s">
        <v>68</v>
      </c>
      <c r="B1" s="65"/>
      <c r="D1" s="7" t="s">
        <v>25</v>
      </c>
      <c r="E1" s="8" t="s">
        <v>0</v>
      </c>
      <c r="F1" s="8" t="s">
        <v>26</v>
      </c>
      <c r="G1" s="8" t="s">
        <v>8</v>
      </c>
      <c r="H1" s="8" t="s">
        <v>32</v>
      </c>
      <c r="I1" s="8" t="s">
        <v>71</v>
      </c>
      <c r="J1" s="8" t="s">
        <v>72</v>
      </c>
      <c r="K1" s="8" t="s">
        <v>7</v>
      </c>
      <c r="L1" s="8" t="s">
        <v>34</v>
      </c>
      <c r="M1" s="8" t="s">
        <v>36</v>
      </c>
      <c r="N1" s="8" t="s">
        <v>35</v>
      </c>
      <c r="O1" s="9" t="s">
        <v>37</v>
      </c>
    </row>
    <row r="2" spans="1:15" x14ac:dyDescent="0.25">
      <c r="A2" s="2" t="s">
        <v>0</v>
      </c>
      <c r="B2" s="2">
        <v>60.57</v>
      </c>
      <c r="D2" s="22">
        <f t="array" ref="D2:E91">BSPath($B$2, $B$8, $B$5, $B$6, $B$9)</f>
        <v>0</v>
      </c>
      <c r="E2" s="11">
        <v>60.57</v>
      </c>
      <c r="F2" s="11">
        <f>BSCall(E2,$B$3, $B$6 - D2,$B$8,$B$5) - BSPut(E2,$B$4, $B$7 - D2,$B$8, $B$5)</f>
        <v>0.53420437876534088</v>
      </c>
      <c r="G2" s="11">
        <f t="shared" ref="G2:G30" si="0">BSGreeksRR(E2,$B$3,$B$4,$B$6 - D2,$B$7 - D2,$B$8, $B$5,$G$1)</f>
        <v>2.8957864510743867E-2</v>
      </c>
      <c r="H2" s="11">
        <f t="shared" ref="H2:H33" si="1">BSGreeks(E2,$B$13,$B$14 - D2,$B$8, $B$5,$G$1)</f>
        <v>3.1178683841236805E-2</v>
      </c>
      <c r="I2" s="11">
        <f t="shared" ref="I2:I33" si="2">G2/H2</f>
        <v>0.92877122902937648</v>
      </c>
      <c r="J2" s="11">
        <f t="shared" ref="J2:J33" si="3">I2*BSCall(E2,$B$13,$B$14 - D2,$B$8,$B$5)</f>
        <v>0.75486614683378916</v>
      </c>
      <c r="K2" s="11">
        <f t="shared" ref="K2:K30" si="4">BSGreeksRR(E2,$B$3, $B$4, $B$6 - D2,$B$7 - D2,$B$8, $B$5,$K$1) - I2 *BSGreeks(E2,$B$13,$B$14 - D2,$B$8, $B$5,$K$1)</f>
        <v>2.7738648969239638E-2</v>
      </c>
      <c r="L2" s="11">
        <f t="shared" ref="L2:L33" si="5">K2 * E2</f>
        <v>1.6801299680668449</v>
      </c>
      <c r="M2" s="11">
        <f t="shared" ref="M2:M33" si="6">F2 - L2 - J2</f>
        <v>-1.9007917361352933</v>
      </c>
      <c r="N2" s="11">
        <f>BSCall(E2,$B$3, $B$6 - D2,$B$8,$B$5) - BSPut(E2,$B$4, $B$7 - D2,$B$8, $B$5)</f>
        <v>0.53420437876534088</v>
      </c>
      <c r="O2" s="20">
        <f t="shared" ref="O2:O33" si="7">F2 - N2</f>
        <v>0</v>
      </c>
    </row>
    <row r="3" spans="1:15" x14ac:dyDescent="0.25">
      <c r="A3" s="1" t="s">
        <v>1</v>
      </c>
      <c r="B3" s="1">
        <v>67</v>
      </c>
      <c r="D3" s="22">
        <v>2.7777777777777779E-3</v>
      </c>
      <c r="E3" s="11">
        <v>60.158103170794689</v>
      </c>
      <c r="F3" s="11">
        <f t="shared" ref="F3:F34" si="8">E3 * K2 + I2*BSCall(E3,$B$13,$B$14-D3,$B$8,$B$5) +  M2 * EXP($B$8*(D3 - D2))</f>
        <v>0.4482828940657817</v>
      </c>
      <c r="G3" s="11">
        <f t="shared" si="0"/>
        <v>2.3371220123510235E-2</v>
      </c>
      <c r="H3" s="11">
        <f t="shared" si="1"/>
        <v>3.0017858550277082E-2</v>
      </c>
      <c r="I3" s="11">
        <f t="shared" si="2"/>
        <v>0.7785771954506896</v>
      </c>
      <c r="J3" s="11">
        <f t="shared" si="3"/>
        <v>0.57041650472171945</v>
      </c>
      <c r="K3" s="11">
        <f t="shared" si="4"/>
        <v>5.1879574032445641E-2</v>
      </c>
      <c r="L3" s="11">
        <f t="shared" si="5"/>
        <v>3.1209767671007458</v>
      </c>
      <c r="M3" s="11">
        <f t="shared" si="6"/>
        <v>-3.2431103777566834</v>
      </c>
      <c r="N3" s="11">
        <f>BSCall(E3,$B$3, $B$6 - D3,$B$8,$B$5) - BSPut(E3,$B$4, $B$7 - D3,$B$8, $B$5)</f>
        <v>0.44912215347699713</v>
      </c>
      <c r="O3" s="20">
        <f t="shared" si="7"/>
        <v>-8.3925941121543168E-4</v>
      </c>
    </row>
    <row r="4" spans="1:15" x14ac:dyDescent="0.25">
      <c r="A4" s="1" t="s">
        <v>2</v>
      </c>
      <c r="B4" s="1">
        <v>54</v>
      </c>
      <c r="D4" s="22">
        <v>5.5555555555555558E-3</v>
      </c>
      <c r="E4" s="11">
        <v>60.240028858165573</v>
      </c>
      <c r="F4" s="11">
        <f t="shared" si="8"/>
        <v>0.45833573251573245</v>
      </c>
      <c r="G4" s="11">
        <f t="shared" si="0"/>
        <v>2.5440172451966839E-2</v>
      </c>
      <c r="H4" s="11">
        <f t="shared" si="1"/>
        <v>3.0240729192086344E-2</v>
      </c>
      <c r="I4" s="11">
        <f t="shared" si="2"/>
        <v>0.84125525844212257</v>
      </c>
      <c r="J4" s="11">
        <f t="shared" si="3"/>
        <v>0.62276237744809904</v>
      </c>
      <c r="K4" s="11">
        <f t="shared" si="4"/>
        <v>3.8301807088446022E-2</v>
      </c>
      <c r="L4" s="11">
        <f t="shared" si="5"/>
        <v>2.3073019643278792</v>
      </c>
      <c r="M4" s="11">
        <f t="shared" si="6"/>
        <v>-2.4717286092602455</v>
      </c>
      <c r="N4" s="11">
        <f>BSCall(E4,$B$3, $B$6 - D4,$B$8,$B$5) - BSPut(E4,$B$4, $B$7 - D4,$B$8, $B$5)</f>
        <v>0.4588746968537975</v>
      </c>
      <c r="O4" s="20">
        <f t="shared" si="7"/>
        <v>-5.3896433806505106E-4</v>
      </c>
    </row>
    <row r="5" spans="1:15" x14ac:dyDescent="0.25">
      <c r="A5" s="1" t="s">
        <v>3</v>
      </c>
      <c r="B5" s="1">
        <v>0.2</v>
      </c>
      <c r="D5" s="22">
        <v>8.3333333333333332E-3</v>
      </c>
      <c r="E5" s="11">
        <v>60.257217896391239</v>
      </c>
      <c r="F5" s="11">
        <f t="shared" si="8"/>
        <v>0.45589196346100991</v>
      </c>
      <c r="G5" s="11">
        <f t="shared" si="0"/>
        <v>2.6483933525488501E-2</v>
      </c>
      <c r="H5" s="11">
        <f t="shared" si="1"/>
        <v>3.0279329975235223E-2</v>
      </c>
      <c r="I5" s="11">
        <f t="shared" si="2"/>
        <v>0.87465388260404409</v>
      </c>
      <c r="J5" s="11">
        <f t="shared" si="3"/>
        <v>0.64437554925887541</v>
      </c>
      <c r="K5" s="11">
        <f t="shared" si="4"/>
        <v>2.9845488841311441E-2</v>
      </c>
      <c r="L5" s="11">
        <f t="shared" si="5"/>
        <v>1.7984061243352167</v>
      </c>
      <c r="M5" s="11">
        <f t="shared" si="6"/>
        <v>-1.9868897101330822</v>
      </c>
      <c r="N5" s="11">
        <f>BSCall(E5,$B$3, $B$6 - D5,$B$8,$B$5) - BSPut(E5,$B$4, $B$7 - D5,$B$8, $B$5)</f>
        <v>0.45630977057279376</v>
      </c>
      <c r="O5" s="20">
        <f t="shared" si="7"/>
        <v>-4.1780711178385221E-4</v>
      </c>
    </row>
    <row r="6" spans="1:15" x14ac:dyDescent="0.25">
      <c r="A6" s="1" t="s">
        <v>4</v>
      </c>
      <c r="B6" s="18">
        <v>0.25</v>
      </c>
      <c r="D6" s="22">
        <v>1.1111111111111112E-2</v>
      </c>
      <c r="E6" s="11">
        <v>60.364204713887737</v>
      </c>
      <c r="F6" s="11">
        <f t="shared" si="8"/>
        <v>0.46953676760243779</v>
      </c>
      <c r="G6" s="11">
        <f t="shared" si="0"/>
        <v>2.8906551295773512E-2</v>
      </c>
      <c r="H6" s="11">
        <f t="shared" si="1"/>
        <v>3.0576840103551765E-2</v>
      </c>
      <c r="I6" s="11">
        <f t="shared" si="2"/>
        <v>0.94537405428024479</v>
      </c>
      <c r="J6" s="11">
        <f t="shared" si="3"/>
        <v>0.70786881150746817</v>
      </c>
      <c r="K6" s="11">
        <f t="shared" si="4"/>
        <v>1.4969427747287573E-2</v>
      </c>
      <c r="L6" s="11">
        <f t="shared" si="5"/>
        <v>0.90361760098701838</v>
      </c>
      <c r="M6" s="11">
        <f t="shared" si="6"/>
        <v>-1.1419496448920488</v>
      </c>
      <c r="N6" s="11">
        <f>BSCall(E6,$B$3, $B$6 - D6,$B$8,$B$5) - BSPut(E6,$B$4, $B$7 - D6,$B$8, $B$5)</f>
        <v>0.46960281746368215</v>
      </c>
      <c r="O6" s="20">
        <f t="shared" si="7"/>
        <v>-6.604986124436607E-5</v>
      </c>
    </row>
    <row r="7" spans="1:15" x14ac:dyDescent="0.25">
      <c r="A7" s="1" t="s">
        <v>5</v>
      </c>
      <c r="B7" s="1">
        <v>8.3333333333333329E-2</v>
      </c>
      <c r="D7" s="22">
        <v>1.388888888888889E-2</v>
      </c>
      <c r="E7" s="11">
        <v>59.999067625166951</v>
      </c>
      <c r="F7" s="11">
        <f t="shared" si="8"/>
        <v>0.399428968436639</v>
      </c>
      <c r="G7" s="11">
        <f t="shared" si="0"/>
        <v>2.3951207250501455E-2</v>
      </c>
      <c r="H7" s="11">
        <f t="shared" si="1"/>
        <v>2.9497399086672902E-2</v>
      </c>
      <c r="I7" s="11">
        <f t="shared" si="2"/>
        <v>0.81197691973197561</v>
      </c>
      <c r="J7" s="11">
        <f t="shared" si="3"/>
        <v>0.55250787831400361</v>
      </c>
      <c r="K7" s="11">
        <f t="shared" si="4"/>
        <v>3.4871987403794241E-2</v>
      </c>
      <c r="L7" s="11">
        <f t="shared" si="5"/>
        <v>2.0922867304642208</v>
      </c>
      <c r="M7" s="11">
        <f t="shared" si="6"/>
        <v>-2.2453656403415856</v>
      </c>
      <c r="N7" s="11">
        <f>BSCall(E7,$B$3, $B$6 - D7,$B$8,$B$5) - BSPut(E7,$B$4, $B$7 - D7,$B$8, $B$5)</f>
        <v>0.40026772288221368</v>
      </c>
      <c r="O7" s="20">
        <f t="shared" si="7"/>
        <v>-8.3875444557468537E-4</v>
      </c>
    </row>
    <row r="8" spans="1:15" x14ac:dyDescent="0.25">
      <c r="A8" s="1" t="s">
        <v>6</v>
      </c>
      <c r="B8" s="1">
        <v>1.6E-2</v>
      </c>
      <c r="D8" s="22">
        <v>1.6666666666666666E-2</v>
      </c>
      <c r="E8" s="11">
        <v>59.867297235218579</v>
      </c>
      <c r="F8" s="11">
        <f t="shared" si="8"/>
        <v>0.3724207242272044</v>
      </c>
      <c r="G8" s="11">
        <f t="shared" si="0"/>
        <v>2.2591258576551872E-2</v>
      </c>
      <c r="H8" s="11">
        <f t="shared" si="1"/>
        <v>2.9084934681670119E-2</v>
      </c>
      <c r="I8" s="11">
        <f t="shared" si="2"/>
        <v>0.77673403168374011</v>
      </c>
      <c r="J8" s="11">
        <f t="shared" si="3"/>
        <v>0.50718206581809167</v>
      </c>
      <c r="K8" s="11">
        <f t="shared" si="4"/>
        <v>3.7617851855116125E-2</v>
      </c>
      <c r="L8" s="11">
        <f t="shared" si="5"/>
        <v>2.2520791183606557</v>
      </c>
      <c r="M8" s="11">
        <f t="shared" si="6"/>
        <v>-2.3868404599515429</v>
      </c>
      <c r="N8" s="11">
        <f>BSCall(E8,$B$3, $B$6 - D8,$B$8,$B$5) - BSPut(E8,$B$4, $B$7 - D8,$B$8, $B$5)</f>
        <v>0.37355337612677658</v>
      </c>
      <c r="O8" s="20">
        <f t="shared" si="7"/>
        <v>-1.132651899572179E-3</v>
      </c>
    </row>
    <row r="9" spans="1:15" x14ac:dyDescent="0.25">
      <c r="A9" s="16" t="s">
        <v>30</v>
      </c>
      <c r="B9" s="6">
        <f>360*B6</f>
        <v>90</v>
      </c>
      <c r="D9" s="22">
        <v>1.9444444444444445E-2</v>
      </c>
      <c r="E9" s="11">
        <v>59.627661412045839</v>
      </c>
      <c r="F9" s="11">
        <f t="shared" si="8"/>
        <v>0.32974672801442839</v>
      </c>
      <c r="G9" s="11">
        <f t="shared" si="0"/>
        <v>1.9220456019995377E-2</v>
      </c>
      <c r="H9" s="11">
        <f t="shared" si="1"/>
        <v>2.8334152979970099E-2</v>
      </c>
      <c r="I9" s="11">
        <f t="shared" si="2"/>
        <v>0.67834941222992085</v>
      </c>
      <c r="J9" s="11">
        <f t="shared" si="3"/>
        <v>0.41363679635125367</v>
      </c>
      <c r="K9" s="11">
        <f t="shared" si="4"/>
        <v>4.9711519608252805E-2</v>
      </c>
      <c r="L9" s="11">
        <f t="shared" si="5"/>
        <v>2.9641816594791757</v>
      </c>
      <c r="M9" s="11">
        <f t="shared" si="6"/>
        <v>-3.048071727816001</v>
      </c>
      <c r="N9" s="11">
        <f>BSCall(E9,$B$3, $B$6 - D9,$B$8,$B$5) - BSPut(E9,$B$4, $B$7 - D9,$B$8, $B$5)</f>
        <v>0.33149623594288991</v>
      </c>
      <c r="O9" s="20">
        <f t="shared" si="7"/>
        <v>-1.7495079284615134E-3</v>
      </c>
    </row>
    <row r="10" spans="1:15" x14ac:dyDescent="0.25">
      <c r="D10" s="22">
        <v>2.2222222222222223E-2</v>
      </c>
      <c r="E10" s="11">
        <v>60.831070430596753</v>
      </c>
      <c r="F10" s="11">
        <f t="shared" si="8"/>
        <v>0.52248262232993348</v>
      </c>
      <c r="G10" s="11">
        <f t="shared" si="0"/>
        <v>3.8213899032909171E-2</v>
      </c>
      <c r="H10" s="11">
        <f t="shared" si="1"/>
        <v>3.1893069302590629E-2</v>
      </c>
      <c r="I10" s="11">
        <f t="shared" si="2"/>
        <v>1.1981881916208394</v>
      </c>
      <c r="J10" s="11">
        <f t="shared" si="3"/>
        <v>0.96562530602806218</v>
      </c>
      <c r="K10" s="11">
        <f t="shared" si="4"/>
        <v>-3.909004592123333E-2</v>
      </c>
      <c r="L10" s="11">
        <f t="shared" si="5"/>
        <v>-2.3778893365698059</v>
      </c>
      <c r="M10" s="11">
        <f t="shared" si="6"/>
        <v>1.9347466528716772</v>
      </c>
      <c r="N10" s="11">
        <f>BSCall(E10,$B$3, $B$6 - D10,$B$8,$B$5) - BSPut(E10,$B$4, $B$7 - D10,$B$8, $B$5)</f>
        <v>0.52517761125255757</v>
      </c>
      <c r="O10" s="20">
        <f t="shared" si="7"/>
        <v>-2.6949889226240975E-3</v>
      </c>
    </row>
    <row r="11" spans="1:15" ht="15.75" x14ac:dyDescent="0.25">
      <c r="A11" s="66" t="s">
        <v>70</v>
      </c>
      <c r="B11" s="66"/>
      <c r="D11" s="22">
        <v>2.5000000000000001E-2</v>
      </c>
      <c r="E11" s="11">
        <v>60.863792745336262</v>
      </c>
      <c r="F11" s="11">
        <f t="shared" si="8"/>
        <v>0.52016881248155489</v>
      </c>
      <c r="G11" s="11">
        <f t="shared" si="0"/>
        <v>3.9293175490295144E-2</v>
      </c>
      <c r="H11" s="11">
        <f t="shared" si="1"/>
        <v>3.1985344885196429E-2</v>
      </c>
      <c r="I11" s="11">
        <f t="shared" si="2"/>
        <v>1.2284743413375214</v>
      </c>
      <c r="J11" s="11">
        <f t="shared" si="3"/>
        <v>0.98888404083832393</v>
      </c>
      <c r="K11" s="11">
        <f t="shared" si="4"/>
        <v>-4.6417197773423763E-2</v>
      </c>
      <c r="L11" s="11">
        <f t="shared" si="5"/>
        <v>-2.8251267051009479</v>
      </c>
      <c r="M11" s="11">
        <f t="shared" si="6"/>
        <v>2.3564114767441788</v>
      </c>
      <c r="N11" s="11">
        <f>BSCall(E11,$B$3, $B$6 - D11,$B$8,$B$5) - BSPut(E11,$B$4, $B$7 - D11,$B$8, $B$5)</f>
        <v>0.52273822531455572</v>
      </c>
      <c r="O11" s="20">
        <f t="shared" si="7"/>
        <v>-2.5694128330008281E-3</v>
      </c>
    </row>
    <row r="12" spans="1:15" x14ac:dyDescent="0.25">
      <c r="A12" s="2" t="s">
        <v>0</v>
      </c>
      <c r="B12" s="2">
        <v>60.57</v>
      </c>
      <c r="D12" s="22">
        <v>2.777777777777778E-2</v>
      </c>
      <c r="E12" s="11">
        <v>61.000667576750402</v>
      </c>
      <c r="F12" s="11">
        <f t="shared" si="8"/>
        <v>0.53685086640898616</v>
      </c>
      <c r="G12" s="11">
        <f t="shared" si="0"/>
        <v>4.1457520782698036E-2</v>
      </c>
      <c r="H12" s="11">
        <f t="shared" si="1"/>
        <v>3.2377322712390778E-2</v>
      </c>
      <c r="I12" s="11">
        <f t="shared" si="2"/>
        <v>1.28044931790584</v>
      </c>
      <c r="J12" s="11">
        <f t="shared" si="3"/>
        <v>1.0546231293521799</v>
      </c>
      <c r="K12" s="11">
        <f t="shared" si="4"/>
        <v>-5.7731427173246447E-2</v>
      </c>
      <c r="L12" s="11">
        <f t="shared" si="5"/>
        <v>-3.5216555977265815</v>
      </c>
      <c r="M12" s="11">
        <f t="shared" si="6"/>
        <v>3.0038833347833878</v>
      </c>
      <c r="N12" s="11">
        <f>BSCall(E12,$B$3, $B$6 - D12,$B$8,$B$5) - BSPut(E12,$B$4, $B$7 - D12,$B$8, $B$5)</f>
        <v>0.53914323981244827</v>
      </c>
      <c r="O12" s="20">
        <f t="shared" si="7"/>
        <v>-2.2923734034621113E-3</v>
      </c>
    </row>
    <row r="13" spans="1:15" x14ac:dyDescent="0.25">
      <c r="A13" s="1" t="s">
        <v>1</v>
      </c>
      <c r="B13" s="1">
        <v>70</v>
      </c>
      <c r="D13" s="22">
        <v>3.0555555555555558E-2</v>
      </c>
      <c r="E13" s="11">
        <v>60.946897223454258</v>
      </c>
      <c r="F13" s="11">
        <f t="shared" si="8"/>
        <v>0.51794063774722954</v>
      </c>
      <c r="G13" s="11">
        <f t="shared" si="0"/>
        <v>4.1513703363537158E-2</v>
      </c>
      <c r="H13" s="11">
        <f t="shared" si="1"/>
        <v>3.222296176313285E-2</v>
      </c>
      <c r="I13" s="11">
        <f t="shared" si="2"/>
        <v>1.2883267425477347</v>
      </c>
      <c r="J13" s="11">
        <f t="shared" si="3"/>
        <v>1.0388270206878611</v>
      </c>
      <c r="K13" s="11">
        <f t="shared" si="4"/>
        <v>-6.0633051989359754E-2</v>
      </c>
      <c r="L13" s="11">
        <f t="shared" si="5"/>
        <v>-3.6953963879398675</v>
      </c>
      <c r="M13" s="11">
        <f t="shared" si="6"/>
        <v>3.1745100049992359</v>
      </c>
      <c r="N13" s="11">
        <f>BSCall(E13,$B$3, $B$6 - D13,$B$8,$B$5) - BSPut(E13,$B$4, $B$7 - D13,$B$8, $B$5)</f>
        <v>0.52024718333130304</v>
      </c>
      <c r="O13" s="20">
        <f t="shared" si="7"/>
        <v>-2.306545584073505E-3</v>
      </c>
    </row>
    <row r="14" spans="1:15" x14ac:dyDescent="0.25">
      <c r="A14" s="1" t="s">
        <v>31</v>
      </c>
      <c r="B14" s="1">
        <v>0.5</v>
      </c>
      <c r="D14" s="22">
        <v>3.3333333333333333E-2</v>
      </c>
      <c r="E14" s="11">
        <v>59.760041636277037</v>
      </c>
      <c r="F14" s="11">
        <f t="shared" si="8"/>
        <v>0.32379759381824069</v>
      </c>
      <c r="G14" s="11">
        <f t="shared" si="0"/>
        <v>2.68071509399605E-2</v>
      </c>
      <c r="H14" s="11">
        <f t="shared" si="1"/>
        <v>2.8609905824475299E-2</v>
      </c>
      <c r="I14" s="11">
        <f t="shared" si="2"/>
        <v>0.93698843695694478</v>
      </c>
      <c r="J14" s="11">
        <f t="shared" si="3"/>
        <v>0.56189062711652371</v>
      </c>
      <c r="K14" s="11">
        <f t="shared" si="4"/>
        <v>-4.2124994100777857E-3</v>
      </c>
      <c r="L14" s="11">
        <f t="shared" si="5"/>
        <v>-0.25173914013904092</v>
      </c>
      <c r="M14" s="11">
        <f t="shared" si="6"/>
        <v>1.3646106840757954E-2</v>
      </c>
      <c r="N14" s="11">
        <f>BSCall(E14,$B$3, $B$6 - D14,$B$8,$B$5) - BSPut(E14,$B$4, $B$7 - D14,$B$8, $B$5)</f>
        <v>0.32597498340691961</v>
      </c>
      <c r="O14" s="20">
        <f t="shared" si="7"/>
        <v>-2.177389588678913E-3</v>
      </c>
    </row>
    <row r="15" spans="1:15" x14ac:dyDescent="0.25">
      <c r="D15" s="22">
        <v>3.6111111111111115E-2</v>
      </c>
      <c r="E15" s="11">
        <v>59.566529404753595</v>
      </c>
      <c r="F15" s="11">
        <f t="shared" si="8"/>
        <v>0.29233464661042835</v>
      </c>
      <c r="G15" s="11">
        <f t="shared" si="0"/>
        <v>2.4717175417416883E-2</v>
      </c>
      <c r="H15" s="11">
        <f t="shared" si="1"/>
        <v>2.796643078915825E-2</v>
      </c>
      <c r="I15" s="11">
        <f t="shared" si="2"/>
        <v>0.88381587209902357</v>
      </c>
      <c r="J15" s="11">
        <f t="shared" si="3"/>
        <v>0.49955729193059412</v>
      </c>
      <c r="K15" s="11">
        <f t="shared" si="4"/>
        <v>8.9257281192411941E-4</v>
      </c>
      <c r="L15" s="11">
        <f t="shared" si="5"/>
        <v>5.3167464647361662E-2</v>
      </c>
      <c r="M15" s="11">
        <f t="shared" si="6"/>
        <v>-0.26039010996752743</v>
      </c>
      <c r="N15" s="11">
        <f>BSCall(E15,$B$3, $B$6 - D15,$B$8,$B$5) - BSPut(E15,$B$4, $B$7 - D15,$B$8, $B$5)</f>
        <v>0.29491145004319164</v>
      </c>
      <c r="O15" s="20">
        <f t="shared" si="7"/>
        <v>-2.5768034327632861E-3</v>
      </c>
    </row>
    <row r="16" spans="1:15" x14ac:dyDescent="0.25">
      <c r="D16" s="22">
        <v>3.888888888888889E-2</v>
      </c>
      <c r="E16" s="11">
        <v>58.884300037651869</v>
      </c>
      <c r="F16" s="11">
        <f t="shared" si="8"/>
        <v>0.20580106934240305</v>
      </c>
      <c r="G16" s="11">
        <f t="shared" si="0"/>
        <v>1.2724794521464588E-2</v>
      </c>
      <c r="H16" s="11">
        <f t="shared" si="1"/>
        <v>2.5721105550371038E-2</v>
      </c>
      <c r="I16" s="11">
        <f t="shared" si="2"/>
        <v>0.49472191218783079</v>
      </c>
      <c r="J16" s="11">
        <f t="shared" si="3"/>
        <v>0.23154015389980623</v>
      </c>
      <c r="K16" s="11">
        <f t="shared" si="4"/>
        <v>4.9485750906684146E-2</v>
      </c>
      <c r="L16" s="11">
        <f t="shared" si="5"/>
        <v>2.9139338039776921</v>
      </c>
      <c r="M16" s="11">
        <f t="shared" si="6"/>
        <v>-2.9396728885350951</v>
      </c>
      <c r="N16" s="11">
        <f>BSCall(E16,$B$3, $B$6 - D16,$B$8,$B$5) - BSPut(E16,$B$4, $B$7 - D16,$B$8, $B$5)</f>
        <v>0.20963300269649737</v>
      </c>
      <c r="O16" s="20">
        <f t="shared" si="7"/>
        <v>-3.831933354094319E-3</v>
      </c>
    </row>
    <row r="17" spans="4:18" x14ac:dyDescent="0.25">
      <c r="D17" s="22">
        <v>4.1666666666666671E-2</v>
      </c>
      <c r="E17" s="11">
        <v>59.133099830279519</v>
      </c>
      <c r="F17" s="11">
        <f t="shared" si="8"/>
        <v>0.23104210858207219</v>
      </c>
      <c r="G17" s="11">
        <f t="shared" si="0"/>
        <v>1.9498941363713929E-2</v>
      </c>
      <c r="H17" s="11">
        <f t="shared" si="1"/>
        <v>2.6489227280829721E-2</v>
      </c>
      <c r="I17" s="11">
        <f t="shared" si="2"/>
        <v>0.73610834914106127</v>
      </c>
      <c r="J17" s="11">
        <f t="shared" si="3"/>
        <v>0.36394579095479951</v>
      </c>
      <c r="K17" s="11">
        <f t="shared" si="4"/>
        <v>1.5036484126527833E-2</v>
      </c>
      <c r="L17" s="11">
        <f t="shared" si="5"/>
        <v>0.8891539169503837</v>
      </c>
      <c r="M17" s="11">
        <f t="shared" si="6"/>
        <v>-1.0220575993231109</v>
      </c>
      <c r="N17" s="11">
        <f>BSCall(E17,$B$3, $B$6 - D17,$B$8,$B$5) - BSPut(E17,$B$4, $B$7 - D17,$B$8, $B$5)</f>
        <v>0.233833973436088</v>
      </c>
      <c r="O17" s="20">
        <f t="shared" si="7"/>
        <v>-2.7918648540158075E-3</v>
      </c>
    </row>
    <row r="18" spans="4:18" ht="15.75" x14ac:dyDescent="0.25">
      <c r="D18" s="22">
        <v>4.4444444444444446E-2</v>
      </c>
      <c r="E18" s="11">
        <v>58.498278887924236</v>
      </c>
      <c r="F18" s="11">
        <f t="shared" si="8"/>
        <v>0.16068653666044797</v>
      </c>
      <c r="G18" s="11">
        <f t="shared" si="0"/>
        <v>7.1036522827111767E-3</v>
      </c>
      <c r="H18" s="11">
        <f t="shared" si="1"/>
        <v>2.4348557736972743E-2</v>
      </c>
      <c r="I18" s="11">
        <f t="shared" si="2"/>
        <v>0.29174838031266381</v>
      </c>
      <c r="J18" s="11">
        <f t="shared" si="3"/>
        <v>0.12016247439683082</v>
      </c>
      <c r="K18" s="11">
        <f t="shared" si="4"/>
        <v>6.4945002131058749E-2</v>
      </c>
      <c r="L18" s="11">
        <f t="shared" si="5"/>
        <v>3.7991708470395085</v>
      </c>
      <c r="M18" s="11">
        <f t="shared" si="6"/>
        <v>-3.7586467847758911</v>
      </c>
      <c r="N18" s="11">
        <f>BSCall(E18,$B$3, $B$6 - D18,$B$8,$B$5) - BSPut(E18,$B$4, $B$7 - D18,$B$8, $B$5)</f>
        <v>0.16493577183518696</v>
      </c>
      <c r="O18" s="20">
        <f t="shared" si="7"/>
        <v>-4.2492351747389911E-3</v>
      </c>
      <c r="Q18" s="62" t="s">
        <v>67</v>
      </c>
      <c r="R18" s="63"/>
    </row>
    <row r="19" spans="4:18" x14ac:dyDescent="0.25">
      <c r="D19" s="22">
        <v>4.7222222222222221E-2</v>
      </c>
      <c r="E19" s="11">
        <v>57.977497279123938</v>
      </c>
      <c r="F19" s="11">
        <f t="shared" si="8"/>
        <v>0.10909373907081488</v>
      </c>
      <c r="G19" s="11">
        <f t="shared" si="0"/>
        <v>-5.6543857943359907E-3</v>
      </c>
      <c r="H19" s="11">
        <f t="shared" si="1"/>
        <v>2.2562914383601931E-2</v>
      </c>
      <c r="I19" s="11">
        <f t="shared" si="2"/>
        <v>-0.25060529407696702</v>
      </c>
      <c r="J19" s="11">
        <f t="shared" si="3"/>
        <v>-8.8095782430424222E-2</v>
      </c>
      <c r="K19" s="11">
        <f t="shared" si="4"/>
        <v>0.11724804843158762</v>
      </c>
      <c r="L19" s="11">
        <f t="shared" si="5"/>
        <v>6.7977484089249627</v>
      </c>
      <c r="M19" s="11">
        <f t="shared" si="6"/>
        <v>-6.6005588874237233</v>
      </c>
      <c r="N19" s="11">
        <f>BSCall(E19,$B$3, $B$6 - D19,$B$8,$B$5) - BSPut(E19,$B$4, $B$7 - D19,$B$8, $B$5)</f>
        <v>0.11523961859469066</v>
      </c>
      <c r="O19" s="20">
        <f t="shared" si="7"/>
        <v>-6.145879523875783E-3</v>
      </c>
      <c r="Q19" s="4" t="s">
        <v>50</v>
      </c>
      <c r="R19" s="12">
        <v>-4.8167616295521423E-2</v>
      </c>
    </row>
    <row r="20" spans="4:18" x14ac:dyDescent="0.25">
      <c r="D20" s="22">
        <v>0.05</v>
      </c>
      <c r="E20" s="11">
        <v>57.785985238167974</v>
      </c>
      <c r="F20" s="11">
        <f t="shared" si="8"/>
        <v>9.2139078780707706E-2</v>
      </c>
      <c r="G20" s="11">
        <f t="shared" si="0"/>
        <v>-9.3960108568781793E-3</v>
      </c>
      <c r="H20" s="11">
        <f t="shared" si="1"/>
        <v>2.1861393948455866E-2</v>
      </c>
      <c r="I20" s="11">
        <f t="shared" si="2"/>
        <v>-0.42979925612391462</v>
      </c>
      <c r="J20" s="11">
        <f t="shared" si="3"/>
        <v>-0.14115274106124326</v>
      </c>
      <c r="K20" s="11">
        <f t="shared" si="4"/>
        <v>0.12824780379338713</v>
      </c>
      <c r="L20" s="11">
        <f t="shared" si="5"/>
        <v>7.4109256968321313</v>
      </c>
      <c r="M20" s="11">
        <f t="shared" si="6"/>
        <v>-7.1776338769901802</v>
      </c>
      <c r="N20" s="11">
        <f>BSCall(E20,$B$3, $B$6 - D20,$B$8,$B$5) - BSPut(E20,$B$4, $B$7 - D20,$B$8, $B$5)</f>
        <v>9.9242735753940242E-2</v>
      </c>
      <c r="O20" s="20">
        <f t="shared" si="7"/>
        <v>-7.1036569732325361E-3</v>
      </c>
      <c r="Q20" s="4" t="s">
        <v>51</v>
      </c>
      <c r="R20" s="12">
        <v>2.8634392455521102E-2</v>
      </c>
    </row>
    <row r="21" spans="4:18" x14ac:dyDescent="0.25">
      <c r="D21" s="22">
        <v>5.2777777777777778E-2</v>
      </c>
      <c r="E21" s="11">
        <v>56.99236057332481</v>
      </c>
      <c r="F21" s="11">
        <f t="shared" si="8"/>
        <v>2.1296748295431378E-2</v>
      </c>
      <c r="G21" s="11">
        <f t="shared" si="0"/>
        <v>-4.0700232506311919E-2</v>
      </c>
      <c r="H21" s="11">
        <f t="shared" si="1"/>
        <v>1.9186704532497174E-2</v>
      </c>
      <c r="I21" s="11">
        <f t="shared" si="2"/>
        <v>-2.1212726988825286</v>
      </c>
      <c r="J21" s="11">
        <f t="shared" si="3"/>
        <v>-0.54238854412672888</v>
      </c>
      <c r="K21" s="11">
        <f t="shared" si="4"/>
        <v>0.26460192765982493</v>
      </c>
      <c r="L21" s="11">
        <f t="shared" si="5"/>
        <v>15.08028846958555</v>
      </c>
      <c r="M21" s="11">
        <f t="shared" si="6"/>
        <v>-14.516603177163391</v>
      </c>
      <c r="N21" s="11">
        <f>BSCall(E21,$B$3, $B$6 - D21,$B$8,$B$5) - BSPut(E21,$B$4, $B$7 - D21,$B$8, $B$5)</f>
        <v>3.112361436584208E-2</v>
      </c>
      <c r="O21" s="20">
        <f t="shared" si="7"/>
        <v>-9.8268660704107016E-3</v>
      </c>
      <c r="Q21" s="4" t="s">
        <v>52</v>
      </c>
      <c r="R21" s="12">
        <v>-3.5284266375950777E-3</v>
      </c>
    </row>
    <row r="22" spans="4:18" x14ac:dyDescent="0.25">
      <c r="D22" s="22">
        <v>5.5555555555555559E-2</v>
      </c>
      <c r="E22" s="11">
        <v>57.171145562250331</v>
      </c>
      <c r="F22" s="11">
        <f t="shared" si="8"/>
        <v>4.5621739485630641E-2</v>
      </c>
      <c r="G22" s="11">
        <f t="shared" si="0"/>
        <v>-2.7871093522789644E-2</v>
      </c>
      <c r="H22" s="11">
        <f t="shared" si="1"/>
        <v>1.9687559165289702E-2</v>
      </c>
      <c r="I22" s="11">
        <f t="shared" si="2"/>
        <v>-1.4156703372314423</v>
      </c>
      <c r="J22" s="11">
        <f t="shared" si="3"/>
        <v>-0.37687975120168898</v>
      </c>
      <c r="K22" s="11">
        <f t="shared" si="4"/>
        <v>0.19819812278656962</v>
      </c>
      <c r="L22" s="11">
        <f t="shared" si="5"/>
        <v>11.331213727995737</v>
      </c>
      <c r="M22" s="11">
        <f t="shared" si="6"/>
        <v>-10.908712237308418</v>
      </c>
      <c r="N22" s="11">
        <f>BSCall(E22,$B$3, $B$6 - D22,$B$8,$B$5) - BSPut(E22,$B$4, $B$7 - D22,$B$8, $B$5)</f>
        <v>5.333343922357562E-2</v>
      </c>
      <c r="O22" s="20">
        <f t="shared" si="7"/>
        <v>-7.7116997379449784E-3</v>
      </c>
      <c r="Q22" s="5" t="s">
        <v>53</v>
      </c>
      <c r="R22" s="14">
        <v>1.8810996729726762E-2</v>
      </c>
    </row>
    <row r="23" spans="4:18" x14ac:dyDescent="0.25">
      <c r="D23" s="22">
        <v>5.8333333333333334E-2</v>
      </c>
      <c r="E23" s="11">
        <v>57.493887953789603</v>
      </c>
      <c r="F23" s="11">
        <f t="shared" si="8"/>
        <v>7.6296684967882555E-2</v>
      </c>
      <c r="G23" s="11">
        <f t="shared" si="0"/>
        <v>-9.3536179838685334E-3</v>
      </c>
      <c r="H23" s="11">
        <f t="shared" si="1"/>
        <v>2.0673074629387039E-2</v>
      </c>
      <c r="I23" s="11">
        <f t="shared" si="2"/>
        <v>-0.45245412941973551</v>
      </c>
      <c r="J23" s="11">
        <f t="shared" si="3"/>
        <v>-0.13093763748835599</v>
      </c>
      <c r="K23" s="11">
        <f t="shared" si="4"/>
        <v>0.10898913756538356</v>
      </c>
      <c r="L23" s="11">
        <f t="shared" si="5"/>
        <v>6.266209263364324</v>
      </c>
      <c r="M23" s="11">
        <f t="shared" si="6"/>
        <v>-6.0589749409080857</v>
      </c>
      <c r="N23" s="11">
        <f>BSCall(E23,$B$3, $B$6 - D23,$B$8,$B$5) - BSPut(E23,$B$4, $B$7 - D23,$B$8, $B$5)</f>
        <v>8.1025335098622447E-2</v>
      </c>
      <c r="O23" s="20">
        <f t="shared" si="7"/>
        <v>-4.728650130739892E-3</v>
      </c>
    </row>
    <row r="24" spans="4:18" x14ac:dyDescent="0.25">
      <c r="D24" s="22">
        <v>6.1111111111111116E-2</v>
      </c>
      <c r="E24" s="11">
        <v>57.404298543115225</v>
      </c>
      <c r="F24" s="11">
        <f t="shared" si="8"/>
        <v>7.1518029781900694E-2</v>
      </c>
      <c r="G24" s="11">
        <f t="shared" si="0"/>
        <v>-8.0966760773636959E-3</v>
      </c>
      <c r="H24" s="11">
        <f t="shared" si="1"/>
        <v>2.0297616228260606E-2</v>
      </c>
      <c r="I24" s="11">
        <f t="shared" si="2"/>
        <v>-0.39889787974661772</v>
      </c>
      <c r="J24" s="11">
        <f t="shared" si="3"/>
        <v>-0.11080586911725766</v>
      </c>
      <c r="K24" s="11">
        <f t="shared" si="4"/>
        <v>9.699448236777454E-2</v>
      </c>
      <c r="L24" s="11">
        <f t="shared" si="5"/>
        <v>5.5679002228746555</v>
      </c>
      <c r="M24" s="11">
        <f t="shared" si="6"/>
        <v>-5.3855763239754975</v>
      </c>
      <c r="N24" s="11">
        <f>BSCall(E24,$B$3, $B$6 - D24,$B$8,$B$5) - BSPut(E24,$B$4, $B$7 - D24,$B$8, $B$5)</f>
        <v>7.6500552754953946E-2</v>
      </c>
      <c r="O24" s="20">
        <f t="shared" si="7"/>
        <v>-4.9825229730532522E-3</v>
      </c>
    </row>
    <row r="25" spans="4:18" x14ac:dyDescent="0.25">
      <c r="D25" s="22">
        <v>6.3888888888888898E-2</v>
      </c>
      <c r="E25" s="11">
        <v>57.28604255406934</v>
      </c>
      <c r="F25" s="11">
        <f t="shared" si="8"/>
        <v>6.5242381331998445E-2</v>
      </c>
      <c r="G25" s="11">
        <f t="shared" si="0"/>
        <v>-7.2834121079114519E-3</v>
      </c>
      <c r="H25" s="11">
        <f t="shared" si="1"/>
        <v>1.9824717553089087E-2</v>
      </c>
      <c r="I25" s="11">
        <f t="shared" si="2"/>
        <v>-0.36739046033856615</v>
      </c>
      <c r="J25" s="11">
        <f t="shared" si="3"/>
        <v>-9.7049045168329545E-2</v>
      </c>
      <c r="K25" s="11">
        <f t="shared" si="4"/>
        <v>8.6912804432439261E-2</v>
      </c>
      <c r="L25" s="11">
        <f t="shared" si="5"/>
        <v>4.978890613210222</v>
      </c>
      <c r="M25" s="11">
        <f t="shared" si="6"/>
        <v>-4.8165991867098938</v>
      </c>
      <c r="N25" s="11">
        <f>BSCall(E25,$B$3, $B$6 - D25,$B$8,$B$5) - BSPut(E25,$B$4, $B$7 - D25,$B$8, $B$5)</f>
        <v>7.0632476238042474E-2</v>
      </c>
      <c r="O25" s="20">
        <f t="shared" si="7"/>
        <v>-5.3900949060440295E-3</v>
      </c>
    </row>
    <row r="26" spans="4:18" x14ac:dyDescent="0.25">
      <c r="D26" s="22">
        <v>6.6666666666666666E-2</v>
      </c>
      <c r="E26" s="11">
        <v>57.032989113513693</v>
      </c>
      <c r="F26" s="11">
        <f t="shared" si="8"/>
        <v>5.16551032813517E-2</v>
      </c>
      <c r="G26" s="11">
        <f t="shared" si="0"/>
        <v>-1.140323146591281E-2</v>
      </c>
      <c r="H26" s="11">
        <f t="shared" si="1"/>
        <v>1.8905248849210837E-2</v>
      </c>
      <c r="I26" s="11">
        <f t="shared" si="2"/>
        <v>-0.60317806747033731</v>
      </c>
      <c r="J26" s="11">
        <f t="shared" si="3"/>
        <v>-0.14518131506980353</v>
      </c>
      <c r="K26" s="11">
        <f t="shared" si="4"/>
        <v>9.7233143364335806E-2</v>
      </c>
      <c r="L26" s="11">
        <f t="shared" si="5"/>
        <v>5.5454968069708803</v>
      </c>
      <c r="M26" s="11">
        <f t="shared" si="6"/>
        <v>-5.3486603886197255</v>
      </c>
      <c r="N26" s="11">
        <f>BSCall(E26,$B$3, $B$6 - D26,$B$8,$B$5) - BSPut(E26,$B$4, $B$7 - D26,$B$8, $B$5)</f>
        <v>5.8405337452082283E-2</v>
      </c>
      <c r="O26" s="20">
        <f t="shared" si="7"/>
        <v>-6.7502341707305832E-3</v>
      </c>
    </row>
    <row r="27" spans="4:18" x14ac:dyDescent="0.25">
      <c r="D27" s="22">
        <v>6.9444444444444448E-2</v>
      </c>
      <c r="E27" s="11">
        <v>57.352226172740636</v>
      </c>
      <c r="F27" s="11">
        <f t="shared" si="8"/>
        <v>6.9684265154898561E-2</v>
      </c>
      <c r="G27" s="11">
        <f t="shared" si="0"/>
        <v>6.9276866303148677E-3</v>
      </c>
      <c r="H27" s="11">
        <f t="shared" si="1"/>
        <v>1.9881251449182395E-2</v>
      </c>
      <c r="I27" s="11">
        <f t="shared" si="2"/>
        <v>0.34845324742370604</v>
      </c>
      <c r="J27" s="11">
        <f t="shared" si="3"/>
        <v>9.124980539045166E-2</v>
      </c>
      <c r="K27" s="11">
        <f t="shared" si="4"/>
        <v>1.6669947423538146E-2</v>
      </c>
      <c r="L27" s="11">
        <f t="shared" si="5"/>
        <v>0.95605859492245482</v>
      </c>
      <c r="M27" s="11">
        <f t="shared" si="6"/>
        <v>-0.97762413515800795</v>
      </c>
      <c r="N27" s="11">
        <f>BSCall(E27,$B$3, $B$6 - D27,$B$8,$B$5) - BSPut(E27,$B$4, $B$7 - D27,$B$8, $B$5)</f>
        <v>7.3741994049964885E-2</v>
      </c>
      <c r="O27" s="20">
        <f t="shared" si="7"/>
        <v>-4.0577288950663232E-3</v>
      </c>
    </row>
    <row r="28" spans="4:18" x14ac:dyDescent="0.25">
      <c r="D28" s="22">
        <v>7.2222222222222229E-2</v>
      </c>
      <c r="E28" s="11">
        <v>56.873714885666125</v>
      </c>
      <c r="F28" s="11">
        <f t="shared" si="8"/>
        <v>4.7779347098798941E-2</v>
      </c>
      <c r="G28" s="11">
        <f t="shared" si="0"/>
        <v>-8.7442895160602034E-4</v>
      </c>
      <c r="H28" s="11">
        <f t="shared" si="1"/>
        <v>1.8207996766043677E-2</v>
      </c>
      <c r="I28" s="11">
        <f t="shared" si="2"/>
        <v>-4.8024445678546801E-2</v>
      </c>
      <c r="J28" s="11">
        <f t="shared" si="3"/>
        <v>-1.0662595025748654E-2</v>
      </c>
      <c r="K28" s="11">
        <f t="shared" si="4"/>
        <v>4.0933453742025297E-2</v>
      </c>
      <c r="L28" s="11">
        <f t="shared" si="5"/>
        <v>2.3280375774095501</v>
      </c>
      <c r="M28" s="11">
        <f t="shared" si="6"/>
        <v>-2.2695956352850026</v>
      </c>
      <c r="N28" s="11">
        <f>BSCall(E28,$B$3, $B$6 - D28,$B$8,$B$5) - BSPut(E28,$B$4, $B$7 - D28,$B$8, $B$5)</f>
        <v>5.3449291358579239E-2</v>
      </c>
      <c r="O28" s="20">
        <f t="shared" si="7"/>
        <v>-5.6699442597802976E-3</v>
      </c>
    </row>
    <row r="29" spans="4:18" x14ac:dyDescent="0.25">
      <c r="D29" s="22">
        <v>7.4999999999999997E-2</v>
      </c>
      <c r="E29" s="11">
        <v>55.853033403790761</v>
      </c>
      <c r="F29" s="11">
        <f t="shared" si="8"/>
        <v>9.071668815084255E-3</v>
      </c>
      <c r="G29" s="11">
        <f t="shared" si="0"/>
        <v>-5.9381488721683154E-2</v>
      </c>
      <c r="H29" s="11">
        <f t="shared" si="1"/>
        <v>1.4886805489234699E-2</v>
      </c>
      <c r="I29" s="11">
        <f t="shared" si="2"/>
        <v>-3.9888671054797156</v>
      </c>
      <c r="J29" s="11">
        <f t="shared" si="3"/>
        <v>-0.62206130205275267</v>
      </c>
      <c r="K29" s="11">
        <f t="shared" si="4"/>
        <v>0.26136755601917444</v>
      </c>
      <c r="L29" s="11">
        <f t="shared" si="5"/>
        <v>14.598170837006103</v>
      </c>
      <c r="M29" s="11">
        <f t="shared" si="6"/>
        <v>-13.967037866138266</v>
      </c>
      <c r="N29" s="11">
        <f>BSCall(E29,$B$3, $B$6 - D29,$B$8,$B$5) - BSPut(E29,$B$4, $B$7 - D29,$B$8, $B$5)</f>
        <v>1.7002337701021795E-2</v>
      </c>
      <c r="O29" s="20">
        <f t="shared" si="7"/>
        <v>-7.9306688859375404E-3</v>
      </c>
    </row>
    <row r="30" spans="4:18" x14ac:dyDescent="0.25">
      <c r="D30" s="22">
        <v>7.7777777777777779E-2</v>
      </c>
      <c r="E30" s="11">
        <v>56.565462904335291</v>
      </c>
      <c r="F30" s="11">
        <f t="shared" si="8"/>
        <v>4.0269364086881865E-2</v>
      </c>
      <c r="G30" s="11">
        <f t="shared" si="0"/>
        <v>8.7642996324173664E-3</v>
      </c>
      <c r="H30" s="11">
        <f t="shared" si="1"/>
        <v>1.7022474966299658E-2</v>
      </c>
      <c r="I30" s="11">
        <f t="shared" si="2"/>
        <v>0.51486635461462205</v>
      </c>
      <c r="J30" s="11">
        <f t="shared" si="3"/>
        <v>0.10022077675142761</v>
      </c>
      <c r="K30" s="11">
        <f t="shared" si="4"/>
        <v>-7.3134509550096746E-3</v>
      </c>
      <c r="L30" s="11">
        <f t="shared" si="5"/>
        <v>-0.41368873869827527</v>
      </c>
      <c r="M30" s="11">
        <f t="shared" si="6"/>
        <v>0.35373732603372954</v>
      </c>
      <c r="N30" s="11">
        <f>BSCall(E30,$B$3, $B$6 - D30,$B$8,$B$5) - BSPut(E30,$B$4, $B$7 - D30,$B$8, $B$5)</f>
        <v>4.2341333996253477E-2</v>
      </c>
      <c r="O30" s="20">
        <f t="shared" si="7"/>
        <v>-2.0719699093716126E-3</v>
      </c>
    </row>
    <row r="31" spans="4:18" x14ac:dyDescent="0.25">
      <c r="D31" s="22">
        <v>8.0555555555555561E-2</v>
      </c>
      <c r="E31" s="11">
        <v>55.545572675889893</v>
      </c>
      <c r="F31" s="11">
        <f t="shared" si="8"/>
        <v>1.7179290387060842E-2</v>
      </c>
      <c r="G31" s="11">
        <f t="shared" ref="G31:G62" si="9">BSGreeks(E31,$B$3,$B$6 - D31,$B$8, $B$5,$G$1)</f>
        <v>7.7019739633605146E-3</v>
      </c>
      <c r="H31" s="11">
        <f t="shared" si="1"/>
        <v>1.3771300670988088E-2</v>
      </c>
      <c r="I31" s="11">
        <f t="shared" si="2"/>
        <v>0.55927716251132431</v>
      </c>
      <c r="J31" s="11">
        <f t="shared" si="3"/>
        <v>7.5664384375227697E-2</v>
      </c>
      <c r="K31" s="11">
        <f t="shared" ref="K31:K62" si="10">BSGreeks(E31,$B$3,$B$6 - D31,$B$8, $B$5,$K$1) - I31 *BSGreeks(E31,$B$13,$B$14 - D31,$B$8, $B$5,$K$1)</f>
        <v>-1.2807289306685949E-2</v>
      </c>
      <c r="L31" s="11">
        <f t="shared" si="5"/>
        <v>-0.71138821896567184</v>
      </c>
      <c r="M31" s="11">
        <f t="shared" si="6"/>
        <v>0.65290312497750491</v>
      </c>
      <c r="N31" s="11">
        <f t="shared" ref="N31:N62" si="11">BSCall(E31,$B$3, $B$6 - D31,$B$8,$B$5)</f>
        <v>2.1567950633169592E-2</v>
      </c>
      <c r="O31" s="20">
        <f t="shared" si="7"/>
        <v>-4.3886602461087505E-3</v>
      </c>
    </row>
    <row r="32" spans="4:18" x14ac:dyDescent="0.25">
      <c r="D32" s="22">
        <v>8.3333333333333343E-2</v>
      </c>
      <c r="E32" s="11">
        <v>55.487324372777756</v>
      </c>
      <c r="F32" s="11">
        <f t="shared" si="8"/>
        <v>1.5061127434590649E-2</v>
      </c>
      <c r="G32" s="11">
        <f t="shared" si="9"/>
        <v>7.2352888637631473E-3</v>
      </c>
      <c r="H32" s="11">
        <f t="shared" si="1"/>
        <v>1.3500488181067895E-2</v>
      </c>
      <c r="I32" s="11">
        <f t="shared" si="2"/>
        <v>0.53592794325092563</v>
      </c>
      <c r="J32" s="11">
        <f t="shared" si="3"/>
        <v>6.9733080757864774E-2</v>
      </c>
      <c r="K32" s="11">
        <f t="shared" si="10"/>
        <v>-1.2038405355416811E-2</v>
      </c>
      <c r="L32" s="11">
        <f t="shared" si="5"/>
        <v>-0.66797890288699746</v>
      </c>
      <c r="M32" s="11">
        <f t="shared" si="6"/>
        <v>0.61330694956372334</v>
      </c>
      <c r="N32" s="11">
        <f t="shared" si="11"/>
        <v>1.9486693523460129E-2</v>
      </c>
      <c r="O32" s="20">
        <f t="shared" si="7"/>
        <v>-4.4255660888694801E-3</v>
      </c>
    </row>
    <row r="33" spans="4:15" x14ac:dyDescent="0.25">
      <c r="D33" s="22">
        <v>8.611111111111111E-2</v>
      </c>
      <c r="E33" s="11">
        <v>55.864243723888201</v>
      </c>
      <c r="F33" s="11">
        <f t="shared" si="8"/>
        <v>1.8979932663851451E-2</v>
      </c>
      <c r="G33" s="11">
        <f t="shared" si="9"/>
        <v>8.3359479860124121E-3</v>
      </c>
      <c r="H33" s="11">
        <f t="shared" si="1"/>
        <v>1.4526992940358118E-2</v>
      </c>
      <c r="I33" s="11">
        <f t="shared" si="2"/>
        <v>0.57382474268669359</v>
      </c>
      <c r="J33" s="11">
        <f t="shared" si="3"/>
        <v>8.3689174451250209E-2</v>
      </c>
      <c r="K33" s="11">
        <f t="shared" si="10"/>
        <v>-1.4216557053419869E-2</v>
      </c>
      <c r="L33" s="11">
        <f t="shared" si="5"/>
        <v>-0.79419720814680939</v>
      </c>
      <c r="M33" s="11">
        <f t="shared" si="6"/>
        <v>0.7294879663594106</v>
      </c>
      <c r="N33" s="11">
        <f t="shared" si="11"/>
        <v>2.3307946408110198E-2</v>
      </c>
      <c r="O33" s="20">
        <f t="shared" si="7"/>
        <v>-4.328013744258747E-3</v>
      </c>
    </row>
    <row r="34" spans="4:15" x14ac:dyDescent="0.25">
      <c r="D34" s="22">
        <v>8.8888888888888892E-2</v>
      </c>
      <c r="E34" s="11">
        <v>56.273710449917232</v>
      </c>
      <c r="F34" s="11">
        <f t="shared" si="8"/>
        <v>2.4174989222201293E-2</v>
      </c>
      <c r="G34" s="11">
        <f t="shared" si="9"/>
        <v>9.7151891005014829E-3</v>
      </c>
      <c r="H34" s="11">
        <f t="shared" ref="H34:H65" si="12">BSGreeks(E34,$B$13,$B$14 - D34,$B$8, $B$5,$G$1)</f>
        <v>1.5700862106012084E-2</v>
      </c>
      <c r="I34" s="11">
        <f t="shared" ref="I34:I65" si="13">G34/H34</f>
        <v>0.61876787624173823</v>
      </c>
      <c r="J34" s="11">
        <f t="shared" ref="J34:J65" si="14">I34*BSCall(E34,$B$13,$B$14 - D34,$B$8,$B$5)</f>
        <v>0.10208800089655952</v>
      </c>
      <c r="K34" s="11">
        <f t="shared" si="10"/>
        <v>-1.7013793971520249E-2</v>
      </c>
      <c r="L34" s="11">
        <f t="shared" ref="L34:L65" si="15">K34 * E34</f>
        <v>-0.95742931560787781</v>
      </c>
      <c r="M34" s="11">
        <f t="shared" ref="M34:M65" si="16">F34 - L34 - J34</f>
        <v>0.87951630393351954</v>
      </c>
      <c r="N34" s="11">
        <f t="shared" si="11"/>
        <v>2.8382272742394243E-2</v>
      </c>
      <c r="O34" s="20">
        <f t="shared" ref="O34:O65" si="17">F34 - N34</f>
        <v>-4.2072835201929504E-3</v>
      </c>
    </row>
    <row r="35" spans="4:15" x14ac:dyDescent="0.25">
      <c r="D35" s="22">
        <v>9.1666666666666674E-2</v>
      </c>
      <c r="E35" s="11">
        <v>56.825040643050286</v>
      </c>
      <c r="F35" s="11">
        <f t="shared" ref="F35:F66" si="18">E35 * K34 + I34*BSCall(E35,$B$13,$B$14-D35,$B$8,$B$5) +  M34 * EXP($B$8*(D35 - D34))</f>
        <v>3.3537827099882289E-2</v>
      </c>
      <c r="G35" s="11">
        <f t="shared" si="9"/>
        <v>1.1983677544248233E-2</v>
      </c>
      <c r="H35" s="11">
        <f t="shared" si="12"/>
        <v>1.7394423788222094E-2</v>
      </c>
      <c r="I35" s="11">
        <f t="shared" si="13"/>
        <v>0.68893788550572621</v>
      </c>
      <c r="J35" s="11">
        <f t="shared" si="14"/>
        <v>0.13449011375098122</v>
      </c>
      <c r="K35" s="11">
        <f t="shared" si="10"/>
        <v>-2.1716038810647799E-2</v>
      </c>
      <c r="L35" s="11">
        <f t="shared" si="15"/>
        <v>-1.2340147880211185</v>
      </c>
      <c r="M35" s="11">
        <f t="shared" si="16"/>
        <v>1.1330625013700195</v>
      </c>
      <c r="N35" s="11">
        <f t="shared" si="11"/>
        <v>3.7571937422532502E-2</v>
      </c>
      <c r="O35" s="20">
        <f t="shared" si="17"/>
        <v>-4.0341103226502126E-3</v>
      </c>
    </row>
    <row r="36" spans="4:15" x14ac:dyDescent="0.25">
      <c r="D36" s="22">
        <v>9.4444444444444442E-2</v>
      </c>
      <c r="E36" s="11">
        <v>56.343852265584829</v>
      </c>
      <c r="F36" s="11">
        <f t="shared" si="18"/>
        <v>2.1928813201791852E-2</v>
      </c>
      <c r="G36" s="11">
        <f t="shared" si="9"/>
        <v>9.3878846516777664E-3</v>
      </c>
      <c r="H36" s="11">
        <f t="shared" si="12"/>
        <v>1.5722787717662466E-2</v>
      </c>
      <c r="I36" s="11">
        <f t="shared" si="13"/>
        <v>0.59708779513264831</v>
      </c>
      <c r="J36" s="11">
        <f t="shared" si="14"/>
        <v>9.7398423260596029E-2</v>
      </c>
      <c r="K36" s="11">
        <f t="shared" si="10"/>
        <v>-1.6640724047386448E-2</v>
      </c>
      <c r="L36" s="11">
        <f t="shared" si="15"/>
        <v>-0.93760249731830692</v>
      </c>
      <c r="M36" s="11">
        <f t="shared" si="16"/>
        <v>0.86213288725950277</v>
      </c>
      <c r="N36" s="11">
        <f t="shared" si="11"/>
        <v>2.6146567430541341E-2</v>
      </c>
      <c r="O36" s="20">
        <f t="shared" si="17"/>
        <v>-4.2177542287494887E-3</v>
      </c>
    </row>
    <row r="37" spans="4:15" x14ac:dyDescent="0.25">
      <c r="D37" s="22">
        <v>9.7222222222222224E-2</v>
      </c>
      <c r="E37" s="11">
        <v>56.299765105774433</v>
      </c>
      <c r="F37" s="11">
        <f t="shared" si="18"/>
        <v>1.9524971804426028E-2</v>
      </c>
      <c r="G37" s="11">
        <f t="shared" si="9"/>
        <v>8.8807430379439327E-3</v>
      </c>
      <c r="H37" s="11">
        <f t="shared" si="12"/>
        <v>1.5479322149474633E-2</v>
      </c>
      <c r="I37" s="11">
        <f t="shared" si="13"/>
        <v>0.57371653307476034</v>
      </c>
      <c r="J37" s="11">
        <f t="shared" si="14"/>
        <v>9.0534551734525251E-2</v>
      </c>
      <c r="K37" s="11">
        <f t="shared" si="10"/>
        <v>-1.5768486441015396E-2</v>
      </c>
      <c r="L37" s="11">
        <f t="shared" si="15"/>
        <v>-0.88776208270275592</v>
      </c>
      <c r="M37" s="11">
        <f t="shared" si="16"/>
        <v>0.81675250277265665</v>
      </c>
      <c r="N37" s="11">
        <f t="shared" si="11"/>
        <v>2.3784466993427317E-2</v>
      </c>
      <c r="O37" s="20">
        <f t="shared" si="17"/>
        <v>-4.2594951890012889E-3</v>
      </c>
    </row>
    <row r="38" spans="4:15" x14ac:dyDescent="0.25">
      <c r="D38" s="22">
        <v>0.1</v>
      </c>
      <c r="E38" s="11">
        <v>56.96515624944805</v>
      </c>
      <c r="F38" s="11">
        <f t="shared" si="18"/>
        <v>3.0061281077003676E-2</v>
      </c>
      <c r="G38" s="11">
        <f t="shared" si="9"/>
        <v>1.1636429048520225E-2</v>
      </c>
      <c r="H38" s="11">
        <f t="shared" si="12"/>
        <v>1.7568210853118278E-2</v>
      </c>
      <c r="I38" s="11">
        <f t="shared" si="13"/>
        <v>0.66235709178403968</v>
      </c>
      <c r="J38" s="11">
        <f t="shared" si="14"/>
        <v>0.12875792076122794</v>
      </c>
      <c r="K38" s="11">
        <f t="shared" si="10"/>
        <v>-2.1527963614481421E-2</v>
      </c>
      <c r="L38" s="11">
        <f t="shared" si="15"/>
        <v>-1.2263438110313665</v>
      </c>
      <c r="M38" s="11">
        <f t="shared" si="16"/>
        <v>1.1276471713471423</v>
      </c>
      <c r="N38" s="11">
        <f t="shared" si="11"/>
        <v>3.413839667281008E-2</v>
      </c>
      <c r="O38" s="20">
        <f t="shared" si="17"/>
        <v>-4.0771155958064034E-3</v>
      </c>
    </row>
    <row r="39" spans="4:15" x14ac:dyDescent="0.25">
      <c r="D39" s="22">
        <v>0.10277777777777779</v>
      </c>
      <c r="E39" s="11">
        <v>57.536709073894876</v>
      </c>
      <c r="F39" s="11">
        <f t="shared" si="18"/>
        <v>4.1839077001227354E-2</v>
      </c>
      <c r="G39" s="11">
        <f t="shared" si="9"/>
        <v>1.443669879692123E-2</v>
      </c>
      <c r="H39" s="11">
        <f t="shared" si="12"/>
        <v>1.9447269085288158E-2</v>
      </c>
      <c r="I39" s="11">
        <f t="shared" si="13"/>
        <v>0.74235095599322887</v>
      </c>
      <c r="J39" s="11">
        <f t="shared" si="14"/>
        <v>0.17124264083038793</v>
      </c>
      <c r="K39" s="11">
        <f t="shared" si="10"/>
        <v>-2.7677564257647523E-2</v>
      </c>
      <c r="L39" s="11">
        <f t="shared" si="15"/>
        <v>-1.5924759625662968</v>
      </c>
      <c r="M39" s="11">
        <f t="shared" si="16"/>
        <v>1.4630723987371361</v>
      </c>
      <c r="N39" s="11">
        <f t="shared" si="11"/>
        <v>4.56954932351675E-2</v>
      </c>
      <c r="O39" s="20">
        <f t="shared" si="17"/>
        <v>-3.8564162339401464E-3</v>
      </c>
    </row>
    <row r="40" spans="4:15" x14ac:dyDescent="0.25">
      <c r="D40" s="22">
        <v>0.10555555555555556</v>
      </c>
      <c r="E40" s="11">
        <v>57.401889842115501</v>
      </c>
      <c r="F40" s="11">
        <f t="shared" si="18"/>
        <v>3.5594937467705146E-2</v>
      </c>
      <c r="G40" s="11">
        <f t="shared" si="9"/>
        <v>1.3245262437691096E-2</v>
      </c>
      <c r="H40" s="11">
        <f t="shared" si="12"/>
        <v>1.8875608189942092E-2</v>
      </c>
      <c r="I40" s="11">
        <f t="shared" si="13"/>
        <v>0.70171314769867188</v>
      </c>
      <c r="J40" s="11">
        <f t="shared" si="14"/>
        <v>0.15237747921783157</v>
      </c>
      <c r="K40" s="11">
        <f t="shared" si="10"/>
        <v>-2.5325327025578558E-2</v>
      </c>
      <c r="L40" s="11">
        <f t="shared" si="15"/>
        <v>-1.453721632137811</v>
      </c>
      <c r="M40" s="11">
        <f t="shared" si="16"/>
        <v>1.3369390903876845</v>
      </c>
      <c r="N40" s="11">
        <f t="shared" si="11"/>
        <v>3.9561557101999288E-2</v>
      </c>
      <c r="O40" s="20">
        <f t="shared" si="17"/>
        <v>-3.9666196342941426E-3</v>
      </c>
    </row>
    <row r="41" spans="4:15" x14ac:dyDescent="0.25">
      <c r="D41" s="22">
        <v>0.10833333333333334</v>
      </c>
      <c r="E41" s="11">
        <v>57.34748163779814</v>
      </c>
      <c r="F41" s="11">
        <f t="shared" si="18"/>
        <v>3.1824340197770251E-2</v>
      </c>
      <c r="G41" s="11">
        <f t="shared" si="9"/>
        <v>1.2536917847594456E-2</v>
      </c>
      <c r="H41" s="11">
        <f t="shared" si="12"/>
        <v>1.8585162688854476E-2</v>
      </c>
      <c r="I41" s="11">
        <f t="shared" si="13"/>
        <v>0.67456594582908047</v>
      </c>
      <c r="J41" s="11">
        <f t="shared" si="14"/>
        <v>0.14147600163843421</v>
      </c>
      <c r="K41" s="11">
        <f t="shared" si="10"/>
        <v>-2.4009973054541819E-2</v>
      </c>
      <c r="L41" s="11">
        <f t="shared" si="15"/>
        <v>-1.3769114888693652</v>
      </c>
      <c r="M41" s="11">
        <f t="shared" si="16"/>
        <v>1.2672598274287012</v>
      </c>
      <c r="N41" s="11">
        <f t="shared" si="11"/>
        <v>3.5853857285750981E-2</v>
      </c>
      <c r="O41" s="20">
        <f t="shared" si="17"/>
        <v>-4.0295170879807302E-3</v>
      </c>
    </row>
    <row r="42" spans="4:15" x14ac:dyDescent="0.25">
      <c r="D42" s="22">
        <v>0.11111111111111112</v>
      </c>
      <c r="E42" s="11">
        <v>57.115260327043558</v>
      </c>
      <c r="F42" s="11">
        <f t="shared" si="18"/>
        <v>2.4643385261167383E-2</v>
      </c>
      <c r="G42" s="11">
        <f t="shared" si="9"/>
        <v>1.0897431838449359E-2</v>
      </c>
      <c r="H42" s="11">
        <f t="shared" si="12"/>
        <v>1.7673792713650747E-2</v>
      </c>
      <c r="I42" s="11">
        <f t="shared" si="13"/>
        <v>0.61658705717604612</v>
      </c>
      <c r="J42" s="11">
        <f t="shared" si="14"/>
        <v>0.11760451270385829</v>
      </c>
      <c r="K42" s="11">
        <f t="shared" si="10"/>
        <v>-2.0696288803049617E-2</v>
      </c>
      <c r="L42" s="11">
        <f t="shared" si="15"/>
        <v>-1.1820739227898556</v>
      </c>
      <c r="M42" s="11">
        <f t="shared" si="16"/>
        <v>1.0891127953471647</v>
      </c>
      <c r="N42" s="11">
        <f t="shared" si="11"/>
        <v>2.8823771626641188E-2</v>
      </c>
      <c r="O42" s="20">
        <f t="shared" si="17"/>
        <v>-4.1803863654738052E-3</v>
      </c>
    </row>
    <row r="43" spans="4:15" x14ac:dyDescent="0.25">
      <c r="D43" s="22">
        <v>0.11388888888888889</v>
      </c>
      <c r="E43" s="11">
        <v>56.710339939334339</v>
      </c>
      <c r="F43" s="11">
        <f t="shared" si="18"/>
        <v>1.5987201349040969E-2</v>
      </c>
      <c r="G43" s="11">
        <f t="shared" si="9"/>
        <v>8.6033545927563081E-3</v>
      </c>
      <c r="H43" s="11">
        <f t="shared" si="12"/>
        <v>1.6188662583937516E-2</v>
      </c>
      <c r="I43" s="11">
        <f t="shared" si="13"/>
        <v>0.53144319662901651</v>
      </c>
      <c r="J43" s="11">
        <f t="shared" si="14"/>
        <v>8.6638930867270897E-2</v>
      </c>
      <c r="K43" s="11">
        <f t="shared" si="10"/>
        <v>-1.6039481055048509E-2</v>
      </c>
      <c r="L43" s="11">
        <f t="shared" si="15"/>
        <v>-0.90960442308231393</v>
      </c>
      <c r="M43" s="11">
        <f t="shared" si="16"/>
        <v>0.83895269356408397</v>
      </c>
      <c r="N43" s="11">
        <f t="shared" si="11"/>
        <v>2.0356464127231352E-2</v>
      </c>
      <c r="O43" s="20">
        <f t="shared" si="17"/>
        <v>-4.3692627781903824E-3</v>
      </c>
    </row>
    <row r="44" spans="4:15" x14ac:dyDescent="0.25">
      <c r="D44" s="22">
        <v>0.11666666666666667</v>
      </c>
      <c r="E44" s="11">
        <v>57.23116202210214</v>
      </c>
      <c r="F44" s="11">
        <f t="shared" si="18"/>
        <v>2.2782934676801814E-2</v>
      </c>
      <c r="G44" s="11">
        <f t="shared" si="9"/>
        <v>1.0696507306941279E-2</v>
      </c>
      <c r="H44" s="11">
        <f t="shared" si="12"/>
        <v>1.7867779075841746E-2</v>
      </c>
      <c r="I44" s="11">
        <f t="shared" si="13"/>
        <v>0.59864783762653329</v>
      </c>
      <c r="J44" s="11">
        <f t="shared" si="14"/>
        <v>0.11461821676035126</v>
      </c>
      <c r="K44" s="11">
        <f t="shared" si="10"/>
        <v>-2.0636037245897344E-2</v>
      </c>
      <c r="L44" s="11">
        <f t="shared" si="15"/>
        <v>-1.1810243911140852</v>
      </c>
      <c r="M44" s="11">
        <f t="shared" si="16"/>
        <v>1.0891891090305357</v>
      </c>
      <c r="N44" s="11">
        <f t="shared" si="11"/>
        <v>2.6967201422451483E-2</v>
      </c>
      <c r="O44" s="20">
        <f t="shared" si="17"/>
        <v>-4.1842667456496695E-3</v>
      </c>
    </row>
    <row r="45" spans="4:15" x14ac:dyDescent="0.25">
      <c r="D45" s="22">
        <v>0.11944444444444445</v>
      </c>
      <c r="E45" s="11">
        <v>57.300850386259526</v>
      </c>
      <c r="F45" s="11">
        <f t="shared" si="18"/>
        <v>2.2059212447141485E-2</v>
      </c>
      <c r="G45" s="11">
        <f t="shared" si="9"/>
        <v>1.0646372010510167E-2</v>
      </c>
      <c r="H45" s="11">
        <f t="shared" si="12"/>
        <v>1.8007094721366607E-2</v>
      </c>
      <c r="I45" s="11">
        <f t="shared" si="13"/>
        <v>0.59123207687009849</v>
      </c>
      <c r="J45" s="11">
        <f t="shared" si="14"/>
        <v>0.11385609193487023</v>
      </c>
      <c r="K45" s="11">
        <f t="shared" si="10"/>
        <v>-2.071686487068862E-2</v>
      </c>
      <c r="L45" s="11">
        <f t="shared" si="15"/>
        <v>-1.1870939744276845</v>
      </c>
      <c r="M45" s="11">
        <f t="shared" si="16"/>
        <v>1.0952970949399559</v>
      </c>
      <c r="N45" s="11">
        <f t="shared" si="11"/>
        <v>2.623682264674446E-2</v>
      </c>
      <c r="O45" s="20">
        <f t="shared" si="17"/>
        <v>-4.1776101996029748E-3</v>
      </c>
    </row>
    <row r="46" spans="4:15" x14ac:dyDescent="0.25">
      <c r="D46" s="22">
        <v>0.12222222222222223</v>
      </c>
      <c r="E46" s="11">
        <v>57.361398161439617</v>
      </c>
      <c r="F46" s="11">
        <f t="shared" si="18"/>
        <v>2.1154100005326804E-2</v>
      </c>
      <c r="G46" s="11">
        <f t="shared" si="9"/>
        <v>1.0541453007108315E-2</v>
      </c>
      <c r="H46" s="11">
        <f t="shared" si="12"/>
        <v>1.8115041506963334E-2</v>
      </c>
      <c r="I46" s="11">
        <f t="shared" si="13"/>
        <v>0.58191713240382203</v>
      </c>
      <c r="J46" s="11">
        <f t="shared" si="14"/>
        <v>0.1123581044162545</v>
      </c>
      <c r="K46" s="11">
        <f t="shared" si="10"/>
        <v>-2.0680601835063185E-2</v>
      </c>
      <c r="L46" s="11">
        <f t="shared" si="15"/>
        <v>-1.1862682360792582</v>
      </c>
      <c r="M46" s="11">
        <f t="shared" si="16"/>
        <v>1.0950642316683306</v>
      </c>
      <c r="N46" s="11">
        <f t="shared" si="11"/>
        <v>2.5330566318565118E-2</v>
      </c>
      <c r="O46" s="20">
        <f t="shared" si="17"/>
        <v>-4.176466313238314E-3</v>
      </c>
    </row>
    <row r="47" spans="4:15" x14ac:dyDescent="0.25">
      <c r="D47" s="22">
        <v>0.125</v>
      </c>
      <c r="E47" s="11">
        <v>57.559297694744352</v>
      </c>
      <c r="F47" s="11">
        <f t="shared" si="18"/>
        <v>2.2768437382040263E-2</v>
      </c>
      <c r="G47" s="11">
        <f t="shared" si="9"/>
        <v>1.1169239669260447E-2</v>
      </c>
      <c r="H47" s="11">
        <f t="shared" si="12"/>
        <v>1.8719027462762435E-2</v>
      </c>
      <c r="I47" s="11">
        <f t="shared" si="13"/>
        <v>0.59667841673288302</v>
      </c>
      <c r="J47" s="11">
        <f t="shared" si="14"/>
        <v>0.12101013389955713</v>
      </c>
      <c r="K47" s="11">
        <f t="shared" si="10"/>
        <v>-2.2268434660594246E-2</v>
      </c>
      <c r="L47" s="11">
        <f t="shared" si="15"/>
        <v>-1.2817554598251075</v>
      </c>
      <c r="M47" s="11">
        <f t="shared" si="16"/>
        <v>1.1835137633075907</v>
      </c>
      <c r="N47" s="11">
        <f t="shared" si="11"/>
        <v>2.6863705699120114E-2</v>
      </c>
      <c r="O47" s="20">
        <f t="shared" si="17"/>
        <v>-4.0952683170798511E-3</v>
      </c>
    </row>
    <row r="48" spans="4:15" x14ac:dyDescent="0.25">
      <c r="D48" s="22">
        <v>0.1277777777777778</v>
      </c>
      <c r="E48" s="11">
        <v>56.741338229524331</v>
      </c>
      <c r="F48" s="11">
        <f t="shared" si="18"/>
        <v>9.4111647021073441E-3</v>
      </c>
      <c r="G48" s="11">
        <f t="shared" si="9"/>
        <v>6.9145686632841605E-3</v>
      </c>
      <c r="H48" s="11">
        <f t="shared" si="12"/>
        <v>1.5736553239772976E-2</v>
      </c>
      <c r="I48" s="11">
        <f t="shared" si="13"/>
        <v>0.43939537190444594</v>
      </c>
      <c r="J48" s="11">
        <f t="shared" si="14"/>
        <v>6.582375058062373E-2</v>
      </c>
      <c r="K48" s="11">
        <f t="shared" si="10"/>
        <v>-1.3203627070086224E-2</v>
      </c>
      <c r="L48" s="11">
        <f t="shared" si="15"/>
        <v>-0.74919146944026582</v>
      </c>
      <c r="M48" s="11">
        <f t="shared" si="16"/>
        <v>0.69277888356174944</v>
      </c>
      <c r="N48" s="11">
        <f t="shared" si="11"/>
        <v>1.3646680307466925E-2</v>
      </c>
      <c r="O48" s="20">
        <f t="shared" si="17"/>
        <v>-4.2355156053595806E-3</v>
      </c>
    </row>
    <row r="49" spans="4:15" x14ac:dyDescent="0.25">
      <c r="D49" s="22">
        <v>0.13055555555555556</v>
      </c>
      <c r="E49" s="11">
        <v>57.076690979291719</v>
      </c>
      <c r="F49" s="11">
        <f t="shared" si="18"/>
        <v>1.1905749366735163E-2</v>
      </c>
      <c r="G49" s="11">
        <f t="shared" si="9"/>
        <v>7.9218485288536002E-3</v>
      </c>
      <c r="H49" s="11">
        <f t="shared" si="12"/>
        <v>1.6776981593708381E-2</v>
      </c>
      <c r="I49" s="11">
        <f t="shared" si="13"/>
        <v>0.47218556476359325</v>
      </c>
      <c r="J49" s="11">
        <f t="shared" si="14"/>
        <v>7.8141856865850651E-2</v>
      </c>
      <c r="K49" s="11">
        <f t="shared" si="10"/>
        <v>-1.550130112936259E-2</v>
      </c>
      <c r="L49" s="11">
        <f t="shared" si="15"/>
        <v>-0.88476297433757434</v>
      </c>
      <c r="M49" s="11">
        <f t="shared" si="16"/>
        <v>0.81852686683845888</v>
      </c>
      <c r="N49" s="11">
        <f t="shared" si="11"/>
        <v>1.6026334836868588E-2</v>
      </c>
      <c r="O49" s="20">
        <f t="shared" si="17"/>
        <v>-4.1205854701334248E-3</v>
      </c>
    </row>
    <row r="50" spans="4:15" x14ac:dyDescent="0.25">
      <c r="D50" s="22">
        <v>0.13333333333333333</v>
      </c>
      <c r="E50" s="11">
        <v>56.688419878494742</v>
      </c>
      <c r="F50" s="11">
        <f t="shared" si="18"/>
        <v>6.5052941450053359E-3</v>
      </c>
      <c r="G50" s="11">
        <f t="shared" si="9"/>
        <v>5.9949887832484432E-3</v>
      </c>
      <c r="H50" s="11">
        <f t="shared" si="12"/>
        <v>1.5325863235695939E-2</v>
      </c>
      <c r="I50" s="11">
        <f t="shared" si="13"/>
        <v>0.39116809872642805</v>
      </c>
      <c r="J50" s="11">
        <f t="shared" si="14"/>
        <v>5.5244295556428763E-2</v>
      </c>
      <c r="K50" s="11">
        <f t="shared" si="10"/>
        <v>-1.1514304855409978E-2</v>
      </c>
      <c r="L50" s="11">
        <f t="shared" si="15"/>
        <v>-0.6527277482524716</v>
      </c>
      <c r="M50" s="11">
        <f t="shared" si="16"/>
        <v>0.6039887468410482</v>
      </c>
      <c r="N50" s="11">
        <f t="shared" si="11"/>
        <v>1.0795691590462831E-2</v>
      </c>
      <c r="O50" s="20">
        <f t="shared" si="17"/>
        <v>-4.2903974454574952E-3</v>
      </c>
    </row>
    <row r="51" spans="4:15" x14ac:dyDescent="0.25">
      <c r="D51" s="22">
        <v>0.13611111111111113</v>
      </c>
      <c r="E51" s="11">
        <v>55.749492459368703</v>
      </c>
      <c r="F51" s="11">
        <f t="shared" si="18"/>
        <v>1.1448230518606994E-4</v>
      </c>
      <c r="G51" s="11">
        <f t="shared" si="9"/>
        <v>3.060075018349821E-3</v>
      </c>
      <c r="H51" s="11">
        <f t="shared" si="12"/>
        <v>1.2206126153608578E-2</v>
      </c>
      <c r="I51" s="11">
        <f t="shared" si="13"/>
        <v>0.25069993377425076</v>
      </c>
      <c r="J51" s="11">
        <f t="shared" si="14"/>
        <v>2.4364190362090161E-2</v>
      </c>
      <c r="K51" s="11">
        <f t="shared" si="10"/>
        <v>-5.5740221456291438E-3</v>
      </c>
      <c r="L51" s="11">
        <f t="shared" si="15"/>
        <v>-0.31074890557610613</v>
      </c>
      <c r="M51" s="11">
        <f t="shared" si="16"/>
        <v>0.28649919751920205</v>
      </c>
      <c r="N51" s="11">
        <f t="shared" si="11"/>
        <v>4.4166696955494703E-3</v>
      </c>
      <c r="O51" s="20">
        <f t="shared" si="17"/>
        <v>-4.3021873903634003E-3</v>
      </c>
    </row>
    <row r="52" spans="4:15" x14ac:dyDescent="0.25">
      <c r="D52" s="22">
        <v>0.1388888888888889</v>
      </c>
      <c r="E52" s="11">
        <v>55.401068903538992</v>
      </c>
      <c r="F52" s="11">
        <f t="shared" si="18"/>
        <v>-1.5375842662672112E-3</v>
      </c>
      <c r="G52" s="11">
        <f t="shared" si="9"/>
        <v>2.1952466425845777E-3</v>
      </c>
      <c r="H52" s="11">
        <f t="shared" si="12"/>
        <v>1.1065984788105103E-2</v>
      </c>
      <c r="I52" s="11">
        <f t="shared" si="13"/>
        <v>0.19837788363348033</v>
      </c>
      <c r="J52" s="11">
        <f t="shared" si="14"/>
        <v>1.6425146788134143E-2</v>
      </c>
      <c r="K52" s="11">
        <f t="shared" si="10"/>
        <v>-3.9291364688451179E-3</v>
      </c>
      <c r="L52" s="11">
        <f t="shared" si="15"/>
        <v>-0.21767836024189627</v>
      </c>
      <c r="M52" s="11">
        <f t="shared" si="16"/>
        <v>0.19971562918749491</v>
      </c>
      <c r="N52" s="11">
        <f t="shared" si="11"/>
        <v>2.8402779307374524E-3</v>
      </c>
      <c r="O52" s="20">
        <f t="shared" si="17"/>
        <v>-4.377862197004664E-3</v>
      </c>
    </row>
    <row r="53" spans="4:15" x14ac:dyDescent="0.25">
      <c r="D53" s="22">
        <v>0.14166666666666666</v>
      </c>
      <c r="E53" s="11">
        <v>56.42998669723255</v>
      </c>
      <c r="F53" s="11">
        <f t="shared" si="18"/>
        <v>1.9211422647108511E-3</v>
      </c>
      <c r="G53" s="11">
        <f t="shared" si="9"/>
        <v>4.1702323503660663E-3</v>
      </c>
      <c r="H53" s="11">
        <f t="shared" si="12"/>
        <v>1.4106182097437279E-2</v>
      </c>
      <c r="I53" s="11">
        <f t="shared" si="13"/>
        <v>0.29563154094853827</v>
      </c>
      <c r="J53" s="11">
        <f t="shared" si="14"/>
        <v>3.5643302193584477E-2</v>
      </c>
      <c r="K53" s="11">
        <f t="shared" si="10"/>
        <v>-7.9904898790413154E-3</v>
      </c>
      <c r="L53" s="11">
        <f t="shared" si="15"/>
        <v>-0.45090323757867273</v>
      </c>
      <c r="M53" s="11">
        <f t="shared" si="16"/>
        <v>0.41718107764979911</v>
      </c>
      <c r="N53" s="11">
        <f t="shared" si="11"/>
        <v>6.2685051792517842E-3</v>
      </c>
      <c r="O53" s="20">
        <f t="shared" si="17"/>
        <v>-4.347362914540933E-3</v>
      </c>
    </row>
    <row r="54" spans="4:15" x14ac:dyDescent="0.25">
      <c r="D54" s="22">
        <v>0.14444444444444446</v>
      </c>
      <c r="E54" s="11">
        <v>56.165857113478403</v>
      </c>
      <c r="F54" s="11">
        <f t="shared" si="18"/>
        <v>-5.7356503647632007E-5</v>
      </c>
      <c r="G54" s="11">
        <f t="shared" si="9"/>
        <v>3.212414788637361E-3</v>
      </c>
      <c r="H54" s="11">
        <f t="shared" si="12"/>
        <v>1.3130610126034477E-2</v>
      </c>
      <c r="I54" s="11">
        <f t="shared" si="13"/>
        <v>0.24465083935955148</v>
      </c>
      <c r="J54" s="11">
        <f t="shared" si="14"/>
        <v>2.6097501198240072E-2</v>
      </c>
      <c r="K54" s="11">
        <f t="shared" si="10"/>
        <v>-6.0816151615740019E-3</v>
      </c>
      <c r="L54" s="11">
        <f t="shared" si="15"/>
        <v>-0.34157912818412928</v>
      </c>
      <c r="M54" s="11">
        <f t="shared" si="16"/>
        <v>0.31542427048224159</v>
      </c>
      <c r="N54" s="11">
        <f t="shared" si="11"/>
        <v>4.3817672485521736E-3</v>
      </c>
      <c r="O54" s="20">
        <f t="shared" si="17"/>
        <v>-4.4391237521998056E-3</v>
      </c>
    </row>
    <row r="55" spans="4:15" x14ac:dyDescent="0.25">
      <c r="D55" s="22">
        <v>0.14722222222222223</v>
      </c>
      <c r="E55" s="11">
        <v>56.39280322762653</v>
      </c>
      <c r="F55" s="11">
        <f t="shared" si="18"/>
        <v>3.161168492964439E-4</v>
      </c>
      <c r="G55" s="11">
        <f t="shared" si="9"/>
        <v>3.4701576405855587E-3</v>
      </c>
      <c r="H55" s="11">
        <f t="shared" si="12"/>
        <v>1.3738142770313254E-2</v>
      </c>
      <c r="I55" s="11">
        <f t="shared" si="13"/>
        <v>0.2525929231194351</v>
      </c>
      <c r="J55" s="11">
        <f t="shared" si="14"/>
        <v>2.8740829981876406E-2</v>
      </c>
      <c r="K55" s="11">
        <f t="shared" si="10"/>
        <v>-6.692964823381416E-3</v>
      </c>
      <c r="L55" s="11">
        <f t="shared" si="15"/>
        <v>-0.37743504829437435</v>
      </c>
      <c r="M55" s="11">
        <f t="shared" si="16"/>
        <v>0.34901033516179442</v>
      </c>
      <c r="N55" s="11">
        <f t="shared" si="11"/>
        <v>4.7162064385739199E-3</v>
      </c>
      <c r="O55" s="20">
        <f t="shared" si="17"/>
        <v>-4.400089589277476E-3</v>
      </c>
    </row>
    <row r="56" spans="4:15" x14ac:dyDescent="0.25">
      <c r="D56" s="22">
        <v>0.15</v>
      </c>
      <c r="E56" s="11">
        <v>56.187729864712125</v>
      </c>
      <c r="F56" s="11">
        <f t="shared" si="18"/>
        <v>-1.0720728574018512E-3</v>
      </c>
      <c r="G56" s="11">
        <f t="shared" si="9"/>
        <v>2.7343071641603529E-3</v>
      </c>
      <c r="H56" s="11">
        <f t="shared" si="12"/>
        <v>1.2951791296873464E-2</v>
      </c>
      <c r="I56" s="11">
        <f t="shared" si="13"/>
        <v>0.21111420818064056</v>
      </c>
      <c r="J56" s="11">
        <f t="shared" si="14"/>
        <v>2.1700891640097839E-2</v>
      </c>
      <c r="K56" s="11">
        <f t="shared" si="10"/>
        <v>-5.229071128013435E-3</v>
      </c>
      <c r="L56" s="11">
        <f t="shared" si="15"/>
        <v>-0.29380963598418441</v>
      </c>
      <c r="M56" s="11">
        <f t="shared" si="16"/>
        <v>0.2710366714866847</v>
      </c>
      <c r="N56" s="11">
        <f t="shared" si="11"/>
        <v>3.4004606597703934E-3</v>
      </c>
      <c r="O56" s="20">
        <f t="shared" si="17"/>
        <v>-4.472533517172245E-3</v>
      </c>
    </row>
    <row r="57" spans="4:15" x14ac:dyDescent="0.25">
      <c r="D57" s="22">
        <v>0.15277777777777779</v>
      </c>
      <c r="E57" s="11">
        <v>55.99353414176344</v>
      </c>
      <c r="F57" s="11">
        <f t="shared" si="18"/>
        <v>-2.1023428498000429E-3</v>
      </c>
      <c r="G57" s="11">
        <f t="shared" si="9"/>
        <v>2.1334511969790782E-3</v>
      </c>
      <c r="H57" s="11">
        <f t="shared" si="12"/>
        <v>1.2216853887586676E-2</v>
      </c>
      <c r="I57" s="11">
        <f t="shared" si="13"/>
        <v>0.17463180100294393</v>
      </c>
      <c r="J57" s="11">
        <f t="shared" si="14"/>
        <v>1.6248608113562112E-2</v>
      </c>
      <c r="K57" s="11">
        <f t="shared" si="10"/>
        <v>-4.0475059427324545E-3</v>
      </c>
      <c r="L57" s="11">
        <f t="shared" si="15"/>
        <v>-0.22663416219338012</v>
      </c>
      <c r="M57" s="11">
        <f t="shared" si="16"/>
        <v>0.20828321123001797</v>
      </c>
      <c r="N57" s="11">
        <f t="shared" si="11"/>
        <v>2.4293083574172206E-3</v>
      </c>
      <c r="O57" s="20">
        <f t="shared" si="17"/>
        <v>-4.5316512072172636E-3</v>
      </c>
    </row>
    <row r="58" spans="4:15" x14ac:dyDescent="0.25">
      <c r="D58" s="22">
        <v>0.15555555555555556</v>
      </c>
      <c r="E58" s="11">
        <v>55.731223166931642</v>
      </c>
      <c r="F58" s="11">
        <f t="shared" si="18"/>
        <v>-3.0041605220301748E-3</v>
      </c>
      <c r="G58" s="11">
        <f t="shared" si="9"/>
        <v>1.5425575509659761E-3</v>
      </c>
      <c r="H58" s="11">
        <f t="shared" si="12"/>
        <v>1.1295880769455407E-2</v>
      </c>
      <c r="I58" s="11">
        <f t="shared" si="13"/>
        <v>0.13655929824765187</v>
      </c>
      <c r="J58" s="11">
        <f t="shared" si="14"/>
        <v>1.1163471022516237E-2</v>
      </c>
      <c r="K58" s="11">
        <f t="shared" si="10"/>
        <v>-2.8899696786331393E-3</v>
      </c>
      <c r="L58" s="11">
        <f t="shared" si="15"/>
        <v>-0.16106154510556919</v>
      </c>
      <c r="M58" s="11">
        <f t="shared" si="16"/>
        <v>0.14689391356102277</v>
      </c>
      <c r="N58" s="11">
        <f t="shared" si="11"/>
        <v>1.5847474779906775E-3</v>
      </c>
      <c r="O58" s="20">
        <f t="shared" si="17"/>
        <v>-4.5889080000208523E-3</v>
      </c>
    </row>
    <row r="59" spans="4:15" x14ac:dyDescent="0.25">
      <c r="D59" s="22">
        <v>0.15833333333333333</v>
      </c>
      <c r="E59" s="11">
        <v>55.269598995682429</v>
      </c>
      <c r="F59" s="11">
        <f t="shared" si="18"/>
        <v>-3.8341427574398457E-3</v>
      </c>
      <c r="G59" s="11">
        <f t="shared" si="9"/>
        <v>9.0577706836688179E-4</v>
      </c>
      <c r="H59" s="11">
        <f t="shared" si="12"/>
        <v>9.8526383425498153E-3</v>
      </c>
      <c r="I59" s="11">
        <f t="shared" si="13"/>
        <v>9.193243848758495E-2</v>
      </c>
      <c r="J59" s="11">
        <f t="shared" si="14"/>
        <v>6.0540542700371503E-3</v>
      </c>
      <c r="K59" s="11">
        <f t="shared" si="10"/>
        <v>-1.6538150229161237E-3</v>
      </c>
      <c r="L59" s="11">
        <f t="shared" si="15"/>
        <v>-9.14056931296095E-2</v>
      </c>
      <c r="M59" s="11">
        <f t="shared" si="16"/>
        <v>8.1517496102132506E-2</v>
      </c>
      <c r="N59" s="11">
        <f t="shared" si="11"/>
        <v>8.0700382737064274E-4</v>
      </c>
      <c r="O59" s="20">
        <f t="shared" si="17"/>
        <v>-4.6411465848104887E-3</v>
      </c>
    </row>
    <row r="60" spans="4:15" x14ac:dyDescent="0.25">
      <c r="D60" s="22">
        <v>0.16111111111111112</v>
      </c>
      <c r="E60" s="11">
        <v>54.806936959801064</v>
      </c>
      <c r="F60" s="11">
        <f t="shared" si="18"/>
        <v>-4.2868593804321897E-3</v>
      </c>
      <c r="G60" s="11">
        <f t="shared" si="9"/>
        <v>5.0137345645587402E-4</v>
      </c>
      <c r="H60" s="11">
        <f t="shared" si="12"/>
        <v>8.5162029262858749E-3</v>
      </c>
      <c r="I60" s="11">
        <f t="shared" si="13"/>
        <v>5.8872887458840215E-2</v>
      </c>
      <c r="J60" s="11">
        <f t="shared" si="14"/>
        <v>3.0947356275402081E-3</v>
      </c>
      <c r="K60" s="11">
        <f t="shared" si="10"/>
        <v>-8.9171319565845876E-4</v>
      </c>
      <c r="L60" s="11">
        <f t="shared" si="15"/>
        <v>-4.88720689006759E-2</v>
      </c>
      <c r="M60" s="11">
        <f t="shared" si="16"/>
        <v>4.1490473892703501E-2</v>
      </c>
      <c r="N60" s="11">
        <f t="shared" si="11"/>
        <v>3.8692602208329553E-4</v>
      </c>
      <c r="O60" s="20">
        <f t="shared" si="17"/>
        <v>-4.6737854025154851E-3</v>
      </c>
    </row>
    <row r="61" spans="4:15" x14ac:dyDescent="0.25">
      <c r="D61" s="22">
        <v>0.16388888888888889</v>
      </c>
      <c r="E61" s="11">
        <v>54.697415497927743</v>
      </c>
      <c r="F61" s="11">
        <f t="shared" si="18"/>
        <v>-4.4152861954898232E-3</v>
      </c>
      <c r="G61" s="11">
        <f t="shared" si="9"/>
        <v>3.7871736228879796E-4</v>
      </c>
      <c r="H61" s="11">
        <f t="shared" si="12"/>
        <v>8.1264862462273046E-3</v>
      </c>
      <c r="I61" s="11">
        <f t="shared" si="13"/>
        <v>4.6602842952526535E-2</v>
      </c>
      <c r="J61" s="11">
        <f t="shared" si="14"/>
        <v>2.269315750858127E-3</v>
      </c>
      <c r="K61" s="11">
        <f t="shared" si="10"/>
        <v>-6.7133993096875832E-4</v>
      </c>
      <c r="L61" s="11">
        <f t="shared" si="15"/>
        <v>-3.6720559144548304E-2</v>
      </c>
      <c r="M61" s="11">
        <f t="shared" si="16"/>
        <v>3.0035957198200354E-2</v>
      </c>
      <c r="N61" s="11">
        <f t="shared" si="11"/>
        <v>2.7007566285429808E-4</v>
      </c>
      <c r="O61" s="20">
        <f t="shared" si="17"/>
        <v>-4.6853618583441213E-3</v>
      </c>
    </row>
    <row r="62" spans="4:15" x14ac:dyDescent="0.25">
      <c r="D62" s="22">
        <v>0.16666666666666669</v>
      </c>
      <c r="E62" s="11">
        <v>54.872190262446018</v>
      </c>
      <c r="F62" s="11">
        <f t="shared" si="18"/>
        <v>-4.4187701872530696E-3</v>
      </c>
      <c r="G62" s="11">
        <f t="shared" si="9"/>
        <v>3.8018274629038448E-4</v>
      </c>
      <c r="H62" s="11">
        <f t="shared" si="12"/>
        <v>8.440513354992768E-3</v>
      </c>
      <c r="I62" s="11">
        <f t="shared" si="13"/>
        <v>4.504260941255394E-2</v>
      </c>
      <c r="J62" s="11">
        <f t="shared" si="14"/>
        <v>2.3020879203694018E-3</v>
      </c>
      <c r="K62" s="11">
        <f t="shared" si="10"/>
        <v>-6.8446284371163164E-4</v>
      </c>
      <c r="L62" s="11">
        <f t="shared" si="15"/>
        <v>-3.7557975387719503E-2</v>
      </c>
      <c r="M62" s="11">
        <f t="shared" si="16"/>
        <v>3.0837117280097033E-2</v>
      </c>
      <c r="N62" s="11">
        <f t="shared" si="11"/>
        <v>2.6376408091932613E-4</v>
      </c>
      <c r="O62" s="20">
        <f t="shared" si="17"/>
        <v>-4.6825342681723961E-3</v>
      </c>
    </row>
    <row r="63" spans="4:15" x14ac:dyDescent="0.25">
      <c r="D63" s="22">
        <v>0.16944444444444445</v>
      </c>
      <c r="E63" s="11">
        <v>54.468851500357452</v>
      </c>
      <c r="F63" s="11">
        <f t="shared" si="18"/>
        <v>-4.5772856297187012E-3</v>
      </c>
      <c r="G63" s="11">
        <f t="shared" ref="G63:G91" si="19">BSGreeks(E63,$B$3,$B$6 - D63,$B$8, $B$5,$G$1)</f>
        <v>2.0029019634306325E-4</v>
      </c>
      <c r="H63" s="11">
        <f t="shared" si="12"/>
        <v>7.3499122243493725E-3</v>
      </c>
      <c r="I63" s="11">
        <f t="shared" si="13"/>
        <v>2.7250692284395722E-2</v>
      </c>
      <c r="J63" s="11">
        <f t="shared" si="14"/>
        <v>1.1290059852521791E-3</v>
      </c>
      <c r="K63" s="11">
        <f t="shared" ref="K63:K91" si="20">BSGreeks(E63,$B$3,$B$6 - D63,$B$8, $B$5,$K$1) - I63 *BSGreeks(E63,$B$13,$B$14 - D63,$B$8, $B$5,$K$1)</f>
        <v>-3.5241183400733971E-4</v>
      </c>
      <c r="L63" s="11">
        <f t="shared" si="15"/>
        <v>-1.9195467853514406E-2</v>
      </c>
      <c r="M63" s="11">
        <f t="shared" si="16"/>
        <v>1.3489176238543526E-2</v>
      </c>
      <c r="N63" s="11">
        <f t="shared" ref="N63:N91" si="21">BSCall(E63,$B$3, $B$6 - D63,$B$8,$B$5)</f>
        <v>1.2096692809229878E-4</v>
      </c>
      <c r="O63" s="20">
        <f t="shared" si="17"/>
        <v>-4.6982525578109996E-3</v>
      </c>
    </row>
    <row r="64" spans="4:15" x14ac:dyDescent="0.25">
      <c r="D64" s="22">
        <v>0.17222222222222222</v>
      </c>
      <c r="E64" s="11">
        <v>54.749672122240831</v>
      </c>
      <c r="F64" s="11">
        <f t="shared" si="18"/>
        <v>-4.5607240734316032E-3</v>
      </c>
      <c r="G64" s="11">
        <f t="shared" si="19"/>
        <v>2.231813207565833E-4</v>
      </c>
      <c r="H64" s="11">
        <f t="shared" si="12"/>
        <v>7.8963378432240459E-3</v>
      </c>
      <c r="I64" s="11">
        <f t="shared" si="13"/>
        <v>2.8263902227549473E-2</v>
      </c>
      <c r="J64" s="11">
        <f t="shared" si="14"/>
        <v>1.2901832638358846E-3</v>
      </c>
      <c r="K64" s="11">
        <f t="shared" si="20"/>
        <v>-4.0170287421418464E-4</v>
      </c>
      <c r="L64" s="11">
        <f t="shared" si="15"/>
        <v>-2.1993100653788362E-2</v>
      </c>
      <c r="M64" s="11">
        <f t="shared" si="16"/>
        <v>1.6142193316520875E-2</v>
      </c>
      <c r="N64" s="11">
        <f t="shared" si="21"/>
        <v>1.3317253600503206E-4</v>
      </c>
      <c r="O64" s="20">
        <f t="shared" si="17"/>
        <v>-4.6938966094366352E-3</v>
      </c>
    </row>
    <row r="65" spans="4:15" x14ac:dyDescent="0.25">
      <c r="D65" s="22">
        <v>0.17500000000000002</v>
      </c>
      <c r="E65" s="11">
        <v>54.883319976900879</v>
      </c>
      <c r="F65" s="11">
        <f t="shared" si="18"/>
        <v>-4.5741529294570371E-3</v>
      </c>
      <c r="G65" s="11">
        <f t="shared" si="19"/>
        <v>2.0893011987399977E-4</v>
      </c>
      <c r="H65" s="11">
        <f t="shared" si="12"/>
        <v>8.1030641554111146E-3</v>
      </c>
      <c r="I65" s="11">
        <f t="shared" si="13"/>
        <v>2.5784088076666541E-2</v>
      </c>
      <c r="J65" s="11">
        <f t="shared" si="14"/>
        <v>1.2130565844509283E-3</v>
      </c>
      <c r="K65" s="11">
        <f t="shared" si="20"/>
        <v>-3.8096633646547614E-4</v>
      </c>
      <c r="L65" s="11">
        <f t="shared" si="15"/>
        <v>-2.0908697344662407E-2</v>
      </c>
      <c r="M65" s="11">
        <f t="shared" si="16"/>
        <v>1.512148783075444E-2</v>
      </c>
      <c r="N65" s="11">
        <f t="shared" si="21"/>
        <v>1.1955048186569034E-4</v>
      </c>
      <c r="O65" s="20">
        <f t="shared" si="17"/>
        <v>-4.6937034113227272E-3</v>
      </c>
    </row>
    <row r="66" spans="4:15" x14ac:dyDescent="0.25">
      <c r="D66" s="22">
        <v>0.17777777777777778</v>
      </c>
      <c r="E66" s="11">
        <v>55.036540270403464</v>
      </c>
      <c r="F66" s="11">
        <f t="shared" si="18"/>
        <v>-4.5838258194399323E-3</v>
      </c>
      <c r="G66" s="11">
        <f t="shared" si="19"/>
        <v>1.9867947891112159E-4</v>
      </c>
      <c r="H66" s="11">
        <f t="shared" ref="H66:H91" si="22">BSGreeks(E66,$B$13,$B$14 - D66,$B$8, $B$5,$G$1)</f>
        <v>8.3643496167553899E-3</v>
      </c>
      <c r="I66" s="11">
        <f t="shared" ref="I66:I91" si="23">G66/H66</f>
        <v>2.3753129414046569E-2</v>
      </c>
      <c r="J66" s="11">
        <f t="shared" ref="J66:J91" si="24">I66*BSCall(E66,$B$13,$B$14 - D66,$B$8,$B$5)</f>
        <v>1.1617504877913872E-3</v>
      </c>
      <c r="K66" s="11">
        <f t="shared" si="20"/>
        <v>-3.6754078673632146E-4</v>
      </c>
      <c r="L66" s="11">
        <f t="shared" ref="L66:L91" si="25">K66 * E66</f>
        <v>-2.0228173310229327E-2</v>
      </c>
      <c r="M66" s="11">
        <f t="shared" ref="M66:M91" si="26">F66 - L66 - J66</f>
        <v>1.4482597002998008E-2</v>
      </c>
      <c r="N66" s="11">
        <f t="shared" si="21"/>
        <v>1.0917219399879289E-4</v>
      </c>
      <c r="O66" s="20">
        <f t="shared" ref="O66:O91" si="27">F66 - N66</f>
        <v>-4.6929980134387253E-3</v>
      </c>
    </row>
    <row r="67" spans="4:15" x14ac:dyDescent="0.25">
      <c r="D67" s="22">
        <v>0.18055555555555555</v>
      </c>
      <c r="E67" s="11">
        <v>54.218957349502588</v>
      </c>
      <c r="F67" s="11">
        <f t="shared" ref="F67:F92" si="28">E67 * K66 + I66*BSCall(E67,$B$13,$B$14-D67,$B$8,$B$5) +  M66 * EXP($B$8*(D67 - D66))</f>
        <v>-4.6723372425327685E-3</v>
      </c>
      <c r="G67" s="11">
        <f t="shared" si="19"/>
        <v>5.3081019082743099E-5</v>
      </c>
      <c r="H67" s="11">
        <f t="shared" si="22"/>
        <v>6.3396009828498804E-3</v>
      </c>
      <c r="I67" s="11">
        <f t="shared" si="23"/>
        <v>8.3729274486422419E-3</v>
      </c>
      <c r="J67" s="11">
        <f t="shared" si="24"/>
        <v>2.7216371204743871E-4</v>
      </c>
      <c r="K67" s="11">
        <f t="shared" si="20"/>
        <v>-9.3248414023686956E-5</v>
      </c>
      <c r="L67" s="11">
        <f t="shared" si="25"/>
        <v>-5.0558317828590417E-3</v>
      </c>
      <c r="M67" s="11">
        <f t="shared" si="26"/>
        <v>1.1133082827883444E-4</v>
      </c>
      <c r="N67" s="11">
        <f t="shared" si="21"/>
        <v>2.3193729324140397E-5</v>
      </c>
      <c r="O67" s="20">
        <f t="shared" si="27"/>
        <v>-4.695530971856909E-3</v>
      </c>
    </row>
    <row r="68" spans="4:15" x14ac:dyDescent="0.25">
      <c r="D68" s="22">
        <v>0.18333333333333335</v>
      </c>
      <c r="E68" s="11">
        <v>53.250408046481645</v>
      </c>
      <c r="F68" s="11">
        <f t="shared" si="28"/>
        <v>-4.691070954183185E-3</v>
      </c>
      <c r="G68" s="11">
        <f t="shared" si="19"/>
        <v>9.014936357222892E-6</v>
      </c>
      <c r="H68" s="11">
        <f t="shared" si="22"/>
        <v>4.4225354710325298E-3</v>
      </c>
      <c r="I68" s="11">
        <f t="shared" si="23"/>
        <v>2.038409056585401E-3</v>
      </c>
      <c r="J68" s="11">
        <f t="shared" si="24"/>
        <v>3.970936217722391E-5</v>
      </c>
      <c r="K68" s="11">
        <f t="shared" si="20"/>
        <v>-1.4877287837107112E-5</v>
      </c>
      <c r="L68" s="11">
        <f t="shared" si="25"/>
        <v>-7.9222164795091207E-4</v>
      </c>
      <c r="M68" s="11">
        <f t="shared" si="26"/>
        <v>-3.938558668409497E-3</v>
      </c>
      <c r="N68" s="11">
        <f t="shared" si="21"/>
        <v>3.0475215493551564E-6</v>
      </c>
      <c r="O68" s="20">
        <f t="shared" si="27"/>
        <v>-4.6941184757325399E-3</v>
      </c>
    </row>
    <row r="69" spans="4:15" x14ac:dyDescent="0.25">
      <c r="D69" s="22">
        <v>0.18611111111111112</v>
      </c>
      <c r="E69" s="11">
        <v>52.67868687668728</v>
      </c>
      <c r="F69" s="11">
        <f t="shared" si="28"/>
        <v>-4.6940871662147906E-3</v>
      </c>
      <c r="G69" s="11">
        <f t="shared" si="19"/>
        <v>2.2651857476730219E-6</v>
      </c>
      <c r="H69" s="11">
        <f t="shared" si="22"/>
        <v>3.4756250212214725E-3</v>
      </c>
      <c r="I69" s="11">
        <f t="shared" si="23"/>
        <v>6.5173479125114181E-4</v>
      </c>
      <c r="J69" s="11">
        <f t="shared" si="24"/>
        <v>9.0682753154864514E-6</v>
      </c>
      <c r="K69" s="11">
        <f t="shared" si="20"/>
        <v>-3.6070957854137832E-6</v>
      </c>
      <c r="L69" s="11">
        <f t="shared" si="25"/>
        <v>-1.9001706941403106E-4</v>
      </c>
      <c r="M69" s="11">
        <f t="shared" si="26"/>
        <v>-4.5131383721162465E-3</v>
      </c>
      <c r="N69" s="11">
        <f t="shared" si="21"/>
        <v>6.3673665320088165E-7</v>
      </c>
      <c r="O69" s="20">
        <f t="shared" si="27"/>
        <v>-4.6947239028679918E-3</v>
      </c>
    </row>
    <row r="70" spans="4:15" x14ac:dyDescent="0.25">
      <c r="D70" s="22">
        <v>0.18888888888888888</v>
      </c>
      <c r="E70" s="11">
        <v>52.299873951709841</v>
      </c>
      <c r="F70" s="11">
        <f t="shared" si="28"/>
        <v>-4.6948995690510899E-3</v>
      </c>
      <c r="G70" s="11">
        <f t="shared" si="19"/>
        <v>6.8295645289873326E-7</v>
      </c>
      <c r="H70" s="11">
        <f t="shared" si="22"/>
        <v>2.910371702792406E-3</v>
      </c>
      <c r="I70" s="11">
        <f t="shared" si="23"/>
        <v>2.3466296495511517E-4</v>
      </c>
      <c r="J70" s="11">
        <f t="shared" si="24"/>
        <v>2.5528348687968138E-6</v>
      </c>
      <c r="K70" s="11">
        <f t="shared" si="20"/>
        <v>-1.0631374412344581E-6</v>
      </c>
      <c r="L70" s="11">
        <f t="shared" si="25"/>
        <v>-5.5601954169905487E-5</v>
      </c>
      <c r="M70" s="11">
        <f t="shared" si="26"/>
        <v>-4.6418504497499815E-3</v>
      </c>
      <c r="N70" s="11">
        <f t="shared" si="21"/>
        <v>1.6479397437325788E-7</v>
      </c>
      <c r="O70" s="20">
        <f t="shared" si="27"/>
        <v>-4.6950643630254635E-3</v>
      </c>
    </row>
    <row r="71" spans="4:15" x14ac:dyDescent="0.25">
      <c r="D71" s="22">
        <v>0.19166666666666668</v>
      </c>
      <c r="E71" s="11">
        <v>52.160754327168839</v>
      </c>
      <c r="F71" s="11">
        <f t="shared" si="28"/>
        <v>-4.6952461207361885E-3</v>
      </c>
      <c r="G71" s="11">
        <f t="shared" si="19"/>
        <v>2.9087974994555713E-7</v>
      </c>
      <c r="H71" s="11">
        <f t="shared" si="22"/>
        <v>2.6747912370987024E-3</v>
      </c>
      <c r="I71" s="11">
        <f t="shared" si="23"/>
        <v>1.0874858041671661E-4</v>
      </c>
      <c r="J71" s="11">
        <f t="shared" si="24"/>
        <v>1.0495124723361658E-6</v>
      </c>
      <c r="K71" s="11">
        <f t="shared" si="20"/>
        <v>-4.4993328155829439E-7</v>
      </c>
      <c r="L71" s="11">
        <f t="shared" si="25"/>
        <v>-2.3468859362979079E-5</v>
      </c>
      <c r="M71" s="11">
        <f t="shared" si="26"/>
        <v>-4.6728267738455455E-3</v>
      </c>
      <c r="N71" s="11">
        <f t="shared" si="21"/>
        <v>6.263603441545539E-8</v>
      </c>
      <c r="O71" s="20">
        <f t="shared" si="27"/>
        <v>-4.6953087567706041E-3</v>
      </c>
    </row>
    <row r="72" spans="4:15" x14ac:dyDescent="0.25">
      <c r="D72" s="22">
        <v>0.19444444444444445</v>
      </c>
      <c r="E72" s="11">
        <v>52.279607568319825</v>
      </c>
      <c r="F72" s="11">
        <f t="shared" si="28"/>
        <v>-4.6954825280093801E-3</v>
      </c>
      <c r="G72" s="11">
        <f t="shared" si="19"/>
        <v>1.9572225790023058E-7</v>
      </c>
      <c r="H72" s="11">
        <f t="shared" si="22"/>
        <v>2.7368074953016928E-3</v>
      </c>
      <c r="I72" s="11">
        <f t="shared" si="23"/>
        <v>7.1514806297567186E-5</v>
      </c>
      <c r="J72" s="11">
        <f t="shared" si="24"/>
        <v>7.0645518765011939E-7</v>
      </c>
      <c r="K72" s="11">
        <f t="shared" si="20"/>
        <v>-3.0621938113049202E-7</v>
      </c>
      <c r="L72" s="11">
        <f t="shared" si="25"/>
        <v>-1.6009029075315884E-5</v>
      </c>
      <c r="M72" s="11">
        <f t="shared" si="26"/>
        <v>-4.6801799541217144E-3</v>
      </c>
      <c r="N72" s="11">
        <f t="shared" si="21"/>
        <v>3.920594220861169E-8</v>
      </c>
      <c r="O72" s="20">
        <f t="shared" si="27"/>
        <v>-4.695521733951589E-3</v>
      </c>
    </row>
    <row r="73" spans="4:15" x14ac:dyDescent="0.25">
      <c r="D73" s="22">
        <v>0.19722222222222224</v>
      </c>
      <c r="E73" s="11">
        <v>51.973149465792524</v>
      </c>
      <c r="F73" s="11">
        <f t="shared" si="28"/>
        <v>-4.6957352630220897E-3</v>
      </c>
      <c r="G73" s="11">
        <f t="shared" si="19"/>
        <v>4.8698239335163907E-8</v>
      </c>
      <c r="H73" s="11">
        <f t="shared" si="22"/>
        <v>2.3337524404632342E-3</v>
      </c>
      <c r="I73" s="11">
        <f t="shared" si="23"/>
        <v>2.0866925939024463E-5</v>
      </c>
      <c r="J73" s="11">
        <f t="shared" si="24"/>
        <v>1.6570143092274071E-7</v>
      </c>
      <c r="K73" s="11">
        <f t="shared" si="20"/>
        <v>-7.4829553266025277E-8</v>
      </c>
      <c r="L73" s="11">
        <f t="shared" si="25"/>
        <v>-3.8891275563536153E-6</v>
      </c>
      <c r="M73" s="11">
        <f t="shared" si="26"/>
        <v>-4.692011836896659E-3</v>
      </c>
      <c r="N73" s="11">
        <f t="shared" si="21"/>
        <v>8.3681710186402314E-9</v>
      </c>
      <c r="O73" s="20">
        <f t="shared" si="27"/>
        <v>-4.6957436311931087E-3</v>
      </c>
    </row>
    <row r="74" spans="4:15" x14ac:dyDescent="0.25">
      <c r="D74" s="22">
        <v>0.2</v>
      </c>
      <c r="E74" s="11">
        <v>52.51216519176301</v>
      </c>
      <c r="F74" s="11">
        <f t="shared" si="28"/>
        <v>-4.6959346051551011E-3</v>
      </c>
      <c r="G74" s="11">
        <f t="shared" si="19"/>
        <v>7.5792693448959723E-8</v>
      </c>
      <c r="H74" s="11">
        <f t="shared" si="22"/>
        <v>2.8582793092919744E-3</v>
      </c>
      <c r="I74" s="11">
        <f t="shared" si="23"/>
        <v>2.6516895393170783E-5</v>
      </c>
      <c r="J74" s="11">
        <f t="shared" si="24"/>
        <v>2.7350875880341346E-7</v>
      </c>
      <c r="K74" s="11">
        <f t="shared" si="20"/>
        <v>-1.2130938974741883E-7</v>
      </c>
      <c r="L74" s="11">
        <f t="shared" si="25"/>
        <v>-6.3702187137284196E-6</v>
      </c>
      <c r="M74" s="11">
        <f t="shared" si="26"/>
        <v>-4.6898378952001767E-3</v>
      </c>
      <c r="N74" s="11">
        <f t="shared" si="21"/>
        <v>1.2933069420845332E-8</v>
      </c>
      <c r="O74" s="20">
        <f t="shared" si="27"/>
        <v>-4.695947538224522E-3</v>
      </c>
    </row>
    <row r="75" spans="4:15" x14ac:dyDescent="0.25">
      <c r="D75" s="22">
        <v>0.20277777777777778</v>
      </c>
      <c r="E75" s="11">
        <v>53.217868979703269</v>
      </c>
      <c r="F75" s="11">
        <f t="shared" si="28"/>
        <v>-4.6961158746771066E-3</v>
      </c>
      <c r="G75" s="11">
        <f t="shared" si="19"/>
        <v>1.6952849118623384E-7</v>
      </c>
      <c r="H75" s="11">
        <f t="shared" si="22"/>
        <v>3.7159839228275808E-3</v>
      </c>
      <c r="I75" s="11">
        <f t="shared" si="23"/>
        <v>4.5621427516089887E-5</v>
      </c>
      <c r="J75" s="11">
        <f t="shared" si="24"/>
        <v>6.645982845386961E-7</v>
      </c>
      <c r="K75" s="11">
        <f t="shared" si="20"/>
        <v>-2.8611869780276527E-7</v>
      </c>
      <c r="L75" s="11">
        <f t="shared" si="25"/>
        <v>-1.5226627372310875E-5</v>
      </c>
      <c r="M75" s="11">
        <f t="shared" si="26"/>
        <v>-4.6815538455893344E-3</v>
      </c>
      <c r="N75" s="11">
        <f t="shared" si="21"/>
        <v>2.9522136749678373E-8</v>
      </c>
      <c r="O75" s="20">
        <f t="shared" si="27"/>
        <v>-4.6961453968138566E-3</v>
      </c>
    </row>
    <row r="76" spans="4:15" x14ac:dyDescent="0.25">
      <c r="D76" s="22">
        <v>0.20555555555555557</v>
      </c>
      <c r="E76" s="11">
        <v>53.257689288844432</v>
      </c>
      <c r="F76" s="11">
        <f t="shared" si="28"/>
        <v>-4.6963485673598834E-3</v>
      </c>
      <c r="G76" s="11">
        <f t="shared" si="19"/>
        <v>7.9936927982400773E-8</v>
      </c>
      <c r="H76" s="11">
        <f t="shared" si="22"/>
        <v>3.6822980053540016E-3</v>
      </c>
      <c r="I76" s="11">
        <f t="shared" si="23"/>
        <v>2.1708435293985921E-5</v>
      </c>
      <c r="J76" s="11">
        <f t="shared" si="24"/>
        <v>3.0994822283902314E-7</v>
      </c>
      <c r="K76" s="11">
        <f t="shared" si="20"/>
        <v>-1.3577881040072357E-7</v>
      </c>
      <c r="L76" s="11">
        <f t="shared" si="25"/>
        <v>-7.2312656963306543E-6</v>
      </c>
      <c r="M76" s="11">
        <f t="shared" si="26"/>
        <v>-4.6894272498863923E-3</v>
      </c>
      <c r="N76" s="11">
        <f t="shared" si="21"/>
        <v>1.2483311850986083E-8</v>
      </c>
      <c r="O76" s="20">
        <f t="shared" si="27"/>
        <v>-4.6963610506717346E-3</v>
      </c>
    </row>
    <row r="77" spans="4:15" x14ac:dyDescent="0.25">
      <c r="D77" s="22">
        <v>0.20833333333333334</v>
      </c>
      <c r="E77" s="11">
        <v>53.099643399196673</v>
      </c>
      <c r="F77" s="11">
        <f t="shared" si="28"/>
        <v>-4.6965730433153824E-3</v>
      </c>
      <c r="G77" s="11">
        <f t="shared" si="19"/>
        <v>2.0475236576047055E-8</v>
      </c>
      <c r="H77" s="11">
        <f t="shared" si="22"/>
        <v>3.3660646498185815E-3</v>
      </c>
      <c r="I77" s="11">
        <f t="shared" si="23"/>
        <v>6.0828411531402391E-6</v>
      </c>
      <c r="J77" s="11">
        <f t="shared" si="24"/>
        <v>7.6338463353820277E-8</v>
      </c>
      <c r="K77" s="11">
        <f t="shared" si="20"/>
        <v>-3.4513125668494823E-8</v>
      </c>
      <c r="L77" s="11">
        <f t="shared" si="25"/>
        <v>-1.8326346655887363E-6</v>
      </c>
      <c r="M77" s="11">
        <f t="shared" si="26"/>
        <v>-4.6948167471131475E-3</v>
      </c>
      <c r="N77" s="11">
        <f t="shared" si="21"/>
        <v>2.741347811494206E-9</v>
      </c>
      <c r="O77" s="20">
        <f t="shared" si="27"/>
        <v>-4.6965757846631935E-3</v>
      </c>
    </row>
    <row r="78" spans="4:15" x14ac:dyDescent="0.25">
      <c r="D78" s="22">
        <v>0.21111111111111111</v>
      </c>
      <c r="E78" s="11">
        <v>51.54577790640559</v>
      </c>
      <c r="F78" s="11">
        <f t="shared" si="28"/>
        <v>-4.6967750089106355E-3</v>
      </c>
      <c r="G78" s="11">
        <f t="shared" si="19"/>
        <v>6.2573424327192231E-11</v>
      </c>
      <c r="H78" s="11">
        <f t="shared" si="22"/>
        <v>1.6407693902560105E-3</v>
      </c>
      <c r="I78" s="11">
        <f t="shared" si="23"/>
        <v>3.8136635592299083E-8</v>
      </c>
      <c r="J78" s="11">
        <f t="shared" si="24"/>
        <v>1.8437016377937901E-10</v>
      </c>
      <c r="K78" s="11">
        <f t="shared" si="20"/>
        <v>-9.4785972360517162E-11</v>
      </c>
      <c r="L78" s="11">
        <f t="shared" si="25"/>
        <v>-4.8858166799379165E-9</v>
      </c>
      <c r="M78" s="11">
        <f t="shared" si="26"/>
        <v>-4.6967703074641196E-3</v>
      </c>
      <c r="N78" s="11">
        <f t="shared" si="21"/>
        <v>5.5172444882832271E-12</v>
      </c>
      <c r="O78" s="20">
        <f t="shared" si="27"/>
        <v>-4.6967750144278802E-3</v>
      </c>
    </row>
    <row r="79" spans="4:15" x14ac:dyDescent="0.25">
      <c r="D79" s="22">
        <v>0.21388888888888891</v>
      </c>
      <c r="E79" s="11">
        <v>51.183077075022631</v>
      </c>
      <c r="F79" s="11">
        <f t="shared" si="28"/>
        <v>-4.6969837695397584E-3</v>
      </c>
      <c r="G79" s="11">
        <f t="shared" si="19"/>
        <v>3.2790874995101803E-12</v>
      </c>
      <c r="H79" s="11">
        <f t="shared" si="22"/>
        <v>1.327259820432198E-3</v>
      </c>
      <c r="I79" s="11">
        <f t="shared" si="23"/>
        <v>2.4705694009801374E-9</v>
      </c>
      <c r="J79" s="11">
        <f t="shared" si="24"/>
        <v>9.0272453047931623E-12</v>
      </c>
      <c r="K79" s="11">
        <f t="shared" si="20"/>
        <v>-4.8564305570946102E-12</v>
      </c>
      <c r="L79" s="11">
        <f t="shared" si="25"/>
        <v>-2.4856705951326851E-10</v>
      </c>
      <c r="M79" s="11">
        <f t="shared" si="26"/>
        <v>-4.6969835299999442E-3</v>
      </c>
      <c r="N79" s="11">
        <f t="shared" si="21"/>
        <v>2.3464553885960353E-13</v>
      </c>
      <c r="O79" s="20">
        <f t="shared" si="27"/>
        <v>-4.696983769774404E-3</v>
      </c>
    </row>
    <row r="80" spans="4:15" x14ac:dyDescent="0.25">
      <c r="D80" s="22">
        <v>0.21666666666666667</v>
      </c>
      <c r="E80" s="11">
        <v>50.65508256055697</v>
      </c>
      <c r="F80" s="11">
        <f t="shared" si="28"/>
        <v>-4.6971925294110846E-3</v>
      </c>
      <c r="G80" s="11">
        <f t="shared" si="19"/>
        <v>5.0845804829225981E-14</v>
      </c>
      <c r="H80" s="11">
        <f t="shared" si="22"/>
        <v>9.7487604564381681E-4</v>
      </c>
      <c r="I80" s="11">
        <f t="shared" si="23"/>
        <v>5.2156174168426677E-11</v>
      </c>
      <c r="J80" s="11">
        <f t="shared" si="24"/>
        <v>1.2781378395420246E-13</v>
      </c>
      <c r="K80" s="11">
        <f t="shared" si="20"/>
        <v>-7.2765747293116975E-14</v>
      </c>
      <c r="L80" s="11">
        <f t="shared" si="25"/>
        <v>-3.6859549367134648E-12</v>
      </c>
      <c r="M80" s="11">
        <f t="shared" si="26"/>
        <v>-4.697192525852943E-3</v>
      </c>
      <c r="N80" s="11">
        <f t="shared" si="21"/>
        <v>2.8360063791543308E-15</v>
      </c>
      <c r="O80" s="20">
        <f t="shared" si="27"/>
        <v>-4.6971925294139209E-3</v>
      </c>
    </row>
    <row r="81" spans="4:15" x14ac:dyDescent="0.25">
      <c r="D81" s="22">
        <v>0.21944444444444444</v>
      </c>
      <c r="E81" s="11">
        <v>50.856077873873396</v>
      </c>
      <c r="F81" s="11">
        <f t="shared" si="28"/>
        <v>-4.6974012981672725E-3</v>
      </c>
      <c r="G81" s="11">
        <f t="shared" si="19"/>
        <v>9.0105181506313702E-15</v>
      </c>
      <c r="H81" s="11">
        <f t="shared" si="22"/>
        <v>1.04054342502736E-3</v>
      </c>
      <c r="I81" s="11">
        <f t="shared" si="23"/>
        <v>8.6594349970492085E-12</v>
      </c>
      <c r="J81" s="11">
        <f t="shared" si="24"/>
        <v>2.2875788878121072E-14</v>
      </c>
      <c r="K81" s="11">
        <f t="shared" si="20"/>
        <v>-1.3117293002192753E-14</v>
      </c>
      <c r="L81" s="11">
        <f t="shared" si="25"/>
        <v>-6.6709407441392917E-13</v>
      </c>
      <c r="M81" s="11">
        <f t="shared" si="26"/>
        <v>-4.6974012975230543E-3</v>
      </c>
      <c r="N81" s="11">
        <f t="shared" si="21"/>
        <v>4.3901557685280869E-16</v>
      </c>
      <c r="O81" s="20">
        <f t="shared" si="27"/>
        <v>-4.6974012981677114E-3</v>
      </c>
    </row>
    <row r="82" spans="4:15" x14ac:dyDescent="0.25">
      <c r="D82" s="22">
        <v>0.22222222222222224</v>
      </c>
      <c r="E82" s="11">
        <v>51.972309242103378</v>
      </c>
      <c r="F82" s="11">
        <f t="shared" si="28"/>
        <v>-4.6976100761910418E-3</v>
      </c>
      <c r="G82" s="11">
        <f t="shared" si="19"/>
        <v>7.1555505481826429E-14</v>
      </c>
      <c r="H82" s="11">
        <f t="shared" si="22"/>
        <v>1.7526386989597828E-3</v>
      </c>
      <c r="I82" s="11">
        <f t="shared" si="23"/>
        <v>4.0827299730569505E-11</v>
      </c>
      <c r="J82" s="11">
        <f t="shared" si="24"/>
        <v>2.0851961641624686E-13</v>
      </c>
      <c r="K82" s="11">
        <f t="shared" si="20"/>
        <v>-1.1316184616617127E-13</v>
      </c>
      <c r="L82" s="11">
        <f t="shared" si="25"/>
        <v>-5.8812824633555834E-12</v>
      </c>
      <c r="M82" s="11">
        <f t="shared" si="26"/>
        <v>-4.6976100705182792E-3</v>
      </c>
      <c r="N82" s="11">
        <f t="shared" si="21"/>
        <v>3.5345042177596884E-15</v>
      </c>
      <c r="O82" s="20">
        <f t="shared" si="27"/>
        <v>-4.6976100761945763E-3</v>
      </c>
    </row>
    <row r="83" spans="4:15" x14ac:dyDescent="0.25">
      <c r="D83" s="22">
        <v>0.22500000000000001</v>
      </c>
      <c r="E83" s="11">
        <v>51.705939048753116</v>
      </c>
      <c r="F83" s="11">
        <f t="shared" si="28"/>
        <v>-4.6978188635117858E-3</v>
      </c>
      <c r="G83" s="11">
        <f t="shared" si="19"/>
        <v>8.1007097607529935E-16</v>
      </c>
      <c r="H83" s="11">
        <f t="shared" si="22"/>
        <v>1.4848964457858692E-3</v>
      </c>
      <c r="I83" s="11">
        <f t="shared" si="23"/>
        <v>5.4554038321950183E-13</v>
      </c>
      <c r="J83" s="11">
        <f t="shared" si="24"/>
        <v>2.2330373385563334E-15</v>
      </c>
      <c r="K83" s="11">
        <f t="shared" si="20"/>
        <v>-1.2607882906733212E-15</v>
      </c>
      <c r="L83" s="11">
        <f t="shared" si="25"/>
        <v>-6.5190242510936378E-14</v>
      </c>
      <c r="M83" s="11">
        <f t="shared" si="26"/>
        <v>-4.6978188634488292E-3</v>
      </c>
      <c r="N83" s="11">
        <f t="shared" si="21"/>
        <v>3.1003482422846384E-17</v>
      </c>
      <c r="O83" s="20">
        <f t="shared" si="27"/>
        <v>-4.697818863511817E-3</v>
      </c>
    </row>
    <row r="84" spans="4:15" x14ac:dyDescent="0.25">
      <c r="D84" s="22">
        <v>0.22777777777777777</v>
      </c>
      <c r="E84" s="11">
        <v>51.324505674549471</v>
      </c>
      <c r="F84" s="11">
        <f t="shared" si="28"/>
        <v>-4.6980276601012666E-3</v>
      </c>
      <c r="G84" s="11">
        <f t="shared" si="19"/>
        <v>1.4687446830841303E-18</v>
      </c>
      <c r="H84" s="11">
        <f t="shared" si="22"/>
        <v>1.1775922315646321E-3</v>
      </c>
      <c r="I84" s="11">
        <f t="shared" si="23"/>
        <v>1.2472438622770571E-15</v>
      </c>
      <c r="J84" s="11">
        <f t="shared" si="24"/>
        <v>3.7680579489869734E-18</v>
      </c>
      <c r="K84" s="11">
        <f t="shared" si="20"/>
        <v>-2.2309318320598017E-18</v>
      </c>
      <c r="L84" s="11">
        <f t="shared" si="25"/>
        <v>-1.1450147347408635E-16</v>
      </c>
      <c r="M84" s="11">
        <f t="shared" si="26"/>
        <v>-4.6980276601011556E-3</v>
      </c>
      <c r="N84" s="11">
        <f t="shared" si="21"/>
        <v>4.1619366134480641E-20</v>
      </c>
      <c r="O84" s="20">
        <f t="shared" si="27"/>
        <v>-4.6980276601012666E-3</v>
      </c>
    </row>
    <row r="85" spans="4:15" x14ac:dyDescent="0.25">
      <c r="D85" s="22">
        <v>0.23055555555555557</v>
      </c>
      <c r="E85" s="11">
        <v>51.958676154006774</v>
      </c>
      <c r="F85" s="11">
        <f t="shared" si="28"/>
        <v>-4.6982364659706993E-3</v>
      </c>
      <c r="G85" s="11">
        <f t="shared" si="19"/>
        <v>3.1065303411534852E-19</v>
      </c>
      <c r="H85" s="11">
        <f t="shared" si="22"/>
        <v>1.562550707771007E-3</v>
      </c>
      <c r="I85" s="11">
        <f t="shared" si="23"/>
        <v>1.988114898098238E-16</v>
      </c>
      <c r="J85" s="11">
        <f t="shared" si="24"/>
        <v>8.5521978561276789E-19</v>
      </c>
      <c r="K85" s="11">
        <f t="shared" si="20"/>
        <v>-4.9563913332040144E-19</v>
      </c>
      <c r="L85" s="11">
        <f t="shared" si="25"/>
        <v>-2.5752753217447327E-17</v>
      </c>
      <c r="M85" s="11">
        <f t="shared" si="26"/>
        <v>-4.6982364659706741E-3</v>
      </c>
      <c r="N85" s="11">
        <f t="shared" si="21"/>
        <v>7.5991816248858599E-21</v>
      </c>
      <c r="O85" s="20">
        <f t="shared" si="27"/>
        <v>-4.6982364659706993E-3</v>
      </c>
    </row>
    <row r="86" spans="4:15" x14ac:dyDescent="0.25">
      <c r="D86" s="22">
        <v>0.23333333333333334</v>
      </c>
      <c r="E86" s="11">
        <v>51.343141070343016</v>
      </c>
      <c r="F86" s="11">
        <f t="shared" si="28"/>
        <v>-4.6984452811205998E-3</v>
      </c>
      <c r="G86" s="11">
        <f t="shared" si="19"/>
        <v>3.2190741939260089E-24</v>
      </c>
      <c r="H86" s="11">
        <f t="shared" si="22"/>
        <v>1.0959380918616718E-3</v>
      </c>
      <c r="I86" s="11">
        <f t="shared" si="23"/>
        <v>2.9372774044725121E-21</v>
      </c>
      <c r="J86" s="11">
        <f t="shared" si="24"/>
        <v>7.9757256536504597E-24</v>
      </c>
      <c r="K86" s="11">
        <f t="shared" si="20"/>
        <v>-4.9265974935813699E-24</v>
      </c>
      <c r="L86" s="11">
        <f t="shared" si="25"/>
        <v>-2.5294699010974662E-22</v>
      </c>
      <c r="M86" s="11">
        <f t="shared" si="26"/>
        <v>-4.6984452811205998E-3</v>
      </c>
      <c r="N86" s="11">
        <f t="shared" si="21"/>
        <v>5.1902907309815995E-26</v>
      </c>
      <c r="O86" s="20">
        <f t="shared" si="27"/>
        <v>-4.6984452811205998E-3</v>
      </c>
    </row>
    <row r="87" spans="4:15" x14ac:dyDescent="0.25">
      <c r="D87" s="22">
        <v>0.23611111111111113</v>
      </c>
      <c r="E87" s="11">
        <v>51.44059639543535</v>
      </c>
      <c r="F87" s="11">
        <f t="shared" si="28"/>
        <v>-4.6986541055513802E-3</v>
      </c>
      <c r="G87" s="11">
        <f t="shared" si="19"/>
        <v>2.1086238450402941E-28</v>
      </c>
      <c r="H87" s="11">
        <f t="shared" si="22"/>
        <v>1.1067155733931694E-3</v>
      </c>
      <c r="I87" s="11">
        <f t="shared" si="23"/>
        <v>1.905298791969912E-25</v>
      </c>
      <c r="J87" s="11">
        <f t="shared" si="24"/>
        <v>5.1965784115823749E-28</v>
      </c>
      <c r="K87" s="11">
        <f t="shared" si="20"/>
        <v>-3.2603094851741902E-28</v>
      </c>
      <c r="L87" s="11">
        <f t="shared" si="25"/>
        <v>-1.6771226435105513E-26</v>
      </c>
      <c r="M87" s="11">
        <f t="shared" si="26"/>
        <v>-4.6986541055513802E-3</v>
      </c>
      <c r="N87" s="11">
        <f t="shared" si="21"/>
        <v>2.4133008414556879E-30</v>
      </c>
      <c r="O87" s="20">
        <f t="shared" si="27"/>
        <v>-4.6986541055513802E-3</v>
      </c>
    </row>
    <row r="88" spans="4:15" x14ac:dyDescent="0.25">
      <c r="D88" s="22">
        <v>0.2388888888888889</v>
      </c>
      <c r="E88" s="11">
        <v>51.590015990062838</v>
      </c>
      <c r="F88" s="11">
        <f t="shared" si="28"/>
        <v>-4.6988629392634524E-3</v>
      </c>
      <c r="G88" s="11">
        <f t="shared" si="19"/>
        <v>1.9536844802163841E-34</v>
      </c>
      <c r="H88" s="11">
        <f t="shared" si="22"/>
        <v>1.1486033004489723E-3</v>
      </c>
      <c r="I88" s="11">
        <f t="shared" si="23"/>
        <v>1.7009218756838999E-31</v>
      </c>
      <c r="J88" s="11">
        <f t="shared" si="24"/>
        <v>4.8234853643862919E-34</v>
      </c>
      <c r="K88" s="11">
        <f t="shared" si="20"/>
        <v>-3.0637342922937401E-34</v>
      </c>
      <c r="L88" s="11">
        <f t="shared" si="25"/>
        <v>-1.580581011287379E-32</v>
      </c>
      <c r="M88" s="11">
        <f t="shared" si="26"/>
        <v>-4.6988629392634524E-3</v>
      </c>
      <c r="N88" s="11">
        <f t="shared" si="21"/>
        <v>1.4771221191488595E-36</v>
      </c>
      <c r="O88" s="20">
        <f t="shared" si="27"/>
        <v>-4.6988629392634524E-3</v>
      </c>
    </row>
    <row r="89" spans="4:15" x14ac:dyDescent="0.25">
      <c r="D89" s="22">
        <v>0.24166666666666667</v>
      </c>
      <c r="E89" s="11">
        <v>51.744483132031654</v>
      </c>
      <c r="F89" s="11">
        <f t="shared" si="28"/>
        <v>-4.6990717822572295E-3</v>
      </c>
      <c r="G89" s="11">
        <f t="shared" si="19"/>
        <v>1.7293898310175483E-44</v>
      </c>
      <c r="H89" s="11">
        <f t="shared" si="22"/>
        <v>1.1950406434767509E-3</v>
      </c>
      <c r="I89" s="11">
        <f t="shared" si="23"/>
        <v>1.447138924067224E-41</v>
      </c>
      <c r="J89" s="11">
        <f t="shared" si="24"/>
        <v>4.2799718162484154E-44</v>
      </c>
      <c r="K89" s="11">
        <f t="shared" si="20"/>
        <v>-2.751977602378377E-44</v>
      </c>
      <c r="L89" s="11">
        <f t="shared" si="25"/>
        <v>-1.4239965862599684E-42</v>
      </c>
      <c r="M89" s="11">
        <f t="shared" si="26"/>
        <v>-4.6990717822572295E-3</v>
      </c>
      <c r="N89" s="11">
        <f t="shared" si="21"/>
        <v>7.6019462501078568E-47</v>
      </c>
      <c r="O89" s="20">
        <f t="shared" si="27"/>
        <v>-4.6990717822572295E-3</v>
      </c>
    </row>
    <row r="90" spans="4:15" x14ac:dyDescent="0.25">
      <c r="D90" s="22">
        <v>0.24444444444444446</v>
      </c>
      <c r="E90" s="11">
        <v>52.023230716218166</v>
      </c>
      <c r="F90" s="11">
        <f t="shared" si="28"/>
        <v>-4.6992806345331232E-3</v>
      </c>
      <c r="G90" s="11">
        <f t="shared" si="19"/>
        <v>1.8274870594116238E-63</v>
      </c>
      <c r="H90" s="11">
        <f t="shared" si="22"/>
        <v>1.3268437756963557E-3</v>
      </c>
      <c r="I90" s="11">
        <f t="shared" si="23"/>
        <v>1.3773189375309236E-60</v>
      </c>
      <c r="J90" s="11">
        <f t="shared" si="24"/>
        <v>4.6137248846982137E-63</v>
      </c>
      <c r="K90" s="11">
        <f t="shared" si="20"/>
        <v>-2.9788435890748276E-63</v>
      </c>
      <c r="L90" s="11">
        <f t="shared" si="25"/>
        <v>-1.5496906730196714E-61</v>
      </c>
      <c r="M90" s="11">
        <f t="shared" si="26"/>
        <v>-4.6992806345331232E-3</v>
      </c>
      <c r="N90" s="11">
        <f t="shared" si="21"/>
        <v>3.779269749406784E-66</v>
      </c>
      <c r="O90" s="20">
        <f t="shared" si="27"/>
        <v>-4.6992806345331232E-3</v>
      </c>
    </row>
    <row r="91" spans="4:15" x14ac:dyDescent="0.25">
      <c r="D91" s="23">
        <v>0.24722222222222223</v>
      </c>
      <c r="E91" s="13">
        <v>52.593948978364743</v>
      </c>
      <c r="F91" s="13">
        <f t="shared" si="28"/>
        <v>-4.6994894960915466E-3</v>
      </c>
      <c r="G91" s="13">
        <f t="shared" si="19"/>
        <v>2.5822247633802631E-115</v>
      </c>
      <c r="H91" s="13">
        <f t="shared" si="22"/>
        <v>1.7068020130699881E-3</v>
      </c>
      <c r="I91" s="13">
        <f t="shared" si="23"/>
        <v>1.5129023422790971E-112</v>
      </c>
      <c r="J91" s="13">
        <f t="shared" si="24"/>
        <v>6.9340221452979298E-115</v>
      </c>
      <c r="K91" s="13">
        <f t="shared" si="20"/>
        <v>-4.4089633532645375E-115</v>
      </c>
      <c r="L91" s="13">
        <f t="shared" si="25"/>
        <v>-2.3188479364907502E-113</v>
      </c>
      <c r="M91" s="13">
        <f t="shared" si="26"/>
        <v>-4.6994894960915466E-3</v>
      </c>
      <c r="N91" s="13">
        <f t="shared" si="21"/>
        <v>1.4966701365196569E-118</v>
      </c>
      <c r="O91" s="21">
        <f t="shared" si="27"/>
        <v>-4.6994894960915466E-3</v>
      </c>
    </row>
    <row r="92" spans="4:15" x14ac:dyDescent="0.25">
      <c r="F92" t="e">
        <f t="shared" si="28"/>
        <v>#VALUE!</v>
      </c>
    </row>
    <row r="182" spans="6:6" x14ac:dyDescent="0.25">
      <c r="F182" t="e">
        <f t="shared" ref="F182" si="29">E182 * K181 + I181*BSCall(E182,$B$13,$B$14-D182,$B$8,$B$5) +  M181 * EXP($B$8*(D182 - D181))</f>
        <v>#VALUE!</v>
      </c>
    </row>
  </sheetData>
  <mergeCells count="3">
    <mergeCell ref="A1:B1"/>
    <mergeCell ref="A11:B11"/>
    <mergeCell ref="Q18:R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amma_Hedge">
                <anchor moveWithCells="1" sizeWithCells="1">
                  <from>
                    <xdr:col>0</xdr:col>
                    <xdr:colOff>57150</xdr:colOff>
                    <xdr:row>14</xdr:row>
                    <xdr:rowOff>114300</xdr:rowOff>
                  </from>
                  <to>
                    <xdr:col>1</xdr:col>
                    <xdr:colOff>666750</xdr:colOff>
                    <xdr:row>17</xdr:row>
                    <xdr:rowOff>95250</xdr:rowOff>
                  </to>
                </anchor>
              </controlPr>
            </control>
          </mc:Choice>
        </mc:AlternateContent>
        <mc:AlternateContent xmlns:mc="http://schemas.openxmlformats.org/markup-compatibility/2006">
          <mc:Choice Requires="x14">
            <control shapeId="4099" r:id="rId5" name="Button 3">
              <controlPr defaultSize="0" print="0" autoFill="0" autoPict="0" macro="[0]!Gamma_hedge_bis">
                <anchor moveWithCells="1" sizeWithCells="1">
                  <from>
                    <xdr:col>16</xdr:col>
                    <xdr:colOff>0</xdr:colOff>
                    <xdr:row>23</xdr:row>
                    <xdr:rowOff>38100</xdr:rowOff>
                  </from>
                  <to>
                    <xdr:col>17</xdr:col>
                    <xdr:colOff>742950</xdr:colOff>
                    <xdr:row>25</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064A0-1FC1-448A-8BCD-B70E8E1D7CC9}">
  <sheetPr codeName="Feuil5"/>
  <dimension ref="A1:J91"/>
  <sheetViews>
    <sheetView showGridLines="0" zoomScale="63" workbookViewId="0">
      <selection sqref="A1:B1"/>
    </sheetView>
  </sheetViews>
  <sheetFormatPr baseColWidth="10" defaultRowHeight="15" x14ac:dyDescent="0.25"/>
  <cols>
    <col min="1" max="1" width="13.140625" customWidth="1"/>
    <col min="4" max="4" width="8.140625" customWidth="1"/>
    <col min="5" max="5" width="11" bestFit="1" customWidth="1"/>
    <col min="6" max="7" width="11.140625" bestFit="1" customWidth="1"/>
    <col min="8" max="8" width="11.85546875" bestFit="1" customWidth="1"/>
    <col min="9" max="9" width="15.140625" customWidth="1"/>
    <col min="10" max="10" width="13.140625" customWidth="1"/>
  </cols>
  <sheetData>
    <row r="1" spans="1:10" ht="33" customHeight="1" x14ac:dyDescent="0.25">
      <c r="A1" s="64" t="s">
        <v>68</v>
      </c>
      <c r="B1" s="65"/>
      <c r="D1" s="7" t="s">
        <v>38</v>
      </c>
      <c r="E1" s="8" t="s">
        <v>0</v>
      </c>
      <c r="F1" s="17" t="s">
        <v>7</v>
      </c>
      <c r="G1" s="8" t="s">
        <v>8</v>
      </c>
      <c r="H1" s="8" t="s">
        <v>10</v>
      </c>
      <c r="I1" s="8" t="s">
        <v>40</v>
      </c>
      <c r="J1" s="9" t="s">
        <v>39</v>
      </c>
    </row>
    <row r="2" spans="1:10" x14ac:dyDescent="0.25">
      <c r="A2" s="2" t="s">
        <v>0</v>
      </c>
      <c r="B2" s="2">
        <v>60.57</v>
      </c>
      <c r="D2" s="22">
        <f t="array" ref="D2:E91">BSPath($B$2, $B$8, $B$5, $B$6, $B$9)</f>
        <v>0</v>
      </c>
      <c r="E2" s="11">
        <v>60.57</v>
      </c>
      <c r="F2" s="11">
        <f t="shared" ref="F2:F29" si="0">BSGreeksRR(E2,$B$3,$B$4,$B$6 - D2,$B$7 - D2,$B$8, $B$5,$F$1)</f>
        <v>0.1997103005337969</v>
      </c>
      <c r="G2" s="11">
        <f t="shared" ref="G2:G29" si="1">BSGreeksRR(E2,$B$3,$B$4,$B$6 - D2,$B$7 - D2,$B$8, $B$5,$G$1)</f>
        <v>2.8957864510743867E-2</v>
      </c>
      <c r="H2" s="11">
        <f t="shared" ref="H2:H29" si="2">BSGreeksRR(E2,$B$3,$B$4,$B$6 - D2,$B$7 - D2,$B$8, $B$5,$H$1)</f>
        <v>-3.7286055210512763</v>
      </c>
      <c r="I2" s="11">
        <f t="shared" ref="I2:I33" si="3">G2/H2</f>
        <v>-7.766406059115427E-3</v>
      </c>
      <c r="J2" s="20">
        <v>0</v>
      </c>
    </row>
    <row r="3" spans="1:10" x14ac:dyDescent="0.25">
      <c r="A3" s="1" t="s">
        <v>1</v>
      </c>
      <c r="B3" s="1">
        <v>67</v>
      </c>
      <c r="D3" s="22">
        <v>2.7777777777777779E-3</v>
      </c>
      <c r="E3" s="11">
        <v>60.465698685683243</v>
      </c>
      <c r="F3" s="11">
        <f t="shared" si="0"/>
        <v>0.19349732913525916</v>
      </c>
      <c r="G3" s="11">
        <f t="shared" si="1"/>
        <v>2.8147668626500571E-2</v>
      </c>
      <c r="H3" s="11">
        <f t="shared" si="2"/>
        <v>-3.5477275874687355</v>
      </c>
      <c r="I3" s="11">
        <f t="shared" si="3"/>
        <v>-7.933999421467313E-3</v>
      </c>
      <c r="J3" s="20">
        <f t="shared" ref="J3:J34" si="4">((E3-E2) ^ 2 )*G3/2 + (D3-D2)*H3</f>
        <v>-9.7016929296436082E-3</v>
      </c>
    </row>
    <row r="4" spans="1:10" x14ac:dyDescent="0.25">
      <c r="A4" s="1" t="s">
        <v>2</v>
      </c>
      <c r="B4" s="1">
        <v>54</v>
      </c>
      <c r="D4" s="22">
        <v>5.5555555555555558E-3</v>
      </c>
      <c r="E4" s="11">
        <v>61.486851526274407</v>
      </c>
      <c r="F4" s="11">
        <f t="shared" si="0"/>
        <v>0.22657474937272845</v>
      </c>
      <c r="G4" s="11">
        <f t="shared" si="1"/>
        <v>4.1546203916244605E-2</v>
      </c>
      <c r="H4" s="11">
        <f t="shared" si="2"/>
        <v>-6.5974327813002134</v>
      </c>
      <c r="I4" s="11">
        <f t="shared" si="3"/>
        <v>-6.2973288691933792E-3</v>
      </c>
      <c r="J4" s="20">
        <f t="shared" si="4"/>
        <v>3.3350147885542504E-3</v>
      </c>
    </row>
    <row r="5" spans="1:10" x14ac:dyDescent="0.25">
      <c r="A5" s="1" t="s">
        <v>3</v>
      </c>
      <c r="B5" s="1">
        <v>0.2</v>
      </c>
      <c r="D5" s="22">
        <v>8.3333333333333332E-3</v>
      </c>
      <c r="E5" s="11">
        <v>60.733041244526731</v>
      </c>
      <c r="F5" s="11">
        <f t="shared" si="0"/>
        <v>0.19541513074986178</v>
      </c>
      <c r="G5" s="11">
        <f t="shared" si="1"/>
        <v>3.3354497663043652E-2</v>
      </c>
      <c r="H5" s="11">
        <f t="shared" si="2"/>
        <v>-4.7339577790007867</v>
      </c>
      <c r="I5" s="11">
        <f t="shared" si="3"/>
        <v>-7.0457953408456266E-3</v>
      </c>
      <c r="J5" s="20">
        <f t="shared" si="4"/>
        <v>-3.6733706020615556E-3</v>
      </c>
    </row>
    <row r="6" spans="1:10" x14ac:dyDescent="0.25">
      <c r="A6" s="1" t="s">
        <v>4</v>
      </c>
      <c r="B6" s="1">
        <v>0.25</v>
      </c>
      <c r="D6" s="22">
        <v>1.1111111111111112E-2</v>
      </c>
      <c r="E6" s="11">
        <v>60.975432899129373</v>
      </c>
      <c r="F6" s="11">
        <f t="shared" si="0"/>
        <v>0.20102290409083254</v>
      </c>
      <c r="G6" s="11">
        <f t="shared" si="1"/>
        <v>3.7134497036238244E-2</v>
      </c>
      <c r="H6" s="11">
        <f t="shared" si="2"/>
        <v>-5.6232263181273696</v>
      </c>
      <c r="I6" s="11">
        <f t="shared" si="3"/>
        <v>-6.603770671034394E-3</v>
      </c>
      <c r="J6" s="20">
        <f t="shared" si="4"/>
        <v>-1.4529178292605386E-2</v>
      </c>
    </row>
    <row r="7" spans="1:10" x14ac:dyDescent="0.25">
      <c r="A7" s="1" t="s">
        <v>5</v>
      </c>
      <c r="B7" s="1">
        <v>8.3333333333333329E-2</v>
      </c>
      <c r="D7" s="22">
        <v>1.388888888888889E-2</v>
      </c>
      <c r="E7" s="11">
        <v>60.726717880592993</v>
      </c>
      <c r="F7" s="11">
        <f t="shared" si="0"/>
        <v>0.18916533866617252</v>
      </c>
      <c r="G7" s="11">
        <f t="shared" si="1"/>
        <v>3.4733056161696342E-2</v>
      </c>
      <c r="H7" s="11">
        <f t="shared" si="2"/>
        <v>-5.0870842359462163</v>
      </c>
      <c r="I7" s="11">
        <f t="shared" si="3"/>
        <v>-6.8276943236494029E-3</v>
      </c>
      <c r="J7" s="20">
        <f t="shared" si="4"/>
        <v>-1.3056510697359677E-2</v>
      </c>
    </row>
    <row r="8" spans="1:10" x14ac:dyDescent="0.25">
      <c r="A8" s="1" t="s">
        <v>6</v>
      </c>
      <c r="B8" s="1">
        <v>1.6E-2</v>
      </c>
      <c r="D8" s="22">
        <v>1.6666666666666666E-2</v>
      </c>
      <c r="E8" s="11">
        <v>59.924987337678147</v>
      </c>
      <c r="F8" s="11">
        <f t="shared" si="0"/>
        <v>0.16229031870638519</v>
      </c>
      <c r="G8" s="11">
        <f t="shared" si="1"/>
        <v>2.3583884964520407E-2</v>
      </c>
      <c r="H8" s="11">
        <f t="shared" si="2"/>
        <v>-2.4912977515643786</v>
      </c>
      <c r="I8" s="11">
        <f t="shared" si="3"/>
        <v>-9.466505940412465E-3</v>
      </c>
      <c r="J8" s="20">
        <f t="shared" si="4"/>
        <v>6.5925731080630507E-4</v>
      </c>
    </row>
    <row r="9" spans="1:10" x14ac:dyDescent="0.25">
      <c r="A9" s="16" t="s">
        <v>30</v>
      </c>
      <c r="B9" s="6">
        <f>360*B6</f>
        <v>90</v>
      </c>
      <c r="D9" s="22">
        <v>1.9444444444444445E-2</v>
      </c>
      <c r="E9" s="11">
        <v>59.362331843356657</v>
      </c>
      <c r="F9" s="11">
        <f t="shared" si="0"/>
        <v>0.14775218993123976</v>
      </c>
      <c r="G9" s="11">
        <f t="shared" si="1"/>
        <v>1.4021383631479265E-2</v>
      </c>
      <c r="H9" s="11">
        <f t="shared" si="2"/>
        <v>-0.21540388246472889</v>
      </c>
      <c r="I9" s="11">
        <f t="shared" si="3"/>
        <v>-6.5093458256376524E-2</v>
      </c>
      <c r="J9" s="20">
        <f t="shared" si="4"/>
        <v>1.6211091469871335E-3</v>
      </c>
    </row>
    <row r="10" spans="1:10" x14ac:dyDescent="0.25">
      <c r="D10" s="22">
        <v>2.2222222222222223E-2</v>
      </c>
      <c r="E10" s="11">
        <v>58.475915560506863</v>
      </c>
      <c r="F10" s="11">
        <f t="shared" si="0"/>
        <v>0.13912163741422479</v>
      </c>
      <c r="G10" s="11">
        <f t="shared" si="1"/>
        <v>-5.9397935876985353E-3</v>
      </c>
      <c r="H10" s="11">
        <f t="shared" si="2"/>
        <v>4.6312039408028287</v>
      </c>
      <c r="I10" s="11">
        <f t="shared" si="3"/>
        <v>-1.2825592791037529E-3</v>
      </c>
      <c r="J10" s="20">
        <f t="shared" si="4"/>
        <v>1.0530907018974004E-2</v>
      </c>
    </row>
    <row r="11" spans="1:10" x14ac:dyDescent="0.25">
      <c r="D11" s="22">
        <v>2.5000000000000001E-2</v>
      </c>
      <c r="E11" s="11">
        <v>58.374126992944539</v>
      </c>
      <c r="F11" s="11">
        <f t="shared" si="0"/>
        <v>0.134623727618572</v>
      </c>
      <c r="G11" s="11">
        <f t="shared" si="1"/>
        <v>-7.6282628956401378E-3</v>
      </c>
      <c r="H11" s="11">
        <f t="shared" si="2"/>
        <v>5.1766206721260692</v>
      </c>
      <c r="I11" s="11">
        <f t="shared" si="3"/>
        <v>-1.473598970987991E-3</v>
      </c>
      <c r="J11" s="20">
        <f t="shared" si="4"/>
        <v>1.4339983984874412E-2</v>
      </c>
    </row>
    <row r="12" spans="1:10" x14ac:dyDescent="0.25">
      <c r="D12" s="22">
        <v>2.777777777777778E-2</v>
      </c>
      <c r="E12" s="11">
        <v>59.448780867902201</v>
      </c>
      <c r="F12" s="11">
        <f t="shared" si="0"/>
        <v>0.13699992680081319</v>
      </c>
      <c r="G12" s="11">
        <f t="shared" si="1"/>
        <v>1.9027859612048652E-2</v>
      </c>
      <c r="H12" s="11">
        <f t="shared" si="2"/>
        <v>-1.3605398808861784</v>
      </c>
      <c r="I12" s="11">
        <f t="shared" si="3"/>
        <v>-1.3985521394385724E-2</v>
      </c>
      <c r="J12" s="20">
        <f t="shared" si="4"/>
        <v>7.2081788548564452E-3</v>
      </c>
    </row>
    <row r="13" spans="1:10" x14ac:dyDescent="0.25">
      <c r="D13" s="22">
        <v>3.0555555555555558E-2</v>
      </c>
      <c r="E13" s="11">
        <v>59.517563791496514</v>
      </c>
      <c r="F13" s="11">
        <f t="shared" si="0"/>
        <v>0.13450477955897297</v>
      </c>
      <c r="G13" s="11">
        <f t="shared" si="1"/>
        <v>2.1484923465238153E-2</v>
      </c>
      <c r="H13" s="11">
        <f t="shared" si="2"/>
        <v>-1.9756418853290958</v>
      </c>
      <c r="I13" s="11">
        <f t="shared" si="3"/>
        <v>-1.0874907858951E-2</v>
      </c>
      <c r="J13" s="20">
        <f t="shared" si="4"/>
        <v>-5.4370705664244911E-3</v>
      </c>
    </row>
    <row r="14" spans="1:10" x14ac:dyDescent="0.25">
      <c r="D14" s="22">
        <v>3.3333333333333333E-2</v>
      </c>
      <c r="E14" s="11">
        <v>59.511365642527281</v>
      </c>
      <c r="F14" s="11">
        <f t="shared" si="0"/>
        <v>0.13058231358062086</v>
      </c>
      <c r="G14" s="11">
        <f t="shared" si="1"/>
        <v>2.2555143585395853E-2</v>
      </c>
      <c r="H14" s="11">
        <f t="shared" si="2"/>
        <v>-2.2588667130897666</v>
      </c>
      <c r="I14" s="11">
        <f t="shared" si="3"/>
        <v>-9.9851591307678535E-3</v>
      </c>
      <c r="J14" s="20">
        <f t="shared" si="4"/>
        <v>-6.2741965075359682E-3</v>
      </c>
    </row>
    <row r="15" spans="1:10" x14ac:dyDescent="0.25">
      <c r="D15" s="22">
        <v>3.6111111111111115E-2</v>
      </c>
      <c r="E15" s="11">
        <v>60.722389314492048</v>
      </c>
      <c r="F15" s="11">
        <f t="shared" si="0"/>
        <v>0.16653679396557938</v>
      </c>
      <c r="G15" s="11">
        <f t="shared" si="1"/>
        <v>4.0373095536114699E-2</v>
      </c>
      <c r="H15" s="11">
        <f t="shared" si="2"/>
        <v>-6.8098980963167408</v>
      </c>
      <c r="I15" s="11">
        <f t="shared" si="3"/>
        <v>-5.9285902615710557E-3</v>
      </c>
      <c r="J15" s="20">
        <f t="shared" si="4"/>
        <v>1.0688769995200683E-2</v>
      </c>
    </row>
    <row r="16" spans="1:10" x14ac:dyDescent="0.25">
      <c r="D16" s="22">
        <v>3.888888888888889E-2</v>
      </c>
      <c r="E16" s="11">
        <v>60.226060377456591</v>
      </c>
      <c r="F16" s="11">
        <f t="shared" si="0"/>
        <v>0.14501637104154819</v>
      </c>
      <c r="G16" s="11">
        <f t="shared" si="1"/>
        <v>3.5354848209700328E-2</v>
      </c>
      <c r="H16" s="11">
        <f t="shared" si="2"/>
        <v>-5.6399700686208591</v>
      </c>
      <c r="I16" s="11">
        <f t="shared" si="3"/>
        <v>-6.2686233755750486E-3</v>
      </c>
      <c r="J16" s="20">
        <f t="shared" si="4"/>
        <v>-1.1311884201274516E-2</v>
      </c>
    </row>
    <row r="17" spans="4:10" x14ac:dyDescent="0.25">
      <c r="D17" s="22">
        <v>4.1666666666666671E-2</v>
      </c>
      <c r="E17" s="11">
        <v>60.033123560445965</v>
      </c>
      <c r="F17" s="11">
        <f t="shared" si="0"/>
        <v>0.13548546708032</v>
      </c>
      <c r="G17" s="11">
        <f t="shared" si="1"/>
        <v>3.3743635292219187E-2</v>
      </c>
      <c r="H17" s="11">
        <f t="shared" si="2"/>
        <v>-5.3110995392341946</v>
      </c>
      <c r="I17" s="11">
        <f t="shared" si="3"/>
        <v>-6.3534179773788741E-3</v>
      </c>
      <c r="J17" s="20">
        <f t="shared" si="4"/>
        <v>-1.412500735338058E-2</v>
      </c>
    </row>
    <row r="18" spans="4:10" x14ac:dyDescent="0.25">
      <c r="D18" s="22">
        <v>4.4444444444444446E-2</v>
      </c>
      <c r="E18" s="11">
        <v>59.868656236040124</v>
      </c>
      <c r="F18" s="11">
        <f t="shared" si="0"/>
        <v>0.12713489353121327</v>
      </c>
      <c r="G18" s="11">
        <f t="shared" si="1"/>
        <v>3.2493525809961649E-2</v>
      </c>
      <c r="H18" s="11">
        <f t="shared" si="2"/>
        <v>-5.0774167199812821</v>
      </c>
      <c r="I18" s="11">
        <f t="shared" si="3"/>
        <v>-6.3996176800082379E-3</v>
      </c>
      <c r="J18" s="20">
        <f t="shared" si="4"/>
        <v>-1.3664468507130864E-2</v>
      </c>
    </row>
    <row r="19" spans="4:10" x14ac:dyDescent="0.25">
      <c r="D19" s="22">
        <v>4.7222222222222221E-2</v>
      </c>
      <c r="E19" s="11">
        <v>59.506317523669317</v>
      </c>
      <c r="F19" s="11">
        <f t="shared" si="0"/>
        <v>0.11305421928915109</v>
      </c>
      <c r="G19" s="11">
        <f t="shared" si="1"/>
        <v>2.8503068408874972E-2</v>
      </c>
      <c r="H19" s="11">
        <f t="shared" si="2"/>
        <v>-4.1092213638286914</v>
      </c>
      <c r="I19" s="11">
        <f t="shared" si="3"/>
        <v>-6.9363672299994471E-3</v>
      </c>
      <c r="J19" s="20">
        <f t="shared" si="4"/>
        <v>-9.5434292333450733E-3</v>
      </c>
    </row>
    <row r="20" spans="4:10" x14ac:dyDescent="0.25">
      <c r="D20" s="22">
        <v>0.05</v>
      </c>
      <c r="E20" s="11">
        <v>59.514262772215822</v>
      </c>
      <c r="F20" s="11">
        <f t="shared" si="0"/>
        <v>0.1102418124422809</v>
      </c>
      <c r="G20" s="11">
        <f t="shared" si="1"/>
        <v>2.9713712998558659E-2</v>
      </c>
      <c r="H20" s="11">
        <f t="shared" si="2"/>
        <v>-4.5503173845027938</v>
      </c>
      <c r="I20" s="11">
        <f t="shared" si="3"/>
        <v>-6.5300308720784824E-3</v>
      </c>
      <c r="J20" s="20">
        <f t="shared" si="4"/>
        <v>-1.2638832644106908E-2</v>
      </c>
    </row>
    <row r="21" spans="4:10" x14ac:dyDescent="0.25">
      <c r="D21" s="22">
        <v>5.2777777777777778E-2</v>
      </c>
      <c r="E21" s="11">
        <v>58.835601225139499</v>
      </c>
      <c r="F21" s="11">
        <f t="shared" si="0"/>
        <v>8.9802695624286791E-2</v>
      </c>
      <c r="G21" s="11">
        <f t="shared" si="1"/>
        <v>2.0479358195098007E-2</v>
      </c>
      <c r="H21" s="11">
        <f t="shared" si="2"/>
        <v>-1.9987900565775045</v>
      </c>
      <c r="I21" s="11">
        <f t="shared" si="3"/>
        <v>-1.0245877563631909E-2</v>
      </c>
      <c r="J21" s="20">
        <f t="shared" si="4"/>
        <v>-8.359878896194578E-4</v>
      </c>
    </row>
    <row r="22" spans="4:10" x14ac:dyDescent="0.25">
      <c r="D22" s="22">
        <v>5.5555555555555559E-2</v>
      </c>
      <c r="E22" s="11">
        <v>58.865049839288538</v>
      </c>
      <c r="F22" s="11">
        <f t="shared" si="0"/>
        <v>8.6931705844079332E-2</v>
      </c>
      <c r="G22" s="11">
        <f t="shared" si="1"/>
        <v>2.2705255364611057E-2</v>
      </c>
      <c r="H22" s="11">
        <f t="shared" si="2"/>
        <v>-2.7937316616007251</v>
      </c>
      <c r="I22" s="11">
        <f t="shared" si="3"/>
        <v>-8.1272141045935758E-3</v>
      </c>
      <c r="J22" s="20">
        <f t="shared" si="4"/>
        <v>-7.7505204909530997E-3</v>
      </c>
    </row>
    <row r="23" spans="4:10" x14ac:dyDescent="0.25">
      <c r="D23" s="22">
        <v>5.8333333333333334E-2</v>
      </c>
      <c r="E23" s="11">
        <v>59.994881569990447</v>
      </c>
      <c r="F23" s="11">
        <f t="shared" si="0"/>
        <v>0.11890986850829702</v>
      </c>
      <c r="G23" s="11">
        <f t="shared" si="1"/>
        <v>3.6997828967008616E-2</v>
      </c>
      <c r="H23" s="11">
        <f t="shared" si="2"/>
        <v>-6.8378975802356461</v>
      </c>
      <c r="I23" s="11">
        <f t="shared" si="3"/>
        <v>-5.4107024173552483E-3</v>
      </c>
      <c r="J23" s="20">
        <f t="shared" si="4"/>
        <v>4.6200695561325958E-3</v>
      </c>
    </row>
    <row r="24" spans="4:10" x14ac:dyDescent="0.25">
      <c r="D24" s="22">
        <v>6.1111111111111116E-2</v>
      </c>
      <c r="E24" s="11">
        <v>60.089016290877112</v>
      </c>
      <c r="F24" s="11">
        <f t="shared" si="0"/>
        <v>0.12030817548828918</v>
      </c>
      <c r="G24" s="11">
        <f t="shared" si="1"/>
        <v>3.8005205833963537E-2</v>
      </c>
      <c r="H24" s="11">
        <f t="shared" si="2"/>
        <v>-7.1844232335066973</v>
      </c>
      <c r="I24" s="11">
        <f t="shared" si="3"/>
        <v>-5.2899452884004579E-3</v>
      </c>
      <c r="J24" s="20">
        <f t="shared" si="4"/>
        <v>-1.9788342570986363E-2</v>
      </c>
    </row>
    <row r="25" spans="4:10" x14ac:dyDescent="0.25">
      <c r="D25" s="22">
        <v>6.3888888888888898E-2</v>
      </c>
      <c r="E25" s="11">
        <v>60.93781878771189</v>
      </c>
      <c r="F25" s="11">
        <f t="shared" si="0"/>
        <v>0.15350874934794534</v>
      </c>
      <c r="G25" s="11">
        <f t="shared" si="1"/>
        <v>4.5013252303343548E-2</v>
      </c>
      <c r="H25" s="11">
        <f t="shared" si="2"/>
        <v>-8.7498094439188474</v>
      </c>
      <c r="I25" s="11">
        <f t="shared" si="3"/>
        <v>-5.1444837275431109E-3</v>
      </c>
      <c r="J25" s="20">
        <f t="shared" si="4"/>
        <v>-8.0897745490055364E-3</v>
      </c>
    </row>
    <row r="26" spans="4:10" x14ac:dyDescent="0.25">
      <c r="D26" s="22">
        <v>6.6666666666666666E-2</v>
      </c>
      <c r="E26" s="11">
        <v>61.200666820090838</v>
      </c>
      <c r="F26" s="11">
        <f t="shared" si="0"/>
        <v>0.16350802809557818</v>
      </c>
      <c r="G26" s="11">
        <f t="shared" si="1"/>
        <v>4.7084420269074723E-2</v>
      </c>
      <c r="H26" s="11">
        <f t="shared" si="2"/>
        <v>-9.2537400411473278</v>
      </c>
      <c r="I26" s="11">
        <f t="shared" si="3"/>
        <v>-5.0881503110862128E-3</v>
      </c>
      <c r="J26" s="20">
        <f t="shared" si="4"/>
        <v>-2.4078323616977655E-2</v>
      </c>
    </row>
    <row r="27" spans="4:10" x14ac:dyDescent="0.25">
      <c r="D27" s="22">
        <v>6.9444444444444448E-2</v>
      </c>
      <c r="E27" s="11">
        <v>61.107817591876753</v>
      </c>
      <c r="F27" s="11">
        <f t="shared" si="0"/>
        <v>0.15704021532307699</v>
      </c>
      <c r="G27" s="11">
        <f t="shared" si="1"/>
        <v>4.628175972363098E-2</v>
      </c>
      <c r="H27" s="11">
        <f t="shared" si="2"/>
        <v>-9.1450947457517344</v>
      </c>
      <c r="I27" s="11">
        <f t="shared" si="3"/>
        <v>-5.0608288935585629E-3</v>
      </c>
      <c r="J27" s="20">
        <f t="shared" si="4"/>
        <v>-2.5203543916927057E-2</v>
      </c>
    </row>
    <row r="28" spans="4:10" x14ac:dyDescent="0.25">
      <c r="D28" s="22">
        <v>7.2222222222222229E-2</v>
      </c>
      <c r="E28" s="11">
        <v>61.435406092014084</v>
      </c>
      <c r="F28" s="11">
        <f t="shared" si="0"/>
        <v>0.17046847052353495</v>
      </c>
      <c r="G28" s="11">
        <f t="shared" si="1"/>
        <v>4.8931739657951855E-2</v>
      </c>
      <c r="H28" s="11">
        <f t="shared" si="2"/>
        <v>-9.7844444758450937</v>
      </c>
      <c r="I28" s="11">
        <f t="shared" si="3"/>
        <v>-5.0009726948474064E-3</v>
      </c>
      <c r="J28" s="20">
        <f t="shared" si="4"/>
        <v>-2.4553476562925513E-2</v>
      </c>
    </row>
    <row r="29" spans="4:10" x14ac:dyDescent="0.25">
      <c r="D29" s="22">
        <v>7.4999999999999997E-2</v>
      </c>
      <c r="E29" s="11">
        <v>60.455018494915279</v>
      </c>
      <c r="F29" s="11">
        <f t="shared" si="0"/>
        <v>0.12439111960271021</v>
      </c>
      <c r="G29" s="11">
        <f t="shared" si="1"/>
        <v>4.055970518604797E-2</v>
      </c>
      <c r="H29" s="11">
        <f t="shared" si="2"/>
        <v>-8.0665182174244094</v>
      </c>
      <c r="I29" s="11">
        <f t="shared" si="3"/>
        <v>-5.0281551584964298E-3</v>
      </c>
      <c r="J29" s="20">
        <f t="shared" si="4"/>
        <v>-2.9148151638106121E-3</v>
      </c>
    </row>
    <row r="30" spans="4:10" x14ac:dyDescent="0.25">
      <c r="D30" s="22">
        <v>7.7777777777777779E-2</v>
      </c>
      <c r="E30" s="11">
        <v>60.899823461137458</v>
      </c>
      <c r="F30" s="11">
        <f t="shared" ref="F30:F61" si="5">BSGreeks(E30,$B$3,$B$6 - D30,$B$8, $B$5,$F$1)</f>
        <v>0.14108473014956208</v>
      </c>
      <c r="G30" s="11">
        <f t="shared" ref="G30:G61" si="6">BSGreeks(E30,$B$3,$B$6 - D30,$B$8, $B$5,$G$1)</f>
        <v>4.4265412283424163E-2</v>
      </c>
      <c r="H30" s="11">
        <f t="shared" ref="H30:H61" si="7">BSGreeks(E30,$B$3,$B$6 - D30,$B$8, $B$5,$H$1)</f>
        <v>-8.0815321455796383</v>
      </c>
      <c r="I30" s="11">
        <f t="shared" si="3"/>
        <v>-5.477353982640043E-3</v>
      </c>
      <c r="J30" s="20">
        <f t="shared" si="4"/>
        <v>-1.806971222529772E-2</v>
      </c>
    </row>
    <row r="31" spans="4:10" x14ac:dyDescent="0.25">
      <c r="D31" s="22">
        <v>8.0555555555555561E-2</v>
      </c>
      <c r="E31" s="11">
        <v>61.240113994485711</v>
      </c>
      <c r="F31" s="11">
        <f t="shared" si="5"/>
        <v>0.15439371828388579</v>
      </c>
      <c r="G31" s="11">
        <f t="shared" si="6"/>
        <v>4.714084276720211E-2</v>
      </c>
      <c r="H31" s="11">
        <f t="shared" si="7"/>
        <v>-8.7594693751916353</v>
      </c>
      <c r="I31" s="11">
        <f t="shared" si="3"/>
        <v>-5.381700734146443E-3</v>
      </c>
      <c r="J31" s="20">
        <f t="shared" si="4"/>
        <v>-2.1602460038475491E-2</v>
      </c>
    </row>
    <row r="32" spans="4:10" x14ac:dyDescent="0.25">
      <c r="D32" s="22">
        <v>8.3333333333333343E-2</v>
      </c>
      <c r="E32" s="11">
        <v>61.238096275822429</v>
      </c>
      <c r="F32" s="11">
        <f t="shared" si="5"/>
        <v>0.15201153785030422</v>
      </c>
      <c r="G32" s="11">
        <f t="shared" si="6"/>
        <v>4.7046334664831359E-2</v>
      </c>
      <c r="H32" s="11">
        <f t="shared" si="7"/>
        <v>-8.8128297605889383</v>
      </c>
      <c r="I32" s="11">
        <f t="shared" si="3"/>
        <v>-5.3383914069488813E-3</v>
      </c>
      <c r="J32" s="20">
        <f t="shared" si="4"/>
        <v>-2.4479986901051864E-2</v>
      </c>
    </row>
    <row r="33" spans="4:10" x14ac:dyDescent="0.25">
      <c r="D33" s="22">
        <v>8.611111111111111E-2</v>
      </c>
      <c r="E33" s="11">
        <v>60.586664978845505</v>
      </c>
      <c r="F33" s="11">
        <f t="shared" si="5"/>
        <v>0.12103247242632616</v>
      </c>
      <c r="G33" s="11">
        <f t="shared" si="6"/>
        <v>4.1025716602250302E-2</v>
      </c>
      <c r="H33" s="11">
        <f t="shared" si="7"/>
        <v>-7.609505830962684</v>
      </c>
      <c r="I33" s="11">
        <f t="shared" si="3"/>
        <v>-5.3913772475630145E-3</v>
      </c>
      <c r="J33" s="20">
        <f t="shared" si="4"/>
        <v>-1.2432623552328414E-2</v>
      </c>
    </row>
    <row r="34" spans="4:10" x14ac:dyDescent="0.25">
      <c r="D34" s="22">
        <v>8.8888888888888892E-2</v>
      </c>
      <c r="E34" s="11">
        <v>60.104227224074378</v>
      </c>
      <c r="F34" s="11">
        <f t="shared" si="5"/>
        <v>0.10014666446447219</v>
      </c>
      <c r="G34" s="11">
        <f t="shared" si="6"/>
        <v>3.6411616562468115E-2</v>
      </c>
      <c r="H34" s="11">
        <f t="shared" si="7"/>
        <v>-6.7238036836735819</v>
      </c>
      <c r="I34" s="11">
        <f t="shared" ref="I34:I65" si="8">G34/H34</f>
        <v>-5.4153301130550639E-3</v>
      </c>
      <c r="J34" s="20">
        <f t="shared" si="4"/>
        <v>-1.4439899991776667E-2</v>
      </c>
    </row>
    <row r="35" spans="4:10" x14ac:dyDescent="0.25">
      <c r="D35" s="22">
        <v>9.1666666666666674E-2</v>
      </c>
      <c r="E35" s="11">
        <v>59.821427878944846</v>
      </c>
      <c r="F35" s="11">
        <f t="shared" si="5"/>
        <v>8.8120336019692339E-2</v>
      </c>
      <c r="G35" s="11">
        <f t="shared" si="6"/>
        <v>3.3578830486095466E-2</v>
      </c>
      <c r="H35" s="11">
        <f t="shared" si="7"/>
        <v>-6.2094533483543097</v>
      </c>
      <c r="I35" s="11">
        <f t="shared" si="8"/>
        <v>-5.4076951065257393E-3</v>
      </c>
      <c r="J35" s="20">
        <f t="shared" ref="J35:J66" si="9">((E35-E34) ^ 2 )*G35/2 + (D35-D34)*H35</f>
        <v>-1.5905740154738723E-2</v>
      </c>
    </row>
    <row r="36" spans="4:10" x14ac:dyDescent="0.25">
      <c r="D36" s="22">
        <v>9.4444444444444442E-2</v>
      </c>
      <c r="E36" s="11">
        <v>60.320626880570593</v>
      </c>
      <c r="F36" s="11">
        <f t="shared" si="5"/>
        <v>0.10376984079832528</v>
      </c>
      <c r="G36" s="11">
        <f t="shared" si="6"/>
        <v>3.7890620331521463E-2</v>
      </c>
      <c r="H36" s="11">
        <f t="shared" si="7"/>
        <v>-7.1608381733853328</v>
      </c>
      <c r="I36" s="11">
        <f t="shared" si="8"/>
        <v>-5.2913666548630332E-3</v>
      </c>
      <c r="J36" s="20">
        <f t="shared" si="9"/>
        <v>-1.5170052614214216E-2</v>
      </c>
    </row>
    <row r="37" spans="4:10" x14ac:dyDescent="0.25">
      <c r="D37" s="22">
        <v>9.7222222222222224E-2</v>
      </c>
      <c r="E37" s="11">
        <v>59.279068745241055</v>
      </c>
      <c r="F37" s="11">
        <f t="shared" si="5"/>
        <v>6.7345750043662875E-2</v>
      </c>
      <c r="G37" s="11">
        <f t="shared" si="6"/>
        <v>2.8123148714275056E-2</v>
      </c>
      <c r="H37" s="11">
        <f t="shared" si="7"/>
        <v>-5.0810216196097109</v>
      </c>
      <c r="I37" s="11">
        <f t="shared" si="8"/>
        <v>-5.5349397856794165E-3</v>
      </c>
      <c r="J37" s="20">
        <f t="shared" si="9"/>
        <v>1.1406564782619841E-3</v>
      </c>
    </row>
    <row r="38" spans="4:10" x14ac:dyDescent="0.25">
      <c r="D38" s="22">
        <v>0.1</v>
      </c>
      <c r="E38" s="11">
        <v>59.309930987585972</v>
      </c>
      <c r="F38" s="11">
        <f t="shared" si="5"/>
        <v>6.6263233915429251E-2</v>
      </c>
      <c r="G38" s="11">
        <f t="shared" si="6"/>
        <v>2.8014133243222453E-2</v>
      </c>
      <c r="H38" s="11">
        <f t="shared" si="7"/>
        <v>-5.1131415252415851</v>
      </c>
      <c r="I38" s="11">
        <f t="shared" si="8"/>
        <v>-5.4788495692770492E-3</v>
      </c>
      <c r="J38" s="20">
        <f t="shared" si="9"/>
        <v>-1.4189829480611441E-2</v>
      </c>
    </row>
    <row r="39" spans="4:10" x14ac:dyDescent="0.25">
      <c r="D39" s="22">
        <v>0.10277777777777779</v>
      </c>
      <c r="E39" s="11">
        <v>59.748180547647998</v>
      </c>
      <c r="F39" s="11">
        <f t="shared" si="5"/>
        <v>7.7265857685091838E-2</v>
      </c>
      <c r="G39" s="11">
        <f t="shared" si="6"/>
        <v>3.1580921140517589E-2</v>
      </c>
      <c r="H39" s="11">
        <f t="shared" si="7"/>
        <v>-5.9008136217808378</v>
      </c>
      <c r="I39" s="11">
        <f t="shared" si="8"/>
        <v>-5.3519604523598928E-3</v>
      </c>
      <c r="J39" s="20">
        <f t="shared" si="9"/>
        <v>-1.3358390822869347E-2</v>
      </c>
    </row>
    <row r="40" spans="4:10" x14ac:dyDescent="0.25">
      <c r="D40" s="22">
        <v>0.10555555555555556</v>
      </c>
      <c r="E40" s="11">
        <v>60.28239842940674</v>
      </c>
      <c r="F40" s="11">
        <f t="shared" si="5"/>
        <v>9.3160768574714795E-2</v>
      </c>
      <c r="G40" s="11">
        <f t="shared" si="6"/>
        <v>3.6357892786189297E-2</v>
      </c>
      <c r="H40" s="11">
        <f t="shared" si="7"/>
        <v>-7.1224792216283568</v>
      </c>
      <c r="I40" s="11">
        <f t="shared" si="8"/>
        <v>-5.1046681436126501E-3</v>
      </c>
      <c r="J40" s="20">
        <f t="shared" si="9"/>
        <v>-1.4596597804507082E-2</v>
      </c>
    </row>
    <row r="41" spans="4:10" x14ac:dyDescent="0.25">
      <c r="D41" s="22">
        <v>0.10833333333333334</v>
      </c>
      <c r="E41" s="11">
        <v>59.997105175768915</v>
      </c>
      <c r="F41" s="11">
        <f t="shared" si="5"/>
        <v>8.093953799776564E-2</v>
      </c>
      <c r="G41" s="11">
        <f t="shared" si="6"/>
        <v>3.3208481638323753E-2</v>
      </c>
      <c r="H41" s="11">
        <f t="shared" si="7"/>
        <v>-6.5216243328584991</v>
      </c>
      <c r="I41" s="11">
        <f t="shared" si="8"/>
        <v>-5.0920568164293687E-3</v>
      </c>
      <c r="J41" s="20">
        <f t="shared" si="9"/>
        <v>-1.6764166783572891E-2</v>
      </c>
    </row>
    <row r="42" spans="4:10" x14ac:dyDescent="0.25">
      <c r="D42" s="22">
        <v>0.11111111111111112</v>
      </c>
      <c r="E42" s="11">
        <v>61.215613480116701</v>
      </c>
      <c r="F42" s="11">
        <f t="shared" si="5"/>
        <v>0.12625169642405651</v>
      </c>
      <c r="G42" s="11">
        <f t="shared" si="6"/>
        <v>4.5430927718346149E-2</v>
      </c>
      <c r="H42" s="11">
        <f t="shared" si="7"/>
        <v>-9.3060410804060183</v>
      </c>
      <c r="I42" s="11">
        <f t="shared" si="8"/>
        <v>-4.8818748301038039E-3</v>
      </c>
      <c r="J42" s="20">
        <f t="shared" si="9"/>
        <v>7.8769545180318104E-3</v>
      </c>
    </row>
    <row r="43" spans="4:10" x14ac:dyDescent="0.25">
      <c r="D43" s="22">
        <v>0.11388888888888889</v>
      </c>
      <c r="E43" s="11">
        <v>61.771305637368428</v>
      </c>
      <c r="F43" s="11">
        <f t="shared" si="5"/>
        <v>0.15038298267061764</v>
      </c>
      <c r="G43" s="11">
        <f t="shared" si="6"/>
        <v>5.1242031726163352E-2</v>
      </c>
      <c r="H43" s="11">
        <f t="shared" si="7"/>
        <v>-10.769153034619402</v>
      </c>
      <c r="I43" s="11">
        <f t="shared" si="8"/>
        <v>-4.7582230061580999E-3</v>
      </c>
      <c r="J43" s="20">
        <f t="shared" si="9"/>
        <v>-2.2002703812431086E-2</v>
      </c>
    </row>
    <row r="44" spans="4:10" x14ac:dyDescent="0.25">
      <c r="D44" s="22">
        <v>0.11666666666666667</v>
      </c>
      <c r="E44" s="11">
        <v>62.069193124426768</v>
      </c>
      <c r="F44" s="11">
        <f t="shared" si="5"/>
        <v>0.16329391295490031</v>
      </c>
      <c r="G44" s="11">
        <f t="shared" si="6"/>
        <v>5.4394666607054713E-2</v>
      </c>
      <c r="H44" s="11">
        <f t="shared" si="7"/>
        <v>-11.647793309194238</v>
      </c>
      <c r="I44" s="11">
        <f t="shared" si="8"/>
        <v>-4.6699546569149743E-3</v>
      </c>
      <c r="J44" s="20">
        <f t="shared" si="9"/>
        <v>-2.9941572874423873E-2</v>
      </c>
    </row>
    <row r="45" spans="4:10" x14ac:dyDescent="0.25">
      <c r="D45" s="22">
        <v>0.11944444444444445</v>
      </c>
      <c r="E45" s="11">
        <v>62.929920902739397</v>
      </c>
      <c r="F45" s="11">
        <f t="shared" si="5"/>
        <v>0.21121887757460492</v>
      </c>
      <c r="G45" s="11">
        <f t="shared" si="6"/>
        <v>6.3589564487633379E-2</v>
      </c>
      <c r="H45" s="11">
        <f t="shared" si="7"/>
        <v>-14.108753099291517</v>
      </c>
      <c r="I45" s="11">
        <f t="shared" si="8"/>
        <v>-4.5071002405468828E-3</v>
      </c>
      <c r="J45" s="20">
        <f t="shared" si="9"/>
        <v>-1.5635743012262209E-2</v>
      </c>
    </row>
    <row r="46" spans="4:10" x14ac:dyDescent="0.25">
      <c r="D46" s="22">
        <v>0.12222222222222223</v>
      </c>
      <c r="E46" s="11">
        <v>63.698308050152171</v>
      </c>
      <c r="F46" s="11">
        <f t="shared" si="5"/>
        <v>0.2602698200044482</v>
      </c>
      <c r="G46" s="11">
        <f t="shared" si="6"/>
        <v>7.1265760238402406E-2</v>
      </c>
      <c r="H46" s="11">
        <f t="shared" si="7"/>
        <v>-16.348260610349129</v>
      </c>
      <c r="I46" s="11">
        <f t="shared" si="8"/>
        <v>-4.3592258489743071E-3</v>
      </c>
      <c r="J46" s="20">
        <f t="shared" si="9"/>
        <v>-2.4373512412146418E-2</v>
      </c>
    </row>
    <row r="47" spans="4:10" x14ac:dyDescent="0.25">
      <c r="D47" s="22">
        <v>0.125</v>
      </c>
      <c r="E47" s="11">
        <v>63.559817776931425</v>
      </c>
      <c r="F47" s="11">
        <f t="shared" si="5"/>
        <v>0.24768000969481374</v>
      </c>
      <c r="G47" s="11">
        <f t="shared" si="6"/>
        <v>7.0355608786672852E-2</v>
      </c>
      <c r="H47" s="11">
        <f t="shared" si="7"/>
        <v>-16.247996914173047</v>
      </c>
      <c r="I47" s="11">
        <f t="shared" si="8"/>
        <v>-4.3301096841852548E-3</v>
      </c>
      <c r="J47" s="20">
        <f t="shared" si="9"/>
        <v>-4.4458630100125796E-2</v>
      </c>
    </row>
    <row r="48" spans="4:10" x14ac:dyDescent="0.25">
      <c r="D48" s="22">
        <v>0.1277777777777778</v>
      </c>
      <c r="E48" s="11">
        <v>62.785658877033818</v>
      </c>
      <c r="F48" s="11">
        <f t="shared" si="5"/>
        <v>0.19318742811188278</v>
      </c>
      <c r="G48" s="11">
        <f t="shared" si="6"/>
        <v>6.2447427683578166E-2</v>
      </c>
      <c r="H48" s="11">
        <f t="shared" si="7"/>
        <v>-14.252590331545681</v>
      </c>
      <c r="I48" s="11">
        <f t="shared" si="8"/>
        <v>-4.381479171920168E-3</v>
      </c>
      <c r="J48" s="20">
        <f t="shared" si="9"/>
        <v>-2.0877470000126224E-2</v>
      </c>
    </row>
    <row r="49" spans="4:10" x14ac:dyDescent="0.25">
      <c r="D49" s="22">
        <v>0.13055555555555556</v>
      </c>
      <c r="E49" s="11">
        <v>63.904660091953176</v>
      </c>
      <c r="F49" s="11">
        <f t="shared" si="5"/>
        <v>0.26693869691233052</v>
      </c>
      <c r="G49" s="11">
        <f t="shared" si="6"/>
        <v>7.4426445909119565E-2</v>
      </c>
      <c r="H49" s="11">
        <f t="shared" si="7"/>
        <v>-17.758681140331365</v>
      </c>
      <c r="I49" s="11">
        <f t="shared" si="8"/>
        <v>-4.1909894840158621E-3</v>
      </c>
      <c r="J49" s="20">
        <f t="shared" si="9"/>
        <v>-2.7326221838308434E-3</v>
      </c>
    </row>
    <row r="50" spans="4:10" x14ac:dyDescent="0.25">
      <c r="D50" s="22">
        <v>0.13333333333333333</v>
      </c>
      <c r="E50" s="11">
        <v>64.467951593549941</v>
      </c>
      <c r="F50" s="11">
        <f t="shared" si="5"/>
        <v>0.30767280951425857</v>
      </c>
      <c r="G50" s="11">
        <f t="shared" si="6"/>
        <v>7.9843764572178164E-2</v>
      </c>
      <c r="H50" s="11">
        <f t="shared" si="7"/>
        <v>-19.600322642471259</v>
      </c>
      <c r="I50" s="11">
        <f t="shared" si="8"/>
        <v>-4.0735944008986604E-3</v>
      </c>
      <c r="J50" s="20">
        <f t="shared" si="9"/>
        <v>-4.177823458362364E-2</v>
      </c>
    </row>
    <row r="51" spans="4:10" x14ac:dyDescent="0.25">
      <c r="D51" s="22">
        <v>0.13611111111111113</v>
      </c>
      <c r="E51" s="11">
        <v>64.819933510831746</v>
      </c>
      <c r="F51" s="11">
        <f t="shared" si="5"/>
        <v>0.33383140467630823</v>
      </c>
      <c r="G51" s="11">
        <f t="shared" si="6"/>
        <v>8.3157248770243386E-2</v>
      </c>
      <c r="H51" s="11">
        <f t="shared" si="7"/>
        <v>-21.241519211082192</v>
      </c>
      <c r="I51" s="11">
        <f t="shared" si="8"/>
        <v>-3.9148446937287956E-3</v>
      </c>
      <c r="J51" s="20">
        <f t="shared" si="9"/>
        <v>-5.3852991446976139E-2</v>
      </c>
    </row>
    <row r="52" spans="4:10" x14ac:dyDescent="0.25">
      <c r="D52" s="22">
        <v>0.1388888888888889</v>
      </c>
      <c r="E52" s="11">
        <v>64.652548227210985</v>
      </c>
      <c r="F52" s="11">
        <f t="shared" si="5"/>
        <v>0.31740186586625108</v>
      </c>
      <c r="G52" s="11">
        <f t="shared" si="6"/>
        <v>8.2684990690796878E-2</v>
      </c>
      <c r="H52" s="11">
        <f t="shared" si="7"/>
        <v>-20.906933833302482</v>
      </c>
      <c r="I52" s="11">
        <f t="shared" si="8"/>
        <v>-3.9549075608154762E-3</v>
      </c>
      <c r="J52" s="20">
        <f t="shared" si="9"/>
        <v>-5.691648906608307E-2</v>
      </c>
    </row>
    <row r="53" spans="4:10" x14ac:dyDescent="0.25">
      <c r="D53" s="22">
        <v>0.14166666666666666</v>
      </c>
      <c r="E53" s="11">
        <v>63.199039347745291</v>
      </c>
      <c r="F53" s="11">
        <f t="shared" si="5"/>
        <v>0.2038443443860482</v>
      </c>
      <c r="G53" s="11">
        <f t="shared" si="6"/>
        <v>6.806555890354983E-2</v>
      </c>
      <c r="H53" s="11">
        <f t="shared" si="7"/>
        <v>-16.689299593301911</v>
      </c>
      <c r="I53" s="11">
        <f t="shared" si="8"/>
        <v>-4.0783951730884675E-3</v>
      </c>
      <c r="J53" s="20">
        <f t="shared" si="9"/>
        <v>2.5541481350827677E-2</v>
      </c>
    </row>
    <row r="54" spans="4:10" x14ac:dyDescent="0.25">
      <c r="D54" s="22">
        <v>0.14444444444444446</v>
      </c>
      <c r="E54" s="11">
        <v>62.560291291217226</v>
      </c>
      <c r="F54" s="11">
        <f t="shared" si="5"/>
        <v>0.15946378960646049</v>
      </c>
      <c r="G54" s="11">
        <f t="shared" si="6"/>
        <v>5.9722759218851014E-2</v>
      </c>
      <c r="H54" s="11">
        <f t="shared" si="7"/>
        <v>-14.55866631491487</v>
      </c>
      <c r="I54" s="11">
        <f t="shared" si="8"/>
        <v>-4.1022136181297752E-3</v>
      </c>
      <c r="J54" s="20">
        <f t="shared" si="9"/>
        <v>-2.8257324363885852E-2</v>
      </c>
    </row>
    <row r="55" spans="4:10" x14ac:dyDescent="0.25">
      <c r="D55" s="22">
        <v>0.14722222222222223</v>
      </c>
      <c r="E55" s="11">
        <v>61.918661253843013</v>
      </c>
      <c r="F55" s="11">
        <f t="shared" si="5"/>
        <v>0.12052097230517081</v>
      </c>
      <c r="G55" s="11">
        <f t="shared" si="6"/>
        <v>5.0540810412720759E-2</v>
      </c>
      <c r="H55" s="11">
        <f t="shared" si="7"/>
        <v>-12.258112107553071</v>
      </c>
      <c r="I55" s="11">
        <f t="shared" si="8"/>
        <v>-4.1230501050466871E-3</v>
      </c>
      <c r="J55" s="20">
        <f t="shared" si="9"/>
        <v>-2.3646760910992451E-2</v>
      </c>
    </row>
    <row r="56" spans="4:10" x14ac:dyDescent="0.25">
      <c r="D56" s="22">
        <v>0.15</v>
      </c>
      <c r="E56" s="11">
        <v>61.937316986949739</v>
      </c>
      <c r="F56" s="11">
        <f t="shared" si="5"/>
        <v>0.11793440441519991</v>
      </c>
      <c r="G56" s="11">
        <f t="shared" si="6"/>
        <v>5.0444120234974035E-2</v>
      </c>
      <c r="H56" s="11">
        <f t="shared" si="7"/>
        <v>-12.408789339278361</v>
      </c>
      <c r="I56" s="11">
        <f t="shared" si="8"/>
        <v>-4.0651927320016568E-3</v>
      </c>
      <c r="J56" s="20">
        <f t="shared" si="9"/>
        <v>-3.4460081081330432E-2</v>
      </c>
    </row>
    <row r="57" spans="4:10" x14ac:dyDescent="0.25">
      <c r="D57" s="22">
        <v>0.15277777777777779</v>
      </c>
      <c r="E57" s="11">
        <v>61.784890792702384</v>
      </c>
      <c r="F57" s="11">
        <f t="shared" si="5"/>
        <v>0.10687749073954492</v>
      </c>
      <c r="G57" s="11">
        <f t="shared" si="6"/>
        <v>4.7802049224508612E-2</v>
      </c>
      <c r="H57" s="11">
        <f t="shared" si="7"/>
        <v>-11.874460668236996</v>
      </c>
      <c r="I57" s="11">
        <f t="shared" si="8"/>
        <v>-4.0256185573441959E-3</v>
      </c>
      <c r="J57" s="20">
        <f t="shared" si="9"/>
        <v>-3.2429302663589378E-2</v>
      </c>
    </row>
    <row r="58" spans="4:10" x14ac:dyDescent="0.25">
      <c r="D58" s="22">
        <v>0.15555555555555556</v>
      </c>
      <c r="E58" s="11">
        <v>60.975272263407319</v>
      </c>
      <c r="F58" s="11">
        <f t="shared" si="5"/>
        <v>6.9745344414065005E-2</v>
      </c>
      <c r="G58" s="11">
        <f t="shared" si="6"/>
        <v>3.5725819910212293E-2</v>
      </c>
      <c r="H58" s="11">
        <f t="shared" si="7"/>
        <v>-8.6686843155599487</v>
      </c>
      <c r="I58" s="11">
        <f t="shared" si="8"/>
        <v>-4.1212505392641706E-3</v>
      </c>
      <c r="J58" s="20">
        <f t="shared" si="9"/>
        <v>-1.2370859799880594E-2</v>
      </c>
    </row>
    <row r="59" spans="4:10" x14ac:dyDescent="0.25">
      <c r="D59" s="22">
        <v>0.15833333333333333</v>
      </c>
      <c r="E59" s="11">
        <v>60.59594199938293</v>
      </c>
      <c r="F59" s="11">
        <f t="shared" si="5"/>
        <v>5.428849945132419E-2</v>
      </c>
      <c r="G59" s="11">
        <f t="shared" si="6"/>
        <v>3.0006647902748769E-2</v>
      </c>
      <c r="H59" s="11">
        <f t="shared" si="7"/>
        <v>-7.3026337677899331</v>
      </c>
      <c r="I59" s="11">
        <f t="shared" si="8"/>
        <v>-4.1090172199378929E-3</v>
      </c>
      <c r="J59" s="20">
        <f t="shared" si="9"/>
        <v>-1.8126243773163866E-2</v>
      </c>
    </row>
    <row r="60" spans="4:10" x14ac:dyDescent="0.25">
      <c r="D60" s="22">
        <v>0.16111111111111112</v>
      </c>
      <c r="E60" s="11">
        <v>60.832805669798674</v>
      </c>
      <c r="F60" s="11">
        <f t="shared" si="5"/>
        <v>5.8703347401597931E-2</v>
      </c>
      <c r="G60" s="11">
        <f t="shared" si="6"/>
        <v>3.2282326032496624E-2</v>
      </c>
      <c r="H60" s="11">
        <f t="shared" si="7"/>
        <v>-8.0383060965557309</v>
      </c>
      <c r="I60" s="11">
        <f t="shared" si="8"/>
        <v>-4.0160608024530217E-3</v>
      </c>
      <c r="J60" s="20">
        <f t="shared" si="9"/>
        <v>-2.1423037806085503E-2</v>
      </c>
    </row>
    <row r="61" spans="4:10" x14ac:dyDescent="0.25">
      <c r="D61" s="22">
        <v>0.16388888888888889</v>
      </c>
      <c r="E61" s="11">
        <v>61.497635486977224</v>
      </c>
      <c r="F61" s="11">
        <f t="shared" si="5"/>
        <v>7.9668429786328918E-2</v>
      </c>
      <c r="G61" s="11">
        <f t="shared" si="6"/>
        <v>4.1061056906306535E-2</v>
      </c>
      <c r="H61" s="11">
        <f t="shared" si="7"/>
        <v>-10.75378401368425</v>
      </c>
      <c r="I61" s="11">
        <f t="shared" si="8"/>
        <v>-3.8182891579425543E-3</v>
      </c>
      <c r="J61" s="20">
        <f t="shared" si="9"/>
        <v>-2.0797155664962264E-2</v>
      </c>
    </row>
    <row r="62" spans="4:10" x14ac:dyDescent="0.25">
      <c r="D62" s="22">
        <v>0.16666666666666669</v>
      </c>
      <c r="E62" s="11">
        <v>61.497068867053343</v>
      </c>
      <c r="F62" s="11">
        <f t="shared" ref="F62:F91" si="10">BSGreeks(E62,$B$3,$B$6 - D62,$B$8, $B$5,$F$1)</f>
        <v>7.6006134280961257E-2</v>
      </c>
      <c r="G62" s="11">
        <f t="shared" ref="G62:G91" si="11">BSGreeks(E62,$B$3,$B$6 - D62,$B$8, $B$5,$G$1)</f>
        <v>4.0275683453200498E-2</v>
      </c>
      <c r="H62" s="11">
        <f t="shared" ref="H62:H91" si="12">BSGreeks(E62,$B$3,$B$6 - D62,$B$8, $B$5,$H$1)</f>
        <v>-10.722765123071891</v>
      </c>
      <c r="I62" s="11">
        <f t="shared" si="8"/>
        <v>-3.7560911752641461E-3</v>
      </c>
      <c r="J62" s="20">
        <f t="shared" si="9"/>
        <v>-2.9785452209781918E-2</v>
      </c>
    </row>
    <row r="63" spans="4:10" x14ac:dyDescent="0.25">
      <c r="D63" s="22">
        <v>0.16944444444444445</v>
      </c>
      <c r="E63" s="11">
        <v>60.925384040902571</v>
      </c>
      <c r="F63" s="11">
        <f t="shared" si="10"/>
        <v>5.2268843033802741E-2</v>
      </c>
      <c r="G63" s="11">
        <f t="shared" si="11"/>
        <v>3.0893678567286531E-2</v>
      </c>
      <c r="H63" s="11">
        <f t="shared" si="12"/>
        <v>-8.1050462694946059</v>
      </c>
      <c r="I63" s="11">
        <f t="shared" si="8"/>
        <v>-3.8116597413592459E-3</v>
      </c>
      <c r="J63" s="20">
        <f t="shared" si="9"/>
        <v>-1.7465626711804239E-2</v>
      </c>
    </row>
    <row r="64" spans="4:10" x14ac:dyDescent="0.25">
      <c r="D64" s="22">
        <v>0.17222222222222222</v>
      </c>
      <c r="E64" s="11">
        <v>61.738885812304297</v>
      </c>
      <c r="F64" s="11">
        <f t="shared" si="10"/>
        <v>7.8393157898720769E-2</v>
      </c>
      <c r="G64" s="11">
        <f t="shared" si="11"/>
        <v>4.2513204911774002E-2</v>
      </c>
      <c r="H64" s="11">
        <f t="shared" si="12"/>
        <v>-11.790870936109284</v>
      </c>
      <c r="I64" s="11">
        <f t="shared" si="8"/>
        <v>-3.6056034488154936E-3</v>
      </c>
      <c r="J64" s="20">
        <f t="shared" si="9"/>
        <v>-1.8685115803261848E-2</v>
      </c>
    </row>
    <row r="65" spans="4:10" x14ac:dyDescent="0.25">
      <c r="D65" s="22">
        <v>0.17500000000000002</v>
      </c>
      <c r="E65" s="11">
        <v>61.530509414444161</v>
      </c>
      <c r="F65" s="11">
        <f t="shared" si="10"/>
        <v>6.6098143685216382E-2</v>
      </c>
      <c r="G65" s="11">
        <f t="shared" si="11"/>
        <v>3.8114475327156144E-2</v>
      </c>
      <c r="H65" s="11">
        <f t="shared" si="12"/>
        <v>-10.562653392633386</v>
      </c>
      <c r="I65" s="11">
        <f t="shared" si="8"/>
        <v>-3.6084186340657521E-3</v>
      </c>
      <c r="J65" s="20">
        <f t="shared" si="9"/>
        <v>-2.8513224827162127E-2</v>
      </c>
    </row>
    <row r="66" spans="4:10" x14ac:dyDescent="0.25">
      <c r="D66" s="22">
        <v>0.17777777777777778</v>
      </c>
      <c r="E66" s="11">
        <v>61.236332459279289</v>
      </c>
      <c r="F66" s="11">
        <f t="shared" si="10"/>
        <v>5.2059850180466695E-2</v>
      </c>
      <c r="G66" s="11">
        <f t="shared" si="11"/>
        <v>3.2358550421674744E-2</v>
      </c>
      <c r="H66" s="11">
        <f t="shared" si="12"/>
        <v>-9.0546557375312382</v>
      </c>
      <c r="I66" s="11">
        <f t="shared" ref="I66:I91" si="13">G66/H66</f>
        <v>-3.573691961313301E-3</v>
      </c>
      <c r="J66" s="20">
        <f t="shared" si="9"/>
        <v>-2.3751665706682832E-2</v>
      </c>
    </row>
    <row r="67" spans="4:10" x14ac:dyDescent="0.25">
      <c r="D67" s="22">
        <v>0.18055555555555555</v>
      </c>
      <c r="E67" s="11">
        <v>61.717742663750002</v>
      </c>
      <c r="F67" s="11">
        <f t="shared" si="10"/>
        <v>6.5431761156473034E-2</v>
      </c>
      <c r="G67" s="11">
        <f t="shared" si="11"/>
        <v>3.9180606173255417E-2</v>
      </c>
      <c r="H67" s="11">
        <f t="shared" si="12"/>
        <v>-11.351036573720396</v>
      </c>
      <c r="I67" s="11">
        <f t="shared" si="13"/>
        <v>-3.4517205471758646E-3</v>
      </c>
      <c r="J67" s="20">
        <f t="shared" ref="J67:J91" si="14">((E67-E66) ^ 2 )*G67/2 + (D67-D66)*H67</f>
        <v>-2.6990491079610327E-2</v>
      </c>
    </row>
    <row r="68" spans="4:10" x14ac:dyDescent="0.25">
      <c r="D68" s="22">
        <v>0.18333333333333335</v>
      </c>
      <c r="E68" s="11">
        <v>61.213720956470546</v>
      </c>
      <c r="F68" s="11">
        <f t="shared" si="10"/>
        <v>4.4322616600499395E-2</v>
      </c>
      <c r="G68" s="11">
        <f t="shared" si="11"/>
        <v>2.9621657706148014E-2</v>
      </c>
      <c r="H68" s="11">
        <f t="shared" si="12"/>
        <v>-8.6220672105493712</v>
      </c>
      <c r="I68" s="11">
        <f t="shared" si="13"/>
        <v>-3.4355633031838331E-3</v>
      </c>
      <c r="J68" s="20">
        <f t="shared" si="14"/>
        <v>-2.0187675112225936E-2</v>
      </c>
    </row>
    <row r="69" spans="4:10" x14ac:dyDescent="0.25">
      <c r="D69" s="22">
        <v>0.18611111111111112</v>
      </c>
      <c r="E69" s="11">
        <v>61.130454589580424</v>
      </c>
      <c r="F69" s="11">
        <f t="shared" si="10"/>
        <v>3.8521170499524984E-2</v>
      </c>
      <c r="G69" s="11">
        <f t="shared" si="11"/>
        <v>2.7043347680092117E-2</v>
      </c>
      <c r="H69" s="11">
        <f t="shared" si="12"/>
        <v>-8.0207359732453973</v>
      </c>
      <c r="I69" s="11">
        <f t="shared" si="13"/>
        <v>-3.3716790791144418E-3</v>
      </c>
      <c r="J69" s="20">
        <f t="shared" si="14"/>
        <v>-2.2186072490888251E-2</v>
      </c>
    </row>
    <row r="70" spans="4:10" x14ac:dyDescent="0.25">
      <c r="D70" s="22">
        <v>0.18888888888888888</v>
      </c>
      <c r="E70" s="11">
        <v>60.669779059712077</v>
      </c>
      <c r="F70" s="11">
        <f t="shared" si="10"/>
        <v>2.4830606696784378E-2</v>
      </c>
      <c r="G70" s="11">
        <f t="shared" si="11"/>
        <v>1.9373560564610811E-2</v>
      </c>
      <c r="H70" s="11">
        <f t="shared" si="12"/>
        <v>-5.7936783160812055</v>
      </c>
      <c r="I70" s="11">
        <f t="shared" si="13"/>
        <v>-3.34391374661528E-3</v>
      </c>
      <c r="J70" s="20">
        <f t="shared" si="14"/>
        <v>-1.4037803537140209E-2</v>
      </c>
    </row>
    <row r="71" spans="4:10" x14ac:dyDescent="0.25">
      <c r="D71" s="22">
        <v>0.19166666666666668</v>
      </c>
      <c r="E71" s="11">
        <v>61.418757843021112</v>
      </c>
      <c r="F71" s="11">
        <f t="shared" si="10"/>
        <v>3.944802804032338E-2</v>
      </c>
      <c r="G71" s="11">
        <f t="shared" si="11"/>
        <v>2.8719645449761234E-2</v>
      </c>
      <c r="H71" s="11">
        <f t="shared" si="12"/>
        <v>-8.9956106653900392</v>
      </c>
      <c r="I71" s="11">
        <f t="shared" si="13"/>
        <v>-3.1926287739706201E-3</v>
      </c>
      <c r="J71" s="20">
        <f t="shared" si="14"/>
        <v>-1.6932388881462347E-2</v>
      </c>
    </row>
    <row r="72" spans="4:10" x14ac:dyDescent="0.25">
      <c r="D72" s="22">
        <v>0.19444444444444445</v>
      </c>
      <c r="E72" s="11">
        <v>61.603052072906038</v>
      </c>
      <c r="F72" s="11">
        <f t="shared" si="10"/>
        <v>4.1009998997476552E-2</v>
      </c>
      <c r="G72" s="11">
        <f t="shared" si="11"/>
        <v>3.0281066061889704E-2</v>
      </c>
      <c r="H72" s="11">
        <f t="shared" si="12"/>
        <v>-9.7752028263312507</v>
      </c>
      <c r="I72" s="11">
        <f t="shared" si="13"/>
        <v>-3.0977429931502041E-3</v>
      </c>
      <c r="J72" s="20">
        <f t="shared" si="14"/>
        <v>-2.6639102621819972E-2</v>
      </c>
    </row>
    <row r="73" spans="4:10" x14ac:dyDescent="0.25">
      <c r="D73" s="22">
        <v>0.19722222222222224</v>
      </c>
      <c r="E73" s="11">
        <v>61.39790794921219</v>
      </c>
      <c r="F73" s="11">
        <f t="shared" si="10"/>
        <v>3.1510944177420425E-2</v>
      </c>
      <c r="G73" s="11">
        <f t="shared" si="11"/>
        <v>2.5120947607716788E-2</v>
      </c>
      <c r="H73" s="11">
        <f t="shared" si="12"/>
        <v>-8.2685503024630762</v>
      </c>
      <c r="I73" s="11">
        <f t="shared" si="13"/>
        <v>-3.0381320411431295E-3</v>
      </c>
      <c r="J73" s="20">
        <f t="shared" si="14"/>
        <v>-2.2439598904739774E-2</v>
      </c>
    </row>
    <row r="74" spans="4:10" x14ac:dyDescent="0.25">
      <c r="D74" s="22">
        <v>0.2</v>
      </c>
      <c r="E74" s="11">
        <v>61.219023643140019</v>
      </c>
      <c r="F74" s="11">
        <f t="shared" si="10"/>
        <v>2.3994911295488128E-2</v>
      </c>
      <c r="G74" s="11">
        <f t="shared" si="11"/>
        <v>2.062474714585746E-2</v>
      </c>
      <c r="H74" s="11">
        <f t="shared" si="12"/>
        <v>-6.938003267933353</v>
      </c>
      <c r="I74" s="11">
        <f t="shared" si="13"/>
        <v>-2.9727208750654028E-3</v>
      </c>
      <c r="J74" s="20">
        <f t="shared" si="14"/>
        <v>-1.8942239522415992E-2</v>
      </c>
    </row>
    <row r="75" spans="4:10" x14ac:dyDescent="0.25">
      <c r="D75" s="22">
        <v>0.20277777777777778</v>
      </c>
      <c r="E75" s="11">
        <v>61.920591021770534</v>
      </c>
      <c r="F75" s="11">
        <f t="shared" si="10"/>
        <v>3.7956637331467584E-2</v>
      </c>
      <c r="G75" s="11">
        <f t="shared" si="11"/>
        <v>3.068273519314052E-2</v>
      </c>
      <c r="H75" s="11">
        <f t="shared" si="12"/>
        <v>-10.851691484724402</v>
      </c>
      <c r="I75" s="11">
        <f t="shared" si="13"/>
        <v>-2.8274610678281518E-3</v>
      </c>
      <c r="J75" s="20">
        <f t="shared" si="14"/>
        <v>-2.2592615622054953E-2</v>
      </c>
    </row>
    <row r="76" spans="4:10" x14ac:dyDescent="0.25">
      <c r="D76" s="22">
        <v>0.20555555555555557</v>
      </c>
      <c r="E76" s="11">
        <v>62.065049524979727</v>
      </c>
      <c r="F76" s="11">
        <f t="shared" si="10"/>
        <v>3.781398178738174E-2</v>
      </c>
      <c r="G76" s="11">
        <f t="shared" si="11"/>
        <v>3.1456623274808269E-2</v>
      </c>
      <c r="H76" s="11">
        <f t="shared" si="12"/>
        <v>-11.519862936754741</v>
      </c>
      <c r="I76" s="11">
        <f t="shared" si="13"/>
        <v>-2.7306421480453751E-3</v>
      </c>
      <c r="J76" s="20">
        <f t="shared" si="14"/>
        <v>-3.167139678553086E-2</v>
      </c>
    </row>
    <row r="77" spans="4:10" x14ac:dyDescent="0.25">
      <c r="D77" s="22">
        <v>0.20833333333333334</v>
      </c>
      <c r="E77" s="11">
        <v>63.040968971019971</v>
      </c>
      <c r="F77" s="11">
        <f t="shared" si="10"/>
        <v>7.280860461699544E-2</v>
      </c>
      <c r="G77" s="11">
        <f t="shared" si="11"/>
        <v>5.3769727986180071E-2</v>
      </c>
      <c r="H77" s="11">
        <f t="shared" si="12"/>
        <v>-21.107194688293934</v>
      </c>
      <c r="I77" s="11">
        <f t="shared" si="13"/>
        <v>-2.5474597065237099E-3</v>
      </c>
      <c r="J77" s="20">
        <f t="shared" si="14"/>
        <v>-3.3025447390591996E-2</v>
      </c>
    </row>
    <row r="78" spans="4:10" x14ac:dyDescent="0.25">
      <c r="D78" s="22">
        <v>0.21111111111111111</v>
      </c>
      <c r="E78" s="11">
        <v>63.072416736599166</v>
      </c>
      <c r="F78" s="11">
        <f t="shared" si="10"/>
        <v>6.7306858177429707E-2</v>
      </c>
      <c r="G78" s="11">
        <f t="shared" si="11"/>
        <v>5.2365980481699173E-2</v>
      </c>
      <c r="H78" s="11">
        <f t="shared" si="12"/>
        <v>-21.151741698918833</v>
      </c>
      <c r="I78" s="11">
        <f t="shared" si="13"/>
        <v>-2.4757290074309034E-3</v>
      </c>
      <c r="J78" s="20">
        <f t="shared" si="14"/>
        <v>-5.8728944071206844E-2</v>
      </c>
    </row>
    <row r="79" spans="4:10" x14ac:dyDescent="0.25">
      <c r="D79" s="22">
        <v>0.21388888888888891</v>
      </c>
      <c r="E79" s="11">
        <v>62.783299490987716</v>
      </c>
      <c r="F79" s="11">
        <f t="shared" si="10"/>
        <v>4.6854377493014486E-2</v>
      </c>
      <c r="G79" s="11">
        <f t="shared" si="11"/>
        <v>4.1034080912361048E-2</v>
      </c>
      <c r="H79" s="11">
        <f t="shared" si="12"/>
        <v>-17.047626980842669</v>
      </c>
      <c r="I79" s="11">
        <f t="shared" si="13"/>
        <v>-2.4070259724988845E-3</v>
      </c>
      <c r="J79" s="20">
        <f t="shared" si="14"/>
        <v>-4.5639524975204022E-2</v>
      </c>
    </row>
    <row r="80" spans="4:10" x14ac:dyDescent="0.25">
      <c r="D80" s="22">
        <v>0.21666666666666667</v>
      </c>
      <c r="E80" s="11">
        <v>63.526711133401584</v>
      </c>
      <c r="F80" s="11">
        <f t="shared" si="10"/>
        <v>7.7084493642488261E-2</v>
      </c>
      <c r="G80" s="11">
        <f t="shared" si="11"/>
        <v>6.2311031671375611E-2</v>
      </c>
      <c r="H80" s="11">
        <f t="shared" si="12"/>
        <v>-27.716607150442428</v>
      </c>
      <c r="I80" s="11">
        <f t="shared" si="13"/>
        <v>-2.2481478823565518E-3</v>
      </c>
      <c r="J80" s="20">
        <f t="shared" si="14"/>
        <v>-5.9772140928462447E-2</v>
      </c>
    </row>
    <row r="81" spans="4:10" x14ac:dyDescent="0.25">
      <c r="D81" s="22">
        <v>0.21944444444444444</v>
      </c>
      <c r="E81" s="11">
        <v>63.096790589147659</v>
      </c>
      <c r="F81" s="11">
        <f t="shared" si="10"/>
        <v>4.5953968180634762E-2</v>
      </c>
      <c r="G81" s="11">
        <f t="shared" si="11"/>
        <v>4.3701047270776942E-2</v>
      </c>
      <c r="H81" s="11">
        <f t="shared" si="12"/>
        <v>-19.930710243340421</v>
      </c>
      <c r="I81" s="11">
        <f t="shared" si="13"/>
        <v>-2.1926487685193789E-3</v>
      </c>
      <c r="J81" s="20">
        <f t="shared" si="14"/>
        <v>-5.1324415139853884E-2</v>
      </c>
    </row>
    <row r="82" spans="4:10" x14ac:dyDescent="0.25">
      <c r="D82" s="22">
        <v>0.22222222222222224</v>
      </c>
      <c r="E82" s="11">
        <v>62.670765872931703</v>
      </c>
      <c r="F82" s="11">
        <f t="shared" si="10"/>
        <v>2.4195076948271679E-2</v>
      </c>
      <c r="G82" s="11">
        <f t="shared" si="11"/>
        <v>2.7219320851861819E-2</v>
      </c>
      <c r="H82" s="11">
        <f t="shared" si="12"/>
        <v>-12.853251169340682</v>
      </c>
      <c r="I82" s="11">
        <f t="shared" si="13"/>
        <v>-2.1176992881605733E-3</v>
      </c>
      <c r="J82" s="20">
        <f t="shared" si="14"/>
        <v>-3.3233362131451893E-2</v>
      </c>
    </row>
    <row r="83" spans="4:10" x14ac:dyDescent="0.25">
      <c r="D83" s="22">
        <v>0.22500000000000001</v>
      </c>
      <c r="E83" s="11">
        <v>62.065557212371012</v>
      </c>
      <c r="F83" s="11">
        <f t="shared" si="10"/>
        <v>8.4075306782365779E-3</v>
      </c>
      <c r="G83" s="11">
        <f t="shared" si="11"/>
        <v>1.1666435272653947E-2</v>
      </c>
      <c r="H83" s="11">
        <f t="shared" si="12"/>
        <v>-5.7089728115130338</v>
      </c>
      <c r="I83" s="11">
        <f t="shared" si="13"/>
        <v>-2.0435261574773592E-3</v>
      </c>
      <c r="J83" s="20">
        <f t="shared" si="14"/>
        <v>-1.3721681303868204E-2</v>
      </c>
    </row>
    <row r="84" spans="4:10" x14ac:dyDescent="0.25">
      <c r="D84" s="22">
        <v>0.22777777777777777</v>
      </c>
      <c r="E84" s="11">
        <v>61.810844967037646</v>
      </c>
      <c r="F84" s="11">
        <f t="shared" si="10"/>
        <v>3.7138354984599786E-3</v>
      </c>
      <c r="G84" s="11">
        <f t="shared" si="11"/>
        <v>6.0149430187859242E-3</v>
      </c>
      <c r="H84" s="11">
        <f t="shared" si="12"/>
        <v>-3.0846141594673533</v>
      </c>
      <c r="I84" s="11">
        <f t="shared" si="13"/>
        <v>-1.9499823017814896E-3</v>
      </c>
      <c r="J84" s="20">
        <f t="shared" si="14"/>
        <v>-8.3732529423822949E-3</v>
      </c>
    </row>
    <row r="85" spans="4:10" x14ac:dyDescent="0.25">
      <c r="D85" s="22">
        <v>0.23055555555555557</v>
      </c>
      <c r="E85" s="11">
        <v>59.985162158556768</v>
      </c>
      <c r="F85" s="11">
        <f t="shared" si="10"/>
        <v>4.0655424589114792E-5</v>
      </c>
      <c r="G85" s="11">
        <f t="shared" si="11"/>
        <v>1.0131421371343945E-4</v>
      </c>
      <c r="H85" s="11">
        <f t="shared" si="12"/>
        <v>-5.232052614684763E-2</v>
      </c>
      <c r="I85" s="11">
        <f t="shared" si="13"/>
        <v>-1.9364142751370965E-3</v>
      </c>
      <c r="J85" s="20">
        <f t="shared" si="14"/>
        <v>2.3511305512990461E-5</v>
      </c>
    </row>
    <row r="86" spans="4:10" x14ac:dyDescent="0.25">
      <c r="D86" s="22">
        <v>0.23333333333333334</v>
      </c>
      <c r="E86" s="11">
        <v>60.399191049693115</v>
      </c>
      <c r="F86" s="11">
        <f t="shared" si="10"/>
        <v>3.2524988612561954E-5</v>
      </c>
      <c r="G86" s="11">
        <f t="shared" si="11"/>
        <v>8.8004153098326015E-5</v>
      </c>
      <c r="H86" s="11">
        <f t="shared" si="12"/>
        <v>-4.976996294357014E-2</v>
      </c>
      <c r="I86" s="11">
        <f t="shared" si="13"/>
        <v>-1.7682181760534225E-3</v>
      </c>
      <c r="J86" s="20">
        <f t="shared" si="14"/>
        <v>-1.3070706450496903E-4</v>
      </c>
    </row>
    <row r="87" spans="4:10" x14ac:dyDescent="0.25">
      <c r="D87" s="22">
        <v>0.23611111111111113</v>
      </c>
      <c r="E87" s="11">
        <v>61.037335750909229</v>
      </c>
      <c r="F87" s="11">
        <f t="shared" si="10"/>
        <v>4.1907755926872798E-5</v>
      </c>
      <c r="G87" s="11">
        <f t="shared" si="11"/>
        <v>1.2123709104922573E-4</v>
      </c>
      <c r="H87" s="11">
        <f t="shared" si="12"/>
        <v>-7.6685837705567028E-2</v>
      </c>
      <c r="I87" s="11">
        <f t="shared" si="13"/>
        <v>-1.5809580318430099E-3</v>
      </c>
      <c r="J87" s="20">
        <f t="shared" si="14"/>
        <v>-1.8833060680244107E-4</v>
      </c>
    </row>
    <row r="88" spans="4:10" x14ac:dyDescent="0.25">
      <c r="D88" s="22">
        <v>0.2388888888888889</v>
      </c>
      <c r="E88" s="11">
        <v>60.662354777205259</v>
      </c>
      <c r="F88" s="11">
        <f t="shared" si="10"/>
        <v>1.336127915414775E-6</v>
      </c>
      <c r="G88" s="11">
        <f t="shared" si="11"/>
        <v>5.1105351561853915E-6</v>
      </c>
      <c r="H88" s="11">
        <f t="shared" si="12"/>
        <v>-3.5685645106750289E-3</v>
      </c>
      <c r="I88" s="11">
        <f t="shared" si="13"/>
        <v>-1.4320982963591385E-3</v>
      </c>
      <c r="J88" s="20">
        <f t="shared" si="14"/>
        <v>-9.5533811551832296E-6</v>
      </c>
    </row>
    <row r="89" spans="4:10" x14ac:dyDescent="0.25">
      <c r="D89" s="22">
        <v>0.24166666666666667</v>
      </c>
      <c r="E89" s="11">
        <v>61.005846864384701</v>
      </c>
      <c r="F89" s="11">
        <f t="shared" si="10"/>
        <v>1.5523038757363053E-7</v>
      </c>
      <c r="G89" s="11">
        <f t="shared" si="11"/>
        <v>7.3861833604210657E-7</v>
      </c>
      <c r="H89" s="11">
        <f t="shared" si="12"/>
        <v>-6.0256670047623639E-4</v>
      </c>
      <c r="I89" s="11">
        <f t="shared" si="13"/>
        <v>-1.2257868472624561E-3</v>
      </c>
      <c r="J89" s="20">
        <f t="shared" si="14"/>
        <v>-1.6302227781126269E-6</v>
      </c>
    </row>
    <row r="90" spans="4:10" x14ac:dyDescent="0.25">
      <c r="D90" s="22">
        <v>0.24444444444444446</v>
      </c>
      <c r="E90" s="11">
        <v>60.853725684804537</v>
      </c>
      <c r="F90" s="11">
        <f t="shared" si="10"/>
        <v>5.9270622923137547E-11</v>
      </c>
      <c r="G90" s="11">
        <f t="shared" si="11"/>
        <v>4.3055231648231867E-10</v>
      </c>
      <c r="H90" s="11">
        <f t="shared" si="12"/>
        <v>-4.2888288681806543E-7</v>
      </c>
      <c r="I90" s="11">
        <f t="shared" si="13"/>
        <v>-1.0038925070586027E-3</v>
      </c>
      <c r="J90" s="20">
        <f t="shared" si="14"/>
        <v>-1.1863596782805469E-9</v>
      </c>
    </row>
    <row r="91" spans="4:10" x14ac:dyDescent="0.25">
      <c r="D91" s="23">
        <v>0.24722222222222223</v>
      </c>
      <c r="E91" s="13">
        <v>61.423284785513921</v>
      </c>
      <c r="F91" s="13">
        <f t="shared" si="10"/>
        <v>8.9842634496993299E-17</v>
      </c>
      <c r="G91" s="13">
        <f t="shared" si="11"/>
        <v>1.1590802625384712E-15</v>
      </c>
      <c r="H91" s="13">
        <f t="shared" si="12"/>
        <v>-1.6601040982811578E-12</v>
      </c>
      <c r="I91" s="13">
        <f t="shared" si="13"/>
        <v>-6.981973381901546E-4</v>
      </c>
      <c r="J91" s="21">
        <f t="shared" si="14"/>
        <v>-4.4233988631650995E-15</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amma_theta_PnL">
                <anchor moveWithCells="1" sizeWithCells="1">
                  <from>
                    <xdr:col>0</xdr:col>
                    <xdr:colOff>57150</xdr:colOff>
                    <xdr:row>9</xdr:row>
                    <xdr:rowOff>171450</xdr:rowOff>
                  </from>
                  <to>
                    <xdr:col>1</xdr:col>
                    <xdr:colOff>733425</xdr:colOff>
                    <xdr:row>12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FC6CA-F24B-4102-8015-66B1F3B66432}">
  <sheetPr codeName="Feuil13"/>
  <dimension ref="C1:AJ91"/>
  <sheetViews>
    <sheetView zoomScale="33" workbookViewId="0">
      <selection activeCell="AJ1" sqref="AJ1"/>
    </sheetView>
  </sheetViews>
  <sheetFormatPr baseColWidth="10" defaultRowHeight="15" x14ac:dyDescent="0.25"/>
  <cols>
    <col min="35" max="35" width="13.85546875" bestFit="1" customWidth="1"/>
    <col min="36" max="36" width="17.7109375" bestFit="1" customWidth="1"/>
  </cols>
  <sheetData>
    <row r="1" spans="3:36" ht="36" customHeight="1" x14ac:dyDescent="0.25">
      <c r="C1" s="42" t="s">
        <v>84</v>
      </c>
      <c r="D1" s="42" t="s">
        <v>85</v>
      </c>
      <c r="E1" s="42" t="s">
        <v>86</v>
      </c>
      <c r="F1" s="42" t="s">
        <v>87</v>
      </c>
      <c r="G1" s="42" t="s">
        <v>88</v>
      </c>
      <c r="H1" s="42" t="s">
        <v>89</v>
      </c>
      <c r="I1" s="42" t="s">
        <v>90</v>
      </c>
      <c r="J1" s="42" t="s">
        <v>91</v>
      </c>
      <c r="K1" s="42" t="s">
        <v>92</v>
      </c>
      <c r="L1" s="42" t="s">
        <v>93</v>
      </c>
      <c r="M1" s="42" t="s">
        <v>94</v>
      </c>
      <c r="N1" s="42" t="s">
        <v>95</v>
      </c>
      <c r="O1" s="42" t="s">
        <v>96</v>
      </c>
      <c r="P1" s="42" t="s">
        <v>97</v>
      </c>
      <c r="Q1" s="42" t="s">
        <v>98</v>
      </c>
      <c r="R1" s="42" t="s">
        <v>99</v>
      </c>
      <c r="S1" s="42" t="s">
        <v>100</v>
      </c>
      <c r="T1" s="42" t="s">
        <v>101</v>
      </c>
      <c r="U1" s="42" t="s">
        <v>102</v>
      </c>
      <c r="V1" s="42" t="s">
        <v>103</v>
      </c>
      <c r="W1" s="42" t="s">
        <v>104</v>
      </c>
      <c r="X1" s="42" t="s">
        <v>105</v>
      </c>
      <c r="Y1" s="42" t="s">
        <v>106</v>
      </c>
      <c r="Z1" s="42" t="s">
        <v>107</v>
      </c>
      <c r="AA1" s="42" t="s">
        <v>108</v>
      </c>
      <c r="AB1" s="42" t="s">
        <v>109</v>
      </c>
      <c r="AC1" s="42" t="s">
        <v>110</v>
      </c>
      <c r="AD1" s="42" t="s">
        <v>111</v>
      </c>
      <c r="AE1" s="42" t="s">
        <v>112</v>
      </c>
      <c r="AF1" s="42" t="s">
        <v>113</v>
      </c>
      <c r="AI1" s="42" t="s">
        <v>114</v>
      </c>
      <c r="AJ1" s="43">
        <f>_xlfn.STDEV.S(C91:AF91)</f>
        <v>0.18301140851828543</v>
      </c>
    </row>
    <row r="2" spans="3:36" x14ac:dyDescent="0.25">
      <c r="C2" s="15">
        <v>0</v>
      </c>
      <c r="D2" s="15">
        <v>0</v>
      </c>
      <c r="E2" s="15">
        <v>0</v>
      </c>
      <c r="F2" s="15">
        <v>0</v>
      </c>
      <c r="G2" s="15">
        <v>0</v>
      </c>
      <c r="H2" s="15">
        <v>0</v>
      </c>
      <c r="I2" s="15">
        <v>0</v>
      </c>
      <c r="J2" s="15">
        <v>0</v>
      </c>
      <c r="K2" s="15">
        <v>0</v>
      </c>
      <c r="L2" s="15">
        <v>0</v>
      </c>
      <c r="M2" s="15">
        <v>0</v>
      </c>
      <c r="N2" s="15">
        <v>0</v>
      </c>
      <c r="O2" s="15">
        <v>0</v>
      </c>
      <c r="P2" s="15">
        <v>0</v>
      </c>
      <c r="Q2" s="15">
        <v>0</v>
      </c>
      <c r="R2" s="15">
        <v>0</v>
      </c>
      <c r="S2" s="15">
        <v>0</v>
      </c>
      <c r="T2" s="15">
        <v>0</v>
      </c>
      <c r="U2" s="15">
        <v>0</v>
      </c>
      <c r="V2" s="15">
        <v>0</v>
      </c>
      <c r="W2" s="15">
        <v>0</v>
      </c>
      <c r="X2" s="15">
        <v>0</v>
      </c>
      <c r="Y2" s="15">
        <v>0</v>
      </c>
      <c r="Z2" s="15">
        <v>0</v>
      </c>
      <c r="AA2" s="15">
        <v>0</v>
      </c>
      <c r="AB2" s="15">
        <v>0</v>
      </c>
      <c r="AC2" s="15">
        <v>0</v>
      </c>
      <c r="AD2" s="15">
        <v>0</v>
      </c>
      <c r="AE2" s="15">
        <v>0</v>
      </c>
      <c r="AF2" s="15">
        <v>0</v>
      </c>
    </row>
    <row r="3" spans="3:36" x14ac:dyDescent="0.25">
      <c r="C3" s="15">
        <v>-7.3700253161673723E-4</v>
      </c>
      <c r="D3" s="15">
        <v>5.876614630996313E-3</v>
      </c>
      <c r="E3" s="15">
        <v>5.6195780177696886E-3</v>
      </c>
      <c r="F3" s="15">
        <v>-6.9839585290099038E-3</v>
      </c>
      <c r="G3" s="15">
        <v>5.0875066415132508E-3</v>
      </c>
      <c r="H3" s="15">
        <v>1.8470640185310749E-3</v>
      </c>
      <c r="I3" s="15">
        <v>4.6946466472589932E-3</v>
      </c>
      <c r="J3" s="15">
        <v>-3.2602082857737302E-2</v>
      </c>
      <c r="K3" s="15">
        <v>-4.5979496318287461E-3</v>
      </c>
      <c r="L3" s="15">
        <v>-3.2303530260278657E-3</v>
      </c>
      <c r="M3" s="15">
        <v>-2.760457333067734E-3</v>
      </c>
      <c r="N3" s="15">
        <v>-5.1583280736776649E-3</v>
      </c>
      <c r="O3" s="15">
        <v>5.7846243400653252E-3</v>
      </c>
      <c r="P3" s="15">
        <v>3.7016766413825453E-3</v>
      </c>
      <c r="Q3" s="15">
        <v>2.4227354035544213E-3</v>
      </c>
      <c r="R3" s="15">
        <v>5.2940064970103951E-3</v>
      </c>
      <c r="S3" s="15">
        <v>3.1342313460743232E-3</v>
      </c>
      <c r="T3" s="15">
        <v>5.6291909598086276E-3</v>
      </c>
      <c r="U3" s="15">
        <v>6.1389667461534403E-3</v>
      </c>
      <c r="V3" s="15">
        <v>5.2790033810933279E-3</v>
      </c>
      <c r="W3" s="15">
        <v>-5.4669045620694967E-3</v>
      </c>
      <c r="X3" s="15">
        <v>4.251521423820348E-3</v>
      </c>
      <c r="Y3" s="15">
        <v>-1.7398669934047928E-2</v>
      </c>
      <c r="Z3" s="15">
        <v>3.6543190917777135E-3</v>
      </c>
      <c r="AA3" s="15">
        <v>3.3482209557759157E-3</v>
      </c>
      <c r="AB3" s="15">
        <v>-6.6090407193443168E-3</v>
      </c>
      <c r="AC3" s="15">
        <v>3.5881123761993816E-3</v>
      </c>
      <c r="AD3" s="15">
        <v>5.5751391763114722E-3</v>
      </c>
      <c r="AE3" s="15">
        <v>1.5030236819397746E-3</v>
      </c>
      <c r="AF3" s="15">
        <v>6.039727057886024E-3</v>
      </c>
    </row>
    <row r="4" spans="3:36" x14ac:dyDescent="0.25">
      <c r="C4" s="15">
        <v>2.3578620008808393E-3</v>
      </c>
      <c r="D4" s="15">
        <v>1.2616724668090495E-2</v>
      </c>
      <c r="E4" s="15">
        <v>1.088772893195189E-2</v>
      </c>
      <c r="F4" s="15">
        <v>-7.7365794177625125E-3</v>
      </c>
      <c r="G4" s="15">
        <v>2.8076703560802052E-3</v>
      </c>
      <c r="H4" s="15">
        <v>-1.0366119792144524E-3</v>
      </c>
      <c r="I4" s="15">
        <v>1.0120479841374153E-2</v>
      </c>
      <c r="J4" s="15">
        <v>-3.4632480424816092E-2</v>
      </c>
      <c r="K4" s="15">
        <v>-8.4073994780042849E-4</v>
      </c>
      <c r="L4" s="15">
        <v>-2.8032435449859561E-3</v>
      </c>
      <c r="M4" s="15">
        <v>-2.1646717316437691E-2</v>
      </c>
      <c r="N4" s="15">
        <v>-3.0377921765233573E-2</v>
      </c>
      <c r="O4" s="15">
        <v>1.1442194496175007E-2</v>
      </c>
      <c r="P4" s="15">
        <v>8.6612992610805017E-3</v>
      </c>
      <c r="Q4" s="15">
        <v>5.0763868205633278E-3</v>
      </c>
      <c r="R4" s="15">
        <v>7.156389416876352E-3</v>
      </c>
      <c r="S4" s="15">
        <v>3.4161397869350019E-3</v>
      </c>
      <c r="T4" s="15">
        <v>1.1659188404235632E-2</v>
      </c>
      <c r="U4" s="15">
        <v>-2.9844680573771654E-2</v>
      </c>
      <c r="V4" s="15">
        <v>9.8342911325024485E-3</v>
      </c>
      <c r="W4" s="15">
        <v>-3.7062714089098892E-3</v>
      </c>
      <c r="X4" s="15">
        <v>2.4122328967260964E-3</v>
      </c>
      <c r="Y4" s="15">
        <v>-7.9471870161895719E-3</v>
      </c>
      <c r="Z4" s="15">
        <v>8.9976922194869857E-3</v>
      </c>
      <c r="AA4" s="15">
        <v>1.0592132012141042E-2</v>
      </c>
      <c r="AB4" s="15">
        <v>-1.8574998369441209E-2</v>
      </c>
      <c r="AC4" s="15">
        <v>5.156332409419484E-3</v>
      </c>
      <c r="AD4" s="15">
        <v>8.3426137232271991E-3</v>
      </c>
      <c r="AE4" s="15">
        <v>5.7370019981841103E-3</v>
      </c>
      <c r="AF4" s="15">
        <v>1.0385775552487986E-2</v>
      </c>
    </row>
    <row r="5" spans="3:36" x14ac:dyDescent="0.25">
      <c r="C5" s="15">
        <v>-1.4257432582402974E-3</v>
      </c>
      <c r="D5" s="15">
        <v>5.0309464370028589E-3</v>
      </c>
      <c r="E5" s="15">
        <v>1.272467135148303E-2</v>
      </c>
      <c r="F5" s="15">
        <v>-7.8279341936366986E-3</v>
      </c>
      <c r="G5" s="15">
        <v>6.610989990786631E-3</v>
      </c>
      <c r="H5" s="15">
        <v>8.4657050385302801E-3</v>
      </c>
      <c r="I5" s="15">
        <v>1.5890433980994434E-2</v>
      </c>
      <c r="J5" s="15">
        <v>-3.8620626795257684E-2</v>
      </c>
      <c r="K5" s="15">
        <v>3.4500100354806218E-3</v>
      </c>
      <c r="L5" s="15">
        <v>-4.2571288067804747E-3</v>
      </c>
      <c r="M5" s="15">
        <v>-3.0816859699450139E-2</v>
      </c>
      <c r="N5" s="15">
        <v>-2.9851372371141549E-2</v>
      </c>
      <c r="O5" s="15">
        <v>1.9352986970441077E-2</v>
      </c>
      <c r="P5" s="15">
        <v>1.3312476304494614E-2</v>
      </c>
      <c r="Q5" s="15">
        <v>1.3717561979422865E-2</v>
      </c>
      <c r="R5" s="15">
        <v>6.7238801494875489E-3</v>
      </c>
      <c r="S5" s="15">
        <v>4.1445253967067885E-3</v>
      </c>
      <c r="T5" s="15">
        <v>1.7457346245551342E-2</v>
      </c>
      <c r="U5" s="15">
        <v>-2.1064204752067606E-2</v>
      </c>
      <c r="V5" s="15">
        <v>1.1156191403865146E-2</v>
      </c>
      <c r="W5" s="15">
        <v>-9.0044679037593056E-4</v>
      </c>
      <c r="X5" s="15">
        <v>6.7184460195748308E-3</v>
      </c>
      <c r="Y5" s="15">
        <v>-1.7437783824468811E-3</v>
      </c>
      <c r="Z5" s="15">
        <v>1.0367854800654719E-2</v>
      </c>
      <c r="AA5" s="15">
        <v>1.6368791232442059E-2</v>
      </c>
      <c r="AB5" s="15">
        <v>-2.2786793118144466E-2</v>
      </c>
      <c r="AC5" s="15">
        <v>1.2173947942104024E-2</v>
      </c>
      <c r="AD5" s="15">
        <v>7.9585273553907099E-3</v>
      </c>
      <c r="AE5" s="15">
        <v>6.677562586437702E-3</v>
      </c>
      <c r="AF5" s="15">
        <v>3.56527489350833E-3</v>
      </c>
    </row>
    <row r="6" spans="3:36" x14ac:dyDescent="0.25">
      <c r="C6" s="15">
        <v>-7.8321746384474311E-3</v>
      </c>
      <c r="D6" s="15">
        <v>6.2345577347928671E-3</v>
      </c>
      <c r="E6" s="15">
        <v>1.4240557608950322E-2</v>
      </c>
      <c r="F6" s="15">
        <v>2.3106276134188253E-4</v>
      </c>
      <c r="G6" s="15">
        <v>1.1437181157562093E-2</v>
      </c>
      <c r="H6" s="15">
        <v>1.834805123510086E-2</v>
      </c>
      <c r="I6" s="15">
        <v>2.1109134056243928E-2</v>
      </c>
      <c r="J6" s="15">
        <v>-4.3266681749562802E-2</v>
      </c>
      <c r="K6" s="15">
        <v>7.2755011125462121E-3</v>
      </c>
      <c r="L6" s="15">
        <v>-4.6927446724909783E-3</v>
      </c>
      <c r="M6" s="15">
        <v>-3.2329049738274329E-2</v>
      </c>
      <c r="N6" s="15">
        <v>-3.9330795662216422E-2</v>
      </c>
      <c r="O6" s="15">
        <v>2.3113387174612865E-2</v>
      </c>
      <c r="P6" s="15">
        <v>-5.6681697951336263E-3</v>
      </c>
      <c r="Q6" s="15">
        <v>9.8533665341514753E-3</v>
      </c>
      <c r="R6" s="15">
        <v>6.9503105283396094E-3</v>
      </c>
      <c r="S6" s="15">
        <v>9.6233320874705708E-4</v>
      </c>
      <c r="T6" s="15">
        <v>1.6089651529830773E-2</v>
      </c>
      <c r="U6" s="15">
        <v>-1.2816211829576596E-2</v>
      </c>
      <c r="V6" s="15">
        <v>3.6900331205987902E-3</v>
      </c>
      <c r="W6" s="15">
        <v>3.5045936572581371E-3</v>
      </c>
      <c r="X6" s="15">
        <v>1.5690422832191575E-2</v>
      </c>
      <c r="Y6" s="15">
        <v>3.0627733855197459E-3</v>
      </c>
      <c r="Z6" s="15">
        <v>1.0657638832523797E-2</v>
      </c>
      <c r="AA6" s="15">
        <v>2.3017211957719441E-2</v>
      </c>
      <c r="AB6" s="15">
        <v>-2.4819102835900497E-2</v>
      </c>
      <c r="AC6" s="15">
        <v>1.7317654474467981E-2</v>
      </c>
      <c r="AD6" s="15">
        <v>1.3853229385782373E-2</v>
      </c>
      <c r="AE6" s="15">
        <v>3.7170024778473421E-3</v>
      </c>
      <c r="AF6" s="15">
        <v>5.5752372173546449E-3</v>
      </c>
    </row>
    <row r="7" spans="3:36" x14ac:dyDescent="0.25">
      <c r="C7" s="15">
        <v>-1.9344182359385953E-3</v>
      </c>
      <c r="D7" s="15">
        <v>-6.3235432726974627E-3</v>
      </c>
      <c r="E7" s="15">
        <v>1.3998202084380851E-2</v>
      </c>
      <c r="F7" s="15">
        <v>7.5805796953424265E-3</v>
      </c>
      <c r="G7" s="15">
        <v>1.5145852715954811E-2</v>
      </c>
      <c r="H7" s="15">
        <v>2.2576568248464546E-2</v>
      </c>
      <c r="I7" s="15">
        <v>2.6014108357404364E-2</v>
      </c>
      <c r="J7" s="15">
        <v>-4.4610050310767604E-2</v>
      </c>
      <c r="K7" s="15">
        <v>5.8557290558144959E-3</v>
      </c>
      <c r="L7" s="15">
        <v>-5.3017087632439286E-3</v>
      </c>
      <c r="M7" s="15">
        <v>-3.0098548329584363E-2</v>
      </c>
      <c r="N7" s="15">
        <v>-5.8651922038562843E-2</v>
      </c>
      <c r="O7" s="15">
        <v>3.0746434060209271E-2</v>
      </c>
      <c r="P7" s="15">
        <v>8.7135786829173334E-4</v>
      </c>
      <c r="Q7" s="15">
        <v>1.7990243134523132E-2</v>
      </c>
      <c r="R7" s="15">
        <v>1.2943748105379793E-2</v>
      </c>
      <c r="S7" s="15">
        <v>-1.7527485414578076E-3</v>
      </c>
      <c r="T7" s="15">
        <v>-8.8525501174430143E-4</v>
      </c>
      <c r="U7" s="15">
        <v>-2.4530630564556732E-2</v>
      </c>
      <c r="V7" s="15">
        <v>-1.8703070794845955E-2</v>
      </c>
      <c r="W7" s="15">
        <v>8.3807916387850789E-3</v>
      </c>
      <c r="X7" s="15">
        <v>2.4410875725887515E-2</v>
      </c>
      <c r="Y7" s="15">
        <v>1.4834134169388724E-2</v>
      </c>
      <c r="Z7" s="15">
        <v>1.4936557592231725E-2</v>
      </c>
      <c r="AA7" s="15">
        <v>2.8856559534864767E-2</v>
      </c>
      <c r="AB7" s="15">
        <v>-2.708895756026769E-2</v>
      </c>
      <c r="AC7" s="15">
        <v>2.2152278178562579E-2</v>
      </c>
      <c r="AD7" s="15">
        <v>1.9490448648436298E-2</v>
      </c>
      <c r="AE7" s="15">
        <v>1.157850620377443E-2</v>
      </c>
      <c r="AF7" s="15">
        <v>1.2874001747291253E-2</v>
      </c>
    </row>
    <row r="8" spans="3:36" x14ac:dyDescent="0.25">
      <c r="C8" s="15">
        <v>4.0519204712112789E-3</v>
      </c>
      <c r="D8" s="15">
        <v>-4.2629665689019047E-3</v>
      </c>
      <c r="E8" s="15">
        <v>1.3935424162626942E-2</v>
      </c>
      <c r="F8" s="15">
        <v>-1.559994774663287E-2</v>
      </c>
      <c r="G8" s="15">
        <v>2.1676387441809497E-2</v>
      </c>
      <c r="H8" s="15">
        <v>3.113629811839469E-2</v>
      </c>
      <c r="I8" s="15">
        <v>6.2258365295964069E-3</v>
      </c>
      <c r="J8" s="15">
        <v>-4.8256065557047353E-2</v>
      </c>
      <c r="K8" s="15">
        <v>5.0338967499722331E-3</v>
      </c>
      <c r="L8" s="15">
        <v>-6.8180585400237637E-3</v>
      </c>
      <c r="M8" s="15">
        <v>-3.1282985274538933E-2</v>
      </c>
      <c r="N8" s="15">
        <v>-0.11333055849987983</v>
      </c>
      <c r="O8" s="15">
        <v>3.9435269795285222E-2</v>
      </c>
      <c r="P8" s="15">
        <v>-5.0034438182772201E-3</v>
      </c>
      <c r="Q8" s="15">
        <v>2.5751243788313949E-3</v>
      </c>
      <c r="R8" s="15">
        <v>1.8956476075496664E-2</v>
      </c>
      <c r="S8" s="15">
        <v>-5.4075118035619707E-3</v>
      </c>
      <c r="T8" s="15">
        <v>-2.4409698441490768E-2</v>
      </c>
      <c r="U8" s="15">
        <v>-1.9037329845954742E-2</v>
      </c>
      <c r="V8" s="15">
        <v>-1.7116961384273544E-2</v>
      </c>
      <c r="W8" s="15">
        <v>9.7984829188943467E-3</v>
      </c>
      <c r="X8" s="15">
        <v>1.234842582382556E-2</v>
      </c>
      <c r="Y8" s="15">
        <v>2.6782361588560732E-2</v>
      </c>
      <c r="Z8" s="15">
        <v>1.9407280094580925E-2</v>
      </c>
      <c r="AA8" s="15">
        <v>3.1908184870973244E-2</v>
      </c>
      <c r="AB8" s="15">
        <v>-2.1037057422751804E-2</v>
      </c>
      <c r="AC8" s="15">
        <v>2.7419533382140981E-2</v>
      </c>
      <c r="AD8" s="15">
        <v>2.754187533894803E-2</v>
      </c>
      <c r="AE8" s="15">
        <v>2.1460252093923327E-2</v>
      </c>
      <c r="AF8" s="15">
        <v>1.0113694392566486E-2</v>
      </c>
    </row>
    <row r="9" spans="3:36" x14ac:dyDescent="0.25">
      <c r="C9" s="15">
        <v>1.1269839760148836E-2</v>
      </c>
      <c r="D9" s="15">
        <v>-5.1924395678989432E-3</v>
      </c>
      <c r="E9" s="15">
        <v>2.23400021867175E-2</v>
      </c>
      <c r="F9" s="15">
        <v>-1.0316407317282561E-2</v>
      </c>
      <c r="G9" s="15">
        <v>2.7422126651619638E-2</v>
      </c>
      <c r="H9" s="15">
        <v>4.0967648232376419E-2</v>
      </c>
      <c r="I9" s="15">
        <v>1.4799741359246221E-2</v>
      </c>
      <c r="J9" s="15">
        <v>-1.7897180689347425E-2</v>
      </c>
      <c r="K9" s="15">
        <v>1.0093931430312786E-2</v>
      </c>
      <c r="L9" s="15">
        <v>-4.2940486113997034E-3</v>
      </c>
      <c r="M9" s="15">
        <v>-3.3200234903163151E-2</v>
      </c>
      <c r="N9" s="15">
        <v>-0.10558278339999161</v>
      </c>
      <c r="O9" s="15">
        <v>4.8451632821885138E-2</v>
      </c>
      <c r="P9" s="15">
        <v>-2.5466546327112594E-2</v>
      </c>
      <c r="Q9" s="15">
        <v>6.8853878346213371E-3</v>
      </c>
      <c r="R9" s="15">
        <v>2.5993392585853481E-2</v>
      </c>
      <c r="S9" s="15">
        <v>-6.3924179411230242E-3</v>
      </c>
      <c r="T9" s="15">
        <v>-1.6645538387117131E-2</v>
      </c>
      <c r="U9" s="15">
        <v>-1.0394471592607979E-2</v>
      </c>
      <c r="V9" s="15">
        <v>-2.0459655632740409E-2</v>
      </c>
      <c r="W9" s="15">
        <v>8.3707739856240249E-3</v>
      </c>
      <c r="X9" s="15">
        <v>1.8500688117165764E-2</v>
      </c>
      <c r="Y9" s="15">
        <v>3.0319057139459593E-2</v>
      </c>
      <c r="Z9" s="15">
        <v>2.2365629815479404E-2</v>
      </c>
      <c r="AA9" s="15">
        <v>2.0155993271932349E-2</v>
      </c>
      <c r="AB9" s="15">
        <v>-3.5663662115162753E-2</v>
      </c>
      <c r="AC9" s="15">
        <v>1.7208044766071684E-2</v>
      </c>
      <c r="AD9" s="15">
        <v>2.997142417215759E-2</v>
      </c>
      <c r="AE9" s="15">
        <v>3.1209891299587622E-2</v>
      </c>
      <c r="AF9" s="15">
        <v>-9.1447911392639192E-4</v>
      </c>
    </row>
    <row r="10" spans="3:36" x14ac:dyDescent="0.25">
      <c r="C10" s="15">
        <v>1.345497050038913E-2</v>
      </c>
      <c r="D10" s="15">
        <v>-7.2435569263862576E-3</v>
      </c>
      <c r="E10" s="15">
        <v>3.0903851138753602E-2</v>
      </c>
      <c r="F10" s="15">
        <v>-2.9237272450594487E-2</v>
      </c>
      <c r="G10" s="15">
        <v>2.7980009102845649E-2</v>
      </c>
      <c r="H10" s="15">
        <v>5.0830172197422696E-2</v>
      </c>
      <c r="I10" s="15">
        <v>1.3075404134454183E-2</v>
      </c>
      <c r="J10" s="15">
        <v>-3.1046253356964509E-2</v>
      </c>
      <c r="K10" s="15">
        <v>3.1750717650973481E-3</v>
      </c>
      <c r="L10" s="15">
        <v>-1.7546297576217507E-3</v>
      </c>
      <c r="M10" s="15">
        <v>-3.4934492575545428E-2</v>
      </c>
      <c r="N10" s="15">
        <v>-9.6727081565284312E-2</v>
      </c>
      <c r="O10" s="15">
        <v>5.7731111504972565E-2</v>
      </c>
      <c r="P10" s="15">
        <v>-2.4476829292406937E-2</v>
      </c>
      <c r="Q10" s="15">
        <v>1.277652910898841E-2</v>
      </c>
      <c r="R10" s="15">
        <v>3.3270608535952317E-2</v>
      </c>
      <c r="S10" s="15">
        <v>7.497733233586934E-3</v>
      </c>
      <c r="T10" s="15">
        <v>-8.0035938392266637E-3</v>
      </c>
      <c r="U10" s="15">
        <v>-5.1163980667130626E-2</v>
      </c>
      <c r="V10" s="15">
        <v>-2.1571395498696466E-2</v>
      </c>
      <c r="W10" s="15">
        <v>1.4881248627327703E-2</v>
      </c>
      <c r="X10" s="15">
        <v>2.9529900321145552E-2</v>
      </c>
      <c r="Y10" s="15">
        <v>4.1351886922410763E-2</v>
      </c>
      <c r="Z10" s="15">
        <v>2.8828072981620712E-2</v>
      </c>
      <c r="AA10" s="15">
        <v>2.0807866219123228E-2</v>
      </c>
      <c r="AB10" s="15">
        <v>-3.3070509203417087E-2</v>
      </c>
      <c r="AC10" s="15">
        <v>1.3263430651247576E-2</v>
      </c>
      <c r="AD10" s="15">
        <v>3.6172444119454084E-2</v>
      </c>
      <c r="AE10" s="15">
        <v>4.0253128933770532E-2</v>
      </c>
      <c r="AF10" s="15">
        <v>-7.1769960263812216E-4</v>
      </c>
    </row>
    <row r="11" spans="3:36" x14ac:dyDescent="0.25">
      <c r="C11" s="15">
        <v>8.7514518118431139E-3</v>
      </c>
      <c r="D11" s="15">
        <v>-9.5497341900935839E-3</v>
      </c>
      <c r="E11" s="15">
        <v>3.9331472011912672E-2</v>
      </c>
      <c r="F11" s="15">
        <v>-3.6686330373392084E-2</v>
      </c>
      <c r="G11" s="15">
        <v>3.1757526102084987E-2</v>
      </c>
      <c r="H11" s="15">
        <v>6.067835591551396E-2</v>
      </c>
      <c r="I11" s="15">
        <v>1.8247983073405472E-2</v>
      </c>
      <c r="J11" s="15">
        <v>-4.0462009185751158E-2</v>
      </c>
      <c r="K11" s="15">
        <v>3.5618686792759369E-3</v>
      </c>
      <c r="L11" s="15">
        <v>8.0047603266958367E-4</v>
      </c>
      <c r="M11" s="15">
        <v>-3.7482250796332245E-2</v>
      </c>
      <c r="N11" s="15">
        <v>-0.10899041595355241</v>
      </c>
      <c r="O11" s="15">
        <v>6.6227803772683225E-2</v>
      </c>
      <c r="P11" s="15">
        <v>-2.4970108230202376E-2</v>
      </c>
      <c r="Q11" s="15">
        <v>1.9852435000949575E-2</v>
      </c>
      <c r="R11" s="15">
        <v>3.9530330427371696E-2</v>
      </c>
      <c r="S11" s="15">
        <v>7.0236064422417588E-3</v>
      </c>
      <c r="T11" s="15">
        <v>-1.5080580136290767E-3</v>
      </c>
      <c r="U11" s="15">
        <v>-4.6912399065473176E-2</v>
      </c>
      <c r="V11" s="15">
        <v>-2.1597423682038194E-2</v>
      </c>
      <c r="W11" s="15">
        <v>-2.2246593846429769E-2</v>
      </c>
      <c r="X11" s="15">
        <v>4.0411659986811399E-2</v>
      </c>
      <c r="Y11" s="15">
        <v>1.9753151328410157E-2</v>
      </c>
      <c r="Z11" s="15">
        <v>3.6771029124724963E-2</v>
      </c>
      <c r="AA11" s="15">
        <v>2.4989798934647367E-2</v>
      </c>
      <c r="AB11" s="15">
        <v>-3.3742235914207996E-2</v>
      </c>
      <c r="AC11" s="15">
        <v>1.5809414842950287E-2</v>
      </c>
      <c r="AD11" s="15">
        <v>4.6944593791453659E-2</v>
      </c>
      <c r="AE11" s="15">
        <v>3.8727724053933987E-2</v>
      </c>
      <c r="AF11" s="15">
        <v>-7.6134063785582295E-4</v>
      </c>
    </row>
    <row r="12" spans="3:36" x14ac:dyDescent="0.25">
      <c r="C12" s="15">
        <v>1.8832828094347609E-2</v>
      </c>
      <c r="D12" s="15">
        <v>-4.8406548454684173E-3</v>
      </c>
      <c r="E12" s="15">
        <v>4.839448992751616E-2</v>
      </c>
      <c r="F12" s="15">
        <v>-3.628472989811582E-2</v>
      </c>
      <c r="G12" s="15">
        <v>3.1057733301555479E-2</v>
      </c>
      <c r="H12" s="15">
        <v>6.5920741187736165E-2</v>
      </c>
      <c r="I12" s="15">
        <v>1.1444095232094775E-2</v>
      </c>
      <c r="J12" s="15">
        <v>1.2831753751998132E-3</v>
      </c>
      <c r="K12" s="15">
        <v>3.4288872124090819E-3</v>
      </c>
      <c r="L12" s="15">
        <v>4.7489715633639573E-3</v>
      </c>
      <c r="M12" s="15">
        <v>-4.0616381709058097E-2</v>
      </c>
      <c r="N12" s="15">
        <v>-9.4502524004745458E-2</v>
      </c>
      <c r="O12" s="15">
        <v>7.1968352261125412E-2</v>
      </c>
      <c r="P12" s="15">
        <v>-2.6874267999458593E-2</v>
      </c>
      <c r="Q12" s="15">
        <v>2.742858707442275E-2</v>
      </c>
      <c r="R12" s="15">
        <v>4.5017765317514669E-2</v>
      </c>
      <c r="S12" s="15">
        <v>8.3855556940357068E-3</v>
      </c>
      <c r="T12" s="15">
        <v>6.5432707043756588E-3</v>
      </c>
      <c r="U12" s="15">
        <v>-4.1442020635394428E-2</v>
      </c>
      <c r="V12" s="15">
        <v>-8.4753679356140976E-3</v>
      </c>
      <c r="W12" s="15">
        <v>-2.4143708571579714E-2</v>
      </c>
      <c r="X12" s="15">
        <v>2.3219651024131038E-2</v>
      </c>
      <c r="Y12" s="15">
        <v>3.4539231812580118E-2</v>
      </c>
      <c r="Z12" s="15">
        <v>4.5608973553828758E-2</v>
      </c>
      <c r="AA12" s="15">
        <v>3.0157958102924931E-2</v>
      </c>
      <c r="AB12" s="15">
        <v>-3.1423810400684926E-2</v>
      </c>
      <c r="AC12" s="15">
        <v>1.6709938076711089E-2</v>
      </c>
      <c r="AD12" s="15">
        <v>1.9707899169614684E-2</v>
      </c>
      <c r="AE12" s="15">
        <v>3.6163657355980372E-2</v>
      </c>
      <c r="AF12" s="15">
        <v>1.0895849001204549E-2</v>
      </c>
    </row>
    <row r="13" spans="3:36" x14ac:dyDescent="0.25">
      <c r="C13" s="15">
        <v>2.5949900389246605E-2</v>
      </c>
      <c r="D13" s="15">
        <v>-1.1251435937246645E-2</v>
      </c>
      <c r="E13" s="15">
        <v>5.3435614214948579E-2</v>
      </c>
      <c r="F13" s="15">
        <v>-3.4589714711462105E-2</v>
      </c>
      <c r="G13" s="15">
        <v>3.7470483776679386E-2</v>
      </c>
      <c r="H13" s="15">
        <v>7.1989205052267802E-2</v>
      </c>
      <c r="I13" s="15">
        <v>1.7839066611829324E-2</v>
      </c>
      <c r="J13" s="15">
        <v>1.4986437454095086E-2</v>
      </c>
      <c r="K13" s="15">
        <v>6.0000704270814498E-3</v>
      </c>
      <c r="L13" s="15">
        <v>1.1238395730945039E-2</v>
      </c>
      <c r="M13" s="15">
        <v>-4.4767353150460196E-2</v>
      </c>
      <c r="N13" s="15">
        <v>-8.9162403784218469E-2</v>
      </c>
      <c r="O13" s="15">
        <v>8.133066418350654E-2</v>
      </c>
      <c r="P13" s="15">
        <v>-3.0184932154823138E-2</v>
      </c>
      <c r="Q13" s="15">
        <v>2.8027270491016387E-2</v>
      </c>
      <c r="R13" s="15">
        <v>5.0862322640950974E-2</v>
      </c>
      <c r="S13" s="15">
        <v>-5.6797854045774976E-2</v>
      </c>
      <c r="T13" s="15">
        <v>1.7034769007323813E-2</v>
      </c>
      <c r="U13" s="15">
        <v>-3.5611020926668291E-2</v>
      </c>
      <c r="V13" s="15">
        <v>-1.050555730064702E-2</v>
      </c>
      <c r="W13" s="15">
        <v>-2.5972941768029584E-2</v>
      </c>
      <c r="X13" s="15">
        <v>2.9709859742778733E-2</v>
      </c>
      <c r="Y13" s="15">
        <v>-4.7595554307195975E-3</v>
      </c>
      <c r="Z13" s="15">
        <v>5.3887052744561625E-2</v>
      </c>
      <c r="AA13" s="15">
        <v>2.2202458394244007E-2</v>
      </c>
      <c r="AB13" s="15">
        <v>-2.8278982105303885E-2</v>
      </c>
      <c r="AC13" s="15">
        <v>1.9000024857343117E-2</v>
      </c>
      <c r="AD13" s="15">
        <v>2.5464949997571651E-2</v>
      </c>
      <c r="AE13" s="15">
        <v>3.0630581622141162E-2</v>
      </c>
      <c r="AF13" s="15">
        <v>2.2612307541621024E-2</v>
      </c>
    </row>
    <row r="14" spans="3:36" x14ac:dyDescent="0.25">
      <c r="C14" s="15">
        <v>1.7987699305536342E-2</v>
      </c>
      <c r="D14" s="15">
        <v>-1.226046104387736E-2</v>
      </c>
      <c r="E14" s="15">
        <v>6.0090891840885008E-2</v>
      </c>
      <c r="F14" s="15">
        <v>-2.6229602665226337E-2</v>
      </c>
      <c r="G14" s="15">
        <v>3.0747781001666696E-2</v>
      </c>
      <c r="H14" s="15">
        <v>8.0792321378835297E-2</v>
      </c>
      <c r="I14" s="15">
        <v>1.6233202741611219E-3</v>
      </c>
      <c r="J14" s="15">
        <v>1.2812173158642526E-2</v>
      </c>
      <c r="K14" s="15">
        <v>5.2437233139567829E-3</v>
      </c>
      <c r="L14" s="15">
        <v>1.769681486892194E-2</v>
      </c>
      <c r="M14" s="15">
        <v>-4.2119579722664502E-2</v>
      </c>
      <c r="N14" s="15">
        <v>-0.11683256576183521</v>
      </c>
      <c r="O14" s="15">
        <v>8.5133183001422474E-2</v>
      </c>
      <c r="P14" s="15">
        <v>-3.420852666078808E-2</v>
      </c>
      <c r="Q14" s="15">
        <v>3.6451860430979144E-2</v>
      </c>
      <c r="R14" s="15">
        <v>5.2615543554534738E-2</v>
      </c>
      <c r="S14" s="15">
        <v>-4.643552283711283E-2</v>
      </c>
      <c r="T14" s="15">
        <v>1.7120221527691437E-2</v>
      </c>
      <c r="U14" s="15">
        <v>-4.3483907028927127E-2</v>
      </c>
      <c r="V14" s="15">
        <v>-1.4675612081164385E-2</v>
      </c>
      <c r="W14" s="15">
        <v>-3.1411421309923512E-2</v>
      </c>
      <c r="X14" s="15">
        <v>3.3080167500552649E-2</v>
      </c>
      <c r="Y14" s="15">
        <v>8.3758528508011132E-3</v>
      </c>
      <c r="Z14" s="15">
        <v>5.0059986204916362E-2</v>
      </c>
      <c r="AA14" s="15">
        <v>1.79352248204738E-2</v>
      </c>
      <c r="AB14" s="15">
        <v>-3.3622277275654033E-2</v>
      </c>
      <c r="AC14" s="15">
        <v>1.7917622145587647E-2</v>
      </c>
      <c r="AD14" s="15">
        <v>3.2225092874526795E-2</v>
      </c>
      <c r="AE14" s="15">
        <v>3.2701745770818302E-2</v>
      </c>
      <c r="AF14" s="15">
        <v>2.5724527097202632E-2</v>
      </c>
    </row>
    <row r="15" spans="3:36" x14ac:dyDescent="0.25">
      <c r="C15" s="15">
        <v>3.0610063403358811E-2</v>
      </c>
      <c r="D15" s="15">
        <v>-1.8414976825951182E-2</v>
      </c>
      <c r="E15" s="15">
        <v>6.7549393175070582E-2</v>
      </c>
      <c r="F15" s="15">
        <v>-1.5827845477595415E-2</v>
      </c>
      <c r="G15" s="15">
        <v>1.0473920340307197E-2</v>
      </c>
      <c r="H15" s="15">
        <v>8.3730571036244372E-2</v>
      </c>
      <c r="I15" s="15">
        <v>2.6253902856497868E-3</v>
      </c>
      <c r="J15" s="15">
        <v>1.0157513827881853E-2</v>
      </c>
      <c r="K15" s="15">
        <v>1.0973820406852797E-2</v>
      </c>
      <c r="L15" s="15">
        <v>2.5262054264645339E-2</v>
      </c>
      <c r="M15" s="15">
        <v>-4.2336482731670816E-2</v>
      </c>
      <c r="N15" s="15">
        <v>-0.14880338640540547</v>
      </c>
      <c r="O15" s="15">
        <v>8.8263248661907379E-2</v>
      </c>
      <c r="P15" s="15">
        <v>-3.6446387516161777E-2</v>
      </c>
      <c r="Q15" s="15">
        <v>4.5640469831076946E-2</v>
      </c>
      <c r="R15" s="15">
        <v>2.6862197514177844E-2</v>
      </c>
      <c r="S15" s="15">
        <v>-3.9557302833124419E-2</v>
      </c>
      <c r="T15" s="15">
        <v>2.9083269814428325E-2</v>
      </c>
      <c r="U15" s="15">
        <v>-5.4674614668404176E-2</v>
      </c>
      <c r="V15" s="15">
        <v>-2.1690125573749622E-2</v>
      </c>
      <c r="W15" s="15">
        <v>-3.0360877904480665E-2</v>
      </c>
      <c r="X15" s="15">
        <v>4.0648964575410229E-2</v>
      </c>
      <c r="Y15" s="15">
        <v>1.3792571932602637E-2</v>
      </c>
      <c r="Z15" s="15">
        <v>-2.0931808087328196E-2</v>
      </c>
      <c r="AA15" s="15">
        <v>1.8544155762419801E-2</v>
      </c>
      <c r="AB15" s="15">
        <v>-3.9597660606058294E-2</v>
      </c>
      <c r="AC15" s="15">
        <v>1.9476797078874786E-2</v>
      </c>
      <c r="AD15" s="15">
        <v>4.207375098135524E-2</v>
      </c>
      <c r="AE15" s="15">
        <v>2.2430080168339694E-2</v>
      </c>
      <c r="AF15" s="15">
        <v>3.7001486314262699E-2</v>
      </c>
    </row>
    <row r="16" spans="3:36" x14ac:dyDescent="0.25">
      <c r="C16" s="15">
        <v>3.1188968571585818E-2</v>
      </c>
      <c r="D16" s="15">
        <v>-2.1547375733515811E-2</v>
      </c>
      <c r="E16" s="15">
        <v>7.6880985190455831E-2</v>
      </c>
      <c r="F16" s="15">
        <v>-3.9974710609937958E-3</v>
      </c>
      <c r="G16" s="15">
        <v>1.8893983558102734E-2</v>
      </c>
      <c r="H16" s="15">
        <v>9.233804150813496E-2</v>
      </c>
      <c r="I16" s="15">
        <v>9.613391198241894E-3</v>
      </c>
      <c r="J16" s="15">
        <v>6.5809658592917708E-3</v>
      </c>
      <c r="K16" s="15">
        <v>1.8302728199998619E-2</v>
      </c>
      <c r="L16" s="15">
        <v>3.1052896618881776E-2</v>
      </c>
      <c r="M16" s="15">
        <v>-4.4249532451873727E-2</v>
      </c>
      <c r="N16" s="15">
        <v>-0.1373718204476484</v>
      </c>
      <c r="O16" s="15">
        <v>8.0918593591654098E-2</v>
      </c>
      <c r="P16" s="15">
        <v>-3.9673722988868967E-2</v>
      </c>
      <c r="Q16" s="15">
        <v>3.3531515371597376E-2</v>
      </c>
      <c r="R16" s="15">
        <v>2.2308697368476099E-2</v>
      </c>
      <c r="S16" s="15">
        <v>-3.18660818006965E-2</v>
      </c>
      <c r="T16" s="15">
        <v>-2.3451419291729003E-3</v>
      </c>
      <c r="U16" s="15">
        <v>-5.992775646356685E-2</v>
      </c>
      <c r="V16" s="15">
        <v>-2.8086107680476785E-2</v>
      </c>
      <c r="W16" s="15">
        <v>-2.8308429415939806E-2</v>
      </c>
      <c r="X16" s="15">
        <v>1.0189750930976627E-2</v>
      </c>
      <c r="Y16" s="15">
        <v>2.2958572936270905E-2</v>
      </c>
      <c r="Z16" s="15">
        <v>-1.4645867051014005E-2</v>
      </c>
      <c r="AA16" s="15">
        <v>2.0590613834347238E-2</v>
      </c>
      <c r="AB16" s="15">
        <v>-3.5189563187368988E-2</v>
      </c>
      <c r="AC16" s="15">
        <v>1.8249509025441896E-2</v>
      </c>
      <c r="AD16" s="15">
        <v>4.1140717792419901E-2</v>
      </c>
      <c r="AE16" s="15">
        <v>2.5680327135325254E-2</v>
      </c>
      <c r="AF16" s="15">
        <v>4.7956212583329605E-2</v>
      </c>
    </row>
    <row r="17" spans="3:32" x14ac:dyDescent="0.25">
      <c r="C17" s="15">
        <v>3.9830697533886017E-2</v>
      </c>
      <c r="D17" s="15">
        <v>-2.0165642888242047E-2</v>
      </c>
      <c r="E17" s="15">
        <v>8.6509926832564421E-2</v>
      </c>
      <c r="F17" s="15">
        <v>-4.4664043836839307E-2</v>
      </c>
      <c r="G17" s="15">
        <v>2.4954349542584242E-2</v>
      </c>
      <c r="H17" s="15">
        <v>0.10240234810815607</v>
      </c>
      <c r="I17" s="15">
        <v>2.076393600379367E-2</v>
      </c>
      <c r="J17" s="15">
        <v>1.3393434779381194E-2</v>
      </c>
      <c r="K17" s="15">
        <v>-3.3977372285200591E-2</v>
      </c>
      <c r="L17" s="15">
        <v>2.6276278458488345E-2</v>
      </c>
      <c r="M17" s="15">
        <v>-4.3978888419504966E-2</v>
      </c>
      <c r="N17" s="15">
        <v>-0.14566185949880639</v>
      </c>
      <c r="O17" s="15">
        <v>9.0991123375101068E-2</v>
      </c>
      <c r="P17" s="15">
        <v>-2.9395121390952517E-2</v>
      </c>
      <c r="Q17" s="15">
        <v>4.4786766498686625E-2</v>
      </c>
      <c r="R17" s="15">
        <v>1.7880605669127941E-2</v>
      </c>
      <c r="S17" s="15">
        <v>-3.1520485864850789E-2</v>
      </c>
      <c r="T17" s="15">
        <v>6.8417521485206745E-3</v>
      </c>
      <c r="U17" s="15">
        <v>-4.9528486508456648E-2</v>
      </c>
      <c r="V17" s="15">
        <v>-3.1522620790605901E-2</v>
      </c>
      <c r="W17" s="15">
        <v>-2.9986736583133999E-2</v>
      </c>
      <c r="X17" s="15">
        <v>1.9294381729642263E-2</v>
      </c>
      <c r="Y17" s="15">
        <v>-1.6298468377744957E-2</v>
      </c>
      <c r="Z17" s="15">
        <v>-1.6043019989978979E-2</v>
      </c>
      <c r="AA17" s="15">
        <v>2.2048102831800809E-2</v>
      </c>
      <c r="AB17" s="15">
        <v>-2.4473655494909097E-2</v>
      </c>
      <c r="AC17" s="15">
        <v>1.8998845299467715E-2</v>
      </c>
      <c r="AD17" s="15">
        <v>3.0150325050687821E-2</v>
      </c>
      <c r="AE17" s="15">
        <v>2.9154282056616077E-2</v>
      </c>
      <c r="AF17" s="15">
        <v>3.7922782815097866E-2</v>
      </c>
    </row>
    <row r="18" spans="3:32" x14ac:dyDescent="0.25">
      <c r="C18" s="15">
        <v>3.647623561886193E-2</v>
      </c>
      <c r="D18" s="15">
        <v>-2.0133478046405584E-2</v>
      </c>
      <c r="E18" s="15">
        <v>9.3716277303630635E-2</v>
      </c>
      <c r="F18" s="15">
        <v>-6.9034236259113313E-2</v>
      </c>
      <c r="G18" s="15">
        <v>3.0588904694225483E-2</v>
      </c>
      <c r="H18" s="15">
        <v>0.11217097470151749</v>
      </c>
      <c r="I18" s="15">
        <v>1.2359515975482349E-2</v>
      </c>
      <c r="J18" s="15">
        <v>1.3640584345150225E-3</v>
      </c>
      <c r="K18" s="15">
        <v>-2.2591816409803123E-2</v>
      </c>
      <c r="L18" s="15">
        <v>-4.8964223280690833E-3</v>
      </c>
      <c r="M18" s="15">
        <v>-3.2033084633426162E-2</v>
      </c>
      <c r="N18" s="15">
        <v>-0.21108103829388147</v>
      </c>
      <c r="O18" s="15">
        <v>0.10046052470667821</v>
      </c>
      <c r="P18" s="15">
        <v>-2.9195865097493195E-2</v>
      </c>
      <c r="Q18" s="15">
        <v>5.0913339440892047E-2</v>
      </c>
      <c r="R18" s="15">
        <v>1.5115149848705531E-2</v>
      </c>
      <c r="S18" s="15">
        <v>-2.0423670660354221E-2</v>
      </c>
      <c r="T18" s="15">
        <v>1.6394945624180313E-2</v>
      </c>
      <c r="U18" s="15">
        <v>-3.7914974452554318E-2</v>
      </c>
      <c r="V18" s="15">
        <v>-4.6533859736409111E-2</v>
      </c>
      <c r="W18" s="15">
        <v>-3.2668360370863014E-2</v>
      </c>
      <c r="X18" s="15">
        <v>1.3534155203804188E-2</v>
      </c>
      <c r="Y18" s="15">
        <v>-1.398568045662052E-2</v>
      </c>
      <c r="Z18" s="15">
        <v>-1.1175362520079113E-2</v>
      </c>
      <c r="AA18" s="15">
        <v>2.650293600639797E-2</v>
      </c>
      <c r="AB18" s="15">
        <v>-1.8603588924606784E-2</v>
      </c>
      <c r="AC18" s="15">
        <v>-5.8975589178827947E-4</v>
      </c>
      <c r="AD18" s="15">
        <v>4.0090353983739835E-2</v>
      </c>
      <c r="AE18" s="15">
        <v>3.5116546527082404E-2</v>
      </c>
      <c r="AF18" s="15">
        <v>-2.7188738999047724E-3</v>
      </c>
    </row>
    <row r="19" spans="3:32" x14ac:dyDescent="0.25">
      <c r="C19" s="15">
        <v>4.2999337759257017E-2</v>
      </c>
      <c r="D19" s="15">
        <v>-2.255200713301686E-2</v>
      </c>
      <c r="E19" s="15">
        <v>0.10295060568924047</v>
      </c>
      <c r="F19" s="15">
        <v>-7.6696295278237514E-2</v>
      </c>
      <c r="G19" s="15">
        <v>3.3102649129710449E-2</v>
      </c>
      <c r="H19" s="15">
        <v>0.12196437217790768</v>
      </c>
      <c r="I19" s="15">
        <v>-2.2512266600684505E-2</v>
      </c>
      <c r="J19" s="15">
        <v>9.5987226544131943E-3</v>
      </c>
      <c r="K19" s="15">
        <v>-1.4401990022145816E-2</v>
      </c>
      <c r="L19" s="15">
        <v>5.223330443559715E-3</v>
      </c>
      <c r="M19" s="15">
        <v>-2.9747057968374513E-2</v>
      </c>
      <c r="N19" s="15">
        <v>-0.20479843292639721</v>
      </c>
      <c r="O19" s="15">
        <v>0.11084416920487716</v>
      </c>
      <c r="P19" s="15">
        <v>-3.1120392578691633E-2</v>
      </c>
      <c r="Q19" s="15">
        <v>4.9392023611491809E-2</v>
      </c>
      <c r="R19" s="15">
        <v>1.5712374878637081E-2</v>
      </c>
      <c r="S19" s="15">
        <v>-8.3269671186085858E-3</v>
      </c>
      <c r="T19" s="15">
        <v>2.6468871378351633E-2</v>
      </c>
      <c r="U19" s="15">
        <v>-2.5875743166806076E-2</v>
      </c>
      <c r="V19" s="15">
        <v>-3.3110257350666056E-2</v>
      </c>
      <c r="W19" s="15">
        <v>-3.7018632801002399E-2</v>
      </c>
      <c r="X19" s="15">
        <v>2.5468289750080753E-2</v>
      </c>
      <c r="Y19" s="15">
        <v>4.621389497241335E-4</v>
      </c>
      <c r="Z19" s="15">
        <v>-1.1251696722468257E-2</v>
      </c>
      <c r="AA19" s="15">
        <v>1.8069218357524092E-2</v>
      </c>
      <c r="AB19" s="15">
        <v>-9.6797348586588061E-3</v>
      </c>
      <c r="AC19" s="15">
        <v>4.3695551074123262E-3</v>
      </c>
      <c r="AD19" s="15">
        <v>5.0476817392942297E-2</v>
      </c>
      <c r="AE19" s="15">
        <v>3.7915070966666631E-2</v>
      </c>
      <c r="AF19" s="15">
        <v>-1.4874937517223019E-4</v>
      </c>
    </row>
    <row r="20" spans="3:32" x14ac:dyDescent="0.25">
      <c r="C20" s="15">
        <v>2.1598322276603521E-2</v>
      </c>
      <c r="D20" s="15">
        <v>-2.6993765001347439E-2</v>
      </c>
      <c r="E20" s="15">
        <v>0.1086136678082919</v>
      </c>
      <c r="F20" s="15">
        <v>-7.0468637118114463E-2</v>
      </c>
      <c r="G20" s="15">
        <v>4.0658669617361032E-2</v>
      </c>
      <c r="H20" s="15">
        <v>0.11056164122945639</v>
      </c>
      <c r="I20" s="15">
        <v>-1.3773442627814103E-2</v>
      </c>
      <c r="J20" s="15">
        <v>2.3682916650578645E-2</v>
      </c>
      <c r="K20" s="15">
        <v>-3.1152016545794581E-3</v>
      </c>
      <c r="L20" s="15">
        <v>1.4311228734182113E-2</v>
      </c>
      <c r="M20" s="15">
        <v>-3.0669488387506411E-2</v>
      </c>
      <c r="N20" s="15">
        <v>-0.18834334990133739</v>
      </c>
      <c r="O20" s="15">
        <v>6.7225484904622324E-2</v>
      </c>
      <c r="P20" s="15">
        <v>-2.9158926229409105E-2</v>
      </c>
      <c r="Q20" s="15">
        <v>5.8576256957888651E-2</v>
      </c>
      <c r="R20" s="15">
        <v>1.0151691530989812E-2</v>
      </c>
      <c r="S20" s="15">
        <v>3.4808428637762567E-3</v>
      </c>
      <c r="T20" s="15">
        <v>3.5252603521533032E-2</v>
      </c>
      <c r="U20" s="15">
        <v>-4.9534353447841184E-2</v>
      </c>
      <c r="V20" s="15">
        <v>-3.3692844747233192E-2</v>
      </c>
      <c r="W20" s="15">
        <v>-4.0509299167085108E-2</v>
      </c>
      <c r="X20" s="15">
        <v>3.65606166726411E-2</v>
      </c>
      <c r="Y20" s="15">
        <v>7.5393665657617071E-3</v>
      </c>
      <c r="Z20" s="15">
        <v>-2.2040120276079642E-2</v>
      </c>
      <c r="AA20" s="15">
        <v>1.5963926750818869E-2</v>
      </c>
      <c r="AB20" s="15">
        <v>-2.0547981812598093E-3</v>
      </c>
      <c r="AC20" s="15">
        <v>1.1030701909296337E-2</v>
      </c>
      <c r="AD20" s="15">
        <v>5.5702337414551051E-2</v>
      </c>
      <c r="AE20" s="15">
        <v>3.9380233672596299E-2</v>
      </c>
      <c r="AF20" s="15">
        <v>-3.3143508780697217E-2</v>
      </c>
    </row>
    <row r="21" spans="3:32" x14ac:dyDescent="0.25">
      <c r="C21" s="15">
        <v>2.4547452671410008E-2</v>
      </c>
      <c r="D21" s="15">
        <v>-3.222231465607444E-2</v>
      </c>
      <c r="E21" s="15">
        <v>0.10993076643376409</v>
      </c>
      <c r="F21" s="15">
        <v>-5.6807174816059014E-2</v>
      </c>
      <c r="G21" s="15">
        <v>2.3297039395938413E-2</v>
      </c>
      <c r="H21" s="15">
        <v>0.11819090733410886</v>
      </c>
      <c r="I21" s="15">
        <v>-3.3843927474884739E-3</v>
      </c>
      <c r="J21" s="15">
        <v>2.714869359923941E-2</v>
      </c>
      <c r="K21" s="15">
        <v>-7.5585902657993032E-4</v>
      </c>
      <c r="L21" s="15">
        <v>-1.0396526134320849E-3</v>
      </c>
      <c r="M21" s="15">
        <v>-3.2249336525141697E-2</v>
      </c>
      <c r="N21" s="15">
        <v>-0.22094377250188346</v>
      </c>
      <c r="O21" s="15">
        <v>7.3380438593990238E-2</v>
      </c>
      <c r="P21" s="15">
        <v>-2.7171095556745878E-2</v>
      </c>
      <c r="Q21" s="15">
        <v>5.5473408102378663E-2</v>
      </c>
      <c r="R21" s="15">
        <v>3.1319403485578434E-2</v>
      </c>
      <c r="S21" s="15">
        <v>6.7573331640782275E-3</v>
      </c>
      <c r="T21" s="15">
        <v>1.4682838331998849E-2</v>
      </c>
      <c r="U21" s="15">
        <v>-5.6894932193847225E-2</v>
      </c>
      <c r="V21" s="15">
        <v>-3.6788987901070269E-2</v>
      </c>
      <c r="W21" s="15">
        <v>-5.0139825098919871E-2</v>
      </c>
      <c r="X21" s="15">
        <v>4.0392864768148407E-2</v>
      </c>
      <c r="Y21" s="15">
        <v>1.4961067689357677E-2</v>
      </c>
      <c r="Z21" s="15">
        <v>-2.1889224108305794E-2</v>
      </c>
      <c r="AA21" s="15">
        <v>1.617986984459012E-2</v>
      </c>
      <c r="AB21" s="15">
        <v>3.2746371152636566E-5</v>
      </c>
      <c r="AC21" s="15">
        <v>3.2452100104321535E-3</v>
      </c>
      <c r="AD21" s="15">
        <v>6.4710785903001833E-2</v>
      </c>
      <c r="AE21" s="15">
        <v>4.6623454231349504E-2</v>
      </c>
      <c r="AF21" s="15">
        <v>-3.1258049870870858E-2</v>
      </c>
    </row>
    <row r="22" spans="3:32" x14ac:dyDescent="0.25">
      <c r="C22" s="15">
        <v>1.9793250535290019E-2</v>
      </c>
      <c r="D22" s="15">
        <v>-2.2450280035813536E-2</v>
      </c>
      <c r="E22" s="15">
        <v>0.10046719616120628</v>
      </c>
      <c r="F22" s="15">
        <v>-6.0334512772851623E-2</v>
      </c>
      <c r="G22" s="15">
        <v>3.0919716297458932E-2</v>
      </c>
      <c r="H22" s="15">
        <v>0.11758014724833304</v>
      </c>
      <c r="I22" s="15">
        <v>4.4384085132123108E-3</v>
      </c>
      <c r="J22" s="15">
        <v>3.105330076943838E-2</v>
      </c>
      <c r="K22" s="15">
        <v>-1.1955692950673447E-2</v>
      </c>
      <c r="L22" s="15">
        <v>-1.9524013707077015E-2</v>
      </c>
      <c r="M22" s="15">
        <v>-2.6457440222833001E-2</v>
      </c>
      <c r="N22" s="15">
        <v>-0.21011902753463962</v>
      </c>
      <c r="O22" s="15">
        <v>8.2605523984404683E-2</v>
      </c>
      <c r="P22" s="15">
        <v>-2.422447424031382E-2</v>
      </c>
      <c r="Q22" s="15">
        <v>4.2315609355632111E-2</v>
      </c>
      <c r="R22" s="15">
        <v>1.0103666997242938E-2</v>
      </c>
      <c r="S22" s="15">
        <v>1.088968261584311E-2</v>
      </c>
      <c r="T22" s="15">
        <v>3.3123719619668202E-4</v>
      </c>
      <c r="U22" s="15">
        <v>-5.3843387922566099E-2</v>
      </c>
      <c r="V22" s="15">
        <v>-7.0748152778026818E-3</v>
      </c>
      <c r="W22" s="15">
        <v>-5.1078120166703336E-2</v>
      </c>
      <c r="X22" s="15">
        <v>4.6053386675697028E-2</v>
      </c>
      <c r="Y22" s="15">
        <v>2.7399056361075758E-2</v>
      </c>
      <c r="Z22" s="15">
        <v>-2.3843865883039939E-2</v>
      </c>
      <c r="AA22" s="15">
        <v>1.4700628715172276E-2</v>
      </c>
      <c r="AB22" s="15">
        <v>7.3566313969568586E-3</v>
      </c>
      <c r="AC22" s="15">
        <v>1.1490858068456677E-2</v>
      </c>
      <c r="AD22" s="15">
        <v>6.5579394207293307E-2</v>
      </c>
      <c r="AE22" s="15">
        <v>3.4434178254171721E-2</v>
      </c>
      <c r="AF22" s="15">
        <v>-2.612121521645272E-2</v>
      </c>
    </row>
    <row r="23" spans="3:32" x14ac:dyDescent="0.25">
      <c r="C23" s="15">
        <v>1.3486008999220034E-2</v>
      </c>
      <c r="D23" s="15">
        <v>-1.9966596781657908E-2</v>
      </c>
      <c r="E23" s="15">
        <v>0.10403265084538299</v>
      </c>
      <c r="F23" s="15">
        <v>-4.576890428265834E-2</v>
      </c>
      <c r="G23" s="15">
        <v>3.6537995842222726E-2</v>
      </c>
      <c r="H23" s="15">
        <v>0.11302133937402847</v>
      </c>
      <c r="I23" s="15">
        <v>1.4029299412038898E-2</v>
      </c>
      <c r="J23" s="15">
        <v>3.6722363422205639E-2</v>
      </c>
      <c r="K23" s="15">
        <v>3.6401637316441082E-4</v>
      </c>
      <c r="L23" s="15">
        <v>-4.0849431581534035E-2</v>
      </c>
      <c r="M23" s="15">
        <v>-2.4624242565332688E-2</v>
      </c>
      <c r="N23" s="15">
        <v>-0.20254946311893152</v>
      </c>
      <c r="O23" s="15">
        <v>9.1752289452575075E-2</v>
      </c>
      <c r="P23" s="15">
        <v>-2.375164342926292E-2</v>
      </c>
      <c r="Q23" s="15">
        <v>5.1013919999751856E-2</v>
      </c>
      <c r="R23" s="15">
        <v>7.9887920952436131E-2</v>
      </c>
      <c r="S23" s="15">
        <v>-1.4873634005822867E-2</v>
      </c>
      <c r="T23" s="15">
        <v>1.9724581239619621E-3</v>
      </c>
      <c r="U23" s="15">
        <v>-4.7833935652977444E-2</v>
      </c>
      <c r="V23" s="15">
        <v>-1.263028796386155E-2</v>
      </c>
      <c r="W23" s="15">
        <v>-6.8564662814895927E-2</v>
      </c>
      <c r="X23" s="15">
        <v>2.7672254811223818E-2</v>
      </c>
      <c r="Y23" s="15">
        <v>2.0769573921124884E-2</v>
      </c>
      <c r="Z23" s="15">
        <v>-2.7163826746917155E-2</v>
      </c>
      <c r="AA23" s="15">
        <v>1.7309316439344857E-2</v>
      </c>
      <c r="AB23" s="15">
        <v>1.4375629530407996E-2</v>
      </c>
      <c r="AC23" s="15">
        <v>1.4839061452049607E-2</v>
      </c>
      <c r="AD23" s="15">
        <v>7.532430242879673E-2</v>
      </c>
      <c r="AE23" s="15">
        <v>3.94253370731939E-2</v>
      </c>
      <c r="AF23" s="15">
        <v>-2.5112064437199488E-2</v>
      </c>
    </row>
    <row r="24" spans="3:32" x14ac:dyDescent="0.25">
      <c r="C24" s="15">
        <v>2.2326070741166548E-2</v>
      </c>
      <c r="D24" s="15">
        <v>-1.6607769717820992E-2</v>
      </c>
      <c r="E24" s="15">
        <v>0.10499002189405882</v>
      </c>
      <c r="F24" s="15">
        <v>-0.12928816683633704</v>
      </c>
      <c r="G24" s="15">
        <v>4.8856876186490594E-2</v>
      </c>
      <c r="H24" s="15">
        <v>0.10853820257591507</v>
      </c>
      <c r="I24" s="15">
        <v>2.2720312244857044E-2</v>
      </c>
      <c r="J24" s="15">
        <v>4.2038638787886773E-2</v>
      </c>
      <c r="K24" s="15">
        <v>-1.2252343623893935E-2</v>
      </c>
      <c r="L24" s="15">
        <v>-3.1664284202597426E-2</v>
      </c>
      <c r="M24" s="15">
        <v>-1.750808076097915E-2</v>
      </c>
      <c r="N24" s="15">
        <v>-0.19573529655196253</v>
      </c>
      <c r="O24" s="15">
        <v>0.10415156905380107</v>
      </c>
      <c r="P24" s="15">
        <v>-2.9377867234977567E-2</v>
      </c>
      <c r="Q24" s="15">
        <v>6.0442104001419417E-2</v>
      </c>
      <c r="R24" s="15">
        <v>0.10071798200754856</v>
      </c>
      <c r="S24" s="15">
        <v>-1.2044066878498239E-3</v>
      </c>
      <c r="T24" s="15">
        <v>5.2708585645688533E-3</v>
      </c>
      <c r="U24" s="15">
        <v>-3.8487306566622581E-2</v>
      </c>
      <c r="V24" s="15">
        <v>-1.4418284925745345E-2</v>
      </c>
      <c r="W24" s="15">
        <v>-8.9306048005763514E-2</v>
      </c>
      <c r="X24" s="15">
        <v>2.7962728796574021E-2</v>
      </c>
      <c r="Y24" s="15">
        <v>3.6600648000687741E-2</v>
      </c>
      <c r="Z24" s="15">
        <v>-2.472355411403028E-2</v>
      </c>
      <c r="AA24" s="15">
        <v>2.0538019455699025E-2</v>
      </c>
      <c r="AB24" s="15">
        <v>1.9325883820368428E-2</v>
      </c>
      <c r="AC24" s="15">
        <v>8.9615516768781767E-3</v>
      </c>
      <c r="AD24" s="15">
        <v>8.0206751653778663E-2</v>
      </c>
      <c r="AE24" s="15">
        <v>3.6433170476387555E-2</v>
      </c>
      <c r="AF24" s="15">
        <v>-2.3692902671983332E-2</v>
      </c>
    </row>
    <row r="25" spans="3:32" x14ac:dyDescent="0.25">
      <c r="C25" s="15">
        <v>2.8632697114806149E-2</v>
      </c>
      <c r="D25" s="15">
        <v>-1.4489398798754827E-2</v>
      </c>
      <c r="E25" s="15">
        <v>0.11128237186167486</v>
      </c>
      <c r="F25" s="15">
        <v>-0.12217841651377803</v>
      </c>
      <c r="G25" s="15">
        <v>6.0187145114129259E-2</v>
      </c>
      <c r="H25" s="15">
        <v>9.1464546495342525E-2</v>
      </c>
      <c r="I25" s="15">
        <v>-1.790052968739575E-3</v>
      </c>
      <c r="J25" s="15">
        <v>4.7372075367663663E-2</v>
      </c>
      <c r="K25" s="15">
        <v>-7.9746538217737584E-3</v>
      </c>
      <c r="L25" s="15">
        <v>-2.4738139988804531E-2</v>
      </c>
      <c r="M25" s="15">
        <v>-9.693245661378691E-3</v>
      </c>
      <c r="N25" s="15">
        <v>-0.17979255790692283</v>
      </c>
      <c r="O25" s="15">
        <v>0.10854662771198242</v>
      </c>
      <c r="P25" s="15">
        <v>-2.507015360571696E-2</v>
      </c>
      <c r="Q25" s="15">
        <v>5.0797204411980823E-2</v>
      </c>
      <c r="R25" s="15">
        <v>0.14686406042239275</v>
      </c>
      <c r="S25" s="15">
        <v>1.008197727495419E-2</v>
      </c>
      <c r="T25" s="15">
        <v>7.4256987351394577E-3</v>
      </c>
      <c r="U25" s="15">
        <v>-4.1657321215788801E-2</v>
      </c>
      <c r="V25" s="15">
        <v>1.0796179765720046E-2</v>
      </c>
      <c r="W25" s="15">
        <v>-7.829304631453321E-2</v>
      </c>
      <c r="X25" s="15">
        <v>2.6225869673456748E-2</v>
      </c>
      <c r="Y25" s="15">
        <v>4.2595783786501862E-2</v>
      </c>
      <c r="Z25" s="15">
        <v>-2.7500282074226751E-2</v>
      </c>
      <c r="AA25" s="15">
        <v>2.419372215460866E-2</v>
      </c>
      <c r="AB25" s="15">
        <v>2.8317704095279062E-2</v>
      </c>
      <c r="AC25" s="15">
        <v>-4.7037906612519276E-2</v>
      </c>
      <c r="AD25" s="15">
        <v>8.4684713108864496E-2</v>
      </c>
      <c r="AE25" s="15">
        <v>2.6224729430354976E-2</v>
      </c>
      <c r="AF25" s="15">
        <v>-2.4264148586646994E-2</v>
      </c>
    </row>
    <row r="26" spans="3:32" x14ac:dyDescent="0.25">
      <c r="C26" s="15">
        <v>1.2563081128371067E-2</v>
      </c>
      <c r="D26" s="15">
        <v>-1.1057730178860636E-2</v>
      </c>
      <c r="E26" s="15">
        <v>0.11559906498360933</v>
      </c>
      <c r="F26" s="15">
        <v>-0.12610593009042348</v>
      </c>
      <c r="G26" s="15">
        <v>7.2703427107513208E-2</v>
      </c>
      <c r="H26" s="15">
        <v>0.10208846965460427</v>
      </c>
      <c r="I26" s="15">
        <v>4.4613285623266163E-3</v>
      </c>
      <c r="J26" s="15">
        <v>5.1522856554249874E-2</v>
      </c>
      <c r="K26" s="15">
        <v>3.2005435494422141E-3</v>
      </c>
      <c r="L26" s="15">
        <v>-1.6859241616635379E-2</v>
      </c>
      <c r="M26" s="15">
        <v>-1.8365647394606444E-3</v>
      </c>
      <c r="N26" s="15">
        <v>-0.24143720668327795</v>
      </c>
      <c r="O26" s="15">
        <v>0.11913260218485855</v>
      </c>
      <c r="P26" s="15">
        <v>-1.9204040160641533E-2</v>
      </c>
      <c r="Q26" s="15">
        <v>5.0995094262075935E-2</v>
      </c>
      <c r="R26" s="15">
        <v>0.13200106859284627</v>
      </c>
      <c r="S26" s="15">
        <v>2.4218215969334822E-2</v>
      </c>
      <c r="T26" s="15">
        <v>1.0058724206712E-2</v>
      </c>
      <c r="U26" s="15">
        <v>-3.9820743625668453E-2</v>
      </c>
      <c r="V26" s="15">
        <v>-2.3839712977861971E-3</v>
      </c>
      <c r="W26" s="15">
        <v>-6.1256413285501632E-2</v>
      </c>
      <c r="X26" s="15">
        <v>3.9373765328926558E-2</v>
      </c>
      <c r="Y26" s="15">
        <v>5.0497347888803112E-2</v>
      </c>
      <c r="Z26" s="15">
        <v>-3.1678413378795275E-2</v>
      </c>
      <c r="AA26" s="15">
        <v>2.7116730804941161E-2</v>
      </c>
      <c r="AB26" s="15">
        <v>3.7314742663472678E-2</v>
      </c>
      <c r="AC26" s="15">
        <v>-9.5479039557681999E-2</v>
      </c>
      <c r="AD26" s="15">
        <v>9.1358404335471488E-2</v>
      </c>
      <c r="AE26" s="15">
        <v>2.4065176228915491E-2</v>
      </c>
      <c r="AF26" s="15">
        <v>-2.2193036361803906E-2</v>
      </c>
    </row>
    <row r="27" spans="3:32" x14ac:dyDescent="0.25">
      <c r="C27" s="15">
        <v>1.9412346469280251E-2</v>
      </c>
      <c r="D27" s="15">
        <v>-7.6563600456218961E-3</v>
      </c>
      <c r="E27" s="15">
        <v>0.12231226919206217</v>
      </c>
      <c r="F27" s="15">
        <v>-0.13617565493979455</v>
      </c>
      <c r="G27" s="15">
        <v>8.3487698849709635E-2</v>
      </c>
      <c r="H27" s="15">
        <v>8.5348634025990466E-2</v>
      </c>
      <c r="I27" s="15">
        <v>-5.2090888692579718E-3</v>
      </c>
      <c r="J27" s="15">
        <v>4.5183411831616033E-2</v>
      </c>
      <c r="K27" s="15">
        <v>-4.9653234046038719E-3</v>
      </c>
      <c r="L27" s="15">
        <v>-8.0921670503544263E-3</v>
      </c>
      <c r="M27" s="15">
        <v>-1.6572478562328352E-3</v>
      </c>
      <c r="N27" s="15">
        <v>-0.22419125380730875</v>
      </c>
      <c r="O27" s="15">
        <v>0.12115948765409201</v>
      </c>
      <c r="P27" s="15">
        <v>-1.4469895819067324E-2</v>
      </c>
      <c r="Q27" s="15">
        <v>5.9291092756227626E-2</v>
      </c>
      <c r="R27" s="15">
        <v>9.3528469655858593E-2</v>
      </c>
      <c r="S27" s="15">
        <v>3.7029700325079018E-2</v>
      </c>
      <c r="T27" s="15">
        <v>8.6015492384507453E-3</v>
      </c>
      <c r="U27" s="15">
        <v>-4.1062720205877978E-2</v>
      </c>
      <c r="V27" s="15">
        <v>3.4658415632426859E-3</v>
      </c>
      <c r="W27" s="15">
        <v>-3.5369365233391938E-2</v>
      </c>
      <c r="X27" s="15">
        <v>1.1555987246203658E-2</v>
      </c>
      <c r="Y27" s="15">
        <v>5.7926832906852077E-2</v>
      </c>
      <c r="Z27" s="15">
        <v>-2.7910563666199456E-2</v>
      </c>
      <c r="AA27" s="15">
        <v>2.7576959144336527E-2</v>
      </c>
      <c r="AB27" s="15">
        <v>4.601884571621101E-2</v>
      </c>
      <c r="AC27" s="15">
        <v>-8.676347464190548E-2</v>
      </c>
      <c r="AD27" s="15">
        <v>9.4045607048599211E-2</v>
      </c>
      <c r="AE27" s="15">
        <v>1.9033152758043209E-2</v>
      </c>
      <c r="AF27" s="15">
        <v>-2.2731956079635671E-2</v>
      </c>
    </row>
    <row r="28" spans="3:32" x14ac:dyDescent="0.25">
      <c r="C28" s="15">
        <v>9.2611803988485453E-3</v>
      </c>
      <c r="D28" s="15">
        <v>-1.5559704703384983E-2</v>
      </c>
      <c r="E28" s="15">
        <v>0.12137434840307365</v>
      </c>
      <c r="F28" s="15">
        <v>-0.12224483225839378</v>
      </c>
      <c r="G28" s="15">
        <v>9.7366727618238724E-2</v>
      </c>
      <c r="H28" s="15">
        <v>9.5715192533543547E-2</v>
      </c>
      <c r="I28" s="15">
        <v>3.1229471076288373E-3</v>
      </c>
      <c r="J28" s="15">
        <v>5.1665543020054161E-2</v>
      </c>
      <c r="K28" s="15">
        <v>1.1325853393872709E-2</v>
      </c>
      <c r="L28" s="15">
        <v>4.9200062134630018E-4</v>
      </c>
      <c r="M28" s="15">
        <v>-1.2090007910513345E-2</v>
      </c>
      <c r="N28" s="15">
        <v>-0.21914066654042452</v>
      </c>
      <c r="O28" s="15">
        <v>0.10804135828618644</v>
      </c>
      <c r="P28" s="15">
        <v>-8.625920607827714E-3</v>
      </c>
      <c r="Q28" s="15">
        <v>6.0162437755102327E-2</v>
      </c>
      <c r="R28" s="15">
        <v>4.2116984165339766E-2</v>
      </c>
      <c r="S28" s="15">
        <v>4.423858445335227E-2</v>
      </c>
      <c r="T28" s="15">
        <v>1.3824769487929794E-2</v>
      </c>
      <c r="U28" s="15">
        <v>-6.4658624281911381E-2</v>
      </c>
      <c r="V28" s="15">
        <v>-1.6592986511712701E-2</v>
      </c>
      <c r="W28" s="15">
        <v>-3.9382026608489377E-2</v>
      </c>
      <c r="X28" s="15">
        <v>2.8295208331043709E-2</v>
      </c>
      <c r="Y28" s="15">
        <v>7.5040367312310341E-2</v>
      </c>
      <c r="Z28" s="15">
        <v>-3.0851368500510838E-2</v>
      </c>
      <c r="AA28" s="15">
        <v>1.7277881936426667E-2</v>
      </c>
      <c r="AB28" s="15">
        <v>5.0283082982496452E-2</v>
      </c>
      <c r="AC28" s="15">
        <v>-8.5376053332783863E-2</v>
      </c>
      <c r="AD28" s="15">
        <v>8.5453658922361342E-2</v>
      </c>
      <c r="AE28" s="15">
        <v>2.2760325258346814E-2</v>
      </c>
      <c r="AF28" s="15">
        <v>-2.0649238896912794E-2</v>
      </c>
    </row>
    <row r="29" spans="3:32" x14ac:dyDescent="0.25">
      <c r="C29" s="15">
        <v>-4.8519056552905226E-2</v>
      </c>
      <c r="D29" s="15">
        <v>-1.1821699390264548E-2</v>
      </c>
      <c r="E29" s="15">
        <v>0.13017383136833544</v>
      </c>
      <c r="F29" s="15">
        <v>-0.10622755058349242</v>
      </c>
      <c r="G29" s="15">
        <v>7.7993405860819265E-2</v>
      </c>
      <c r="H29" s="15">
        <v>0.10504039292128287</v>
      </c>
      <c r="I29" s="15">
        <v>1.7006914728449729E-2</v>
      </c>
      <c r="J29" s="15">
        <v>5.6231741245650502E-2</v>
      </c>
      <c r="K29" s="15">
        <v>-0.1284860089382085</v>
      </c>
      <c r="L29" s="15">
        <v>1.0755771249926993E-2</v>
      </c>
      <c r="M29" s="15">
        <v>-3.8095560761916558E-3</v>
      </c>
      <c r="N29" s="15">
        <v>-0.20318698004272706</v>
      </c>
      <c r="O29" s="15">
        <v>8.5611308183182411E-2</v>
      </c>
      <c r="P29" s="15">
        <v>-2.0233921192163468E-2</v>
      </c>
      <c r="Q29" s="15">
        <v>6.5053948428321517E-2</v>
      </c>
      <c r="R29" s="15">
        <v>-8.3318699689320375E-3</v>
      </c>
      <c r="S29" s="15">
        <v>5.6891586209644629E-2</v>
      </c>
      <c r="T29" s="15">
        <v>1.9234541329180371E-2</v>
      </c>
      <c r="U29" s="15">
        <v>-6.129546008177178E-2</v>
      </c>
      <c r="V29" s="15">
        <v>0.31788355384531308</v>
      </c>
      <c r="W29" s="15">
        <v>-4.1616687957229476E-2</v>
      </c>
      <c r="X29" s="15">
        <v>4.3942997221838365E-2</v>
      </c>
      <c r="Y29" s="15">
        <v>9.1788024986034333E-2</v>
      </c>
      <c r="Z29" s="15">
        <v>-3.0341764102877034E-2</v>
      </c>
      <c r="AA29" s="15">
        <v>2.0672392918610019E-2</v>
      </c>
      <c r="AB29" s="15">
        <v>6.0059877740464451E-2</v>
      </c>
      <c r="AC29" s="15">
        <v>-7.8029056319528389E-2</v>
      </c>
      <c r="AD29" s="15">
        <v>9.7013939443634456E-2</v>
      </c>
      <c r="AE29" s="15">
        <v>2.1315734565025252E-2</v>
      </c>
      <c r="AF29" s="15">
        <v>-1.7709546359250164E-2</v>
      </c>
    </row>
    <row r="30" spans="3:32" x14ac:dyDescent="0.25">
      <c r="C30" s="15">
        <v>-3.7543467212893034E-2</v>
      </c>
      <c r="D30" s="15">
        <v>-1.6168303760703863E-2</v>
      </c>
      <c r="E30" s="15">
        <v>0.13915452346483159</v>
      </c>
      <c r="F30" s="15">
        <v>-9.0979788382924864E-2</v>
      </c>
      <c r="G30" s="15">
        <v>8.0246373361320678E-2</v>
      </c>
      <c r="H30" s="15">
        <v>9.3295109167566337E-2</v>
      </c>
      <c r="I30" s="15">
        <v>-1.71804963127693E-2</v>
      </c>
      <c r="J30" s="15">
        <v>6.3069321536543599E-2</v>
      </c>
      <c r="K30" s="15">
        <v>-0.11337049947508748</v>
      </c>
      <c r="L30" s="15">
        <v>1.7969667939034539E-2</v>
      </c>
      <c r="M30" s="15">
        <v>-1.0898059849824532E-2</v>
      </c>
      <c r="N30" s="15">
        <v>-0.22476755116507308</v>
      </c>
      <c r="O30" s="15">
        <v>7.7631785611936455E-2</v>
      </c>
      <c r="P30" s="15">
        <v>-1.9044738815859094E-2</v>
      </c>
      <c r="Q30" s="15">
        <v>7.3158826835996227E-2</v>
      </c>
      <c r="R30" s="15">
        <v>3.0365016621765061E-2</v>
      </c>
      <c r="S30" s="15">
        <v>7.0479428619958262E-2</v>
      </c>
      <c r="T30" s="15">
        <v>2.4208322234349711E-2</v>
      </c>
      <c r="U30" s="15">
        <v>-7.1889901884008456E-2</v>
      </c>
      <c r="V30" s="15">
        <v>4.481133224125676E-2</v>
      </c>
      <c r="W30" s="15">
        <v>-4.0130120369634349E-2</v>
      </c>
      <c r="X30" s="15">
        <v>4.2752884552561321E-2</v>
      </c>
      <c r="Y30" s="15">
        <v>8.8902707313458951E-2</v>
      </c>
      <c r="Z30" s="15">
        <v>-2.84263120174712E-2</v>
      </c>
      <c r="AA30" s="15">
        <v>2.2116790331977651E-2</v>
      </c>
      <c r="AB30" s="15">
        <v>6.862636205000644E-2</v>
      </c>
      <c r="AC30" s="15">
        <v>-0.12916804651608738</v>
      </c>
      <c r="AD30" s="15">
        <v>0.10796655012247469</v>
      </c>
      <c r="AE30" s="15">
        <v>2.5691833351540821E-2</v>
      </c>
      <c r="AF30" s="15">
        <v>-3.4674339804994736E-2</v>
      </c>
    </row>
    <row r="31" spans="3:32" x14ac:dyDescent="0.25">
      <c r="C31" s="15">
        <v>-2.6087965658392109E-2</v>
      </c>
      <c r="D31" s="15">
        <v>-1.8113933904983164E-2</v>
      </c>
      <c r="E31" s="15">
        <v>0.1444558778552375</v>
      </c>
      <c r="F31" s="15">
        <v>-0.11230728741200213</v>
      </c>
      <c r="G31" s="15">
        <v>8.9734041018654787E-2</v>
      </c>
      <c r="H31" s="15">
        <v>9.7028450168931246E-2</v>
      </c>
      <c r="I31" s="15">
        <v>-4.7212749411936761E-3</v>
      </c>
      <c r="J31" s="15">
        <v>6.6191061070775437E-2</v>
      </c>
      <c r="K31" s="15">
        <v>-0.16990719375348906</v>
      </c>
      <c r="L31" s="15">
        <v>2.4505145728135003E-2</v>
      </c>
      <c r="M31" s="15">
        <v>-1.3026164124703532E-2</v>
      </c>
      <c r="N31" s="15">
        <v>-0.20841990006861</v>
      </c>
      <c r="O31" s="15">
        <v>6.9494321973078144E-2</v>
      </c>
      <c r="P31" s="15">
        <v>-2.0641878660065463E-2</v>
      </c>
      <c r="Q31" s="15">
        <v>6.4074879645108052E-2</v>
      </c>
      <c r="R31" s="15">
        <v>3.1131786713697152E-2</v>
      </c>
      <c r="S31" s="15">
        <v>8.2107663945685805E-2</v>
      </c>
      <c r="T31" s="15">
        <v>2.8406210658712988E-2</v>
      </c>
      <c r="U31" s="15">
        <v>-6.7852243349521668E-2</v>
      </c>
      <c r="V31" s="15">
        <v>4.4777377222676516E-2</v>
      </c>
      <c r="W31" s="15">
        <v>-4.4329434610645098E-2</v>
      </c>
      <c r="X31" s="15">
        <v>5.7746870510121173E-2</v>
      </c>
      <c r="Y31" s="15">
        <v>0.10622431655397913</v>
      </c>
      <c r="Z31" s="15">
        <v>-2.6829192497344362E-2</v>
      </c>
      <c r="AA31" s="15">
        <v>1.7827827505913205E-2</v>
      </c>
      <c r="AB31" s="15">
        <v>6.2816547756790519E-2</v>
      </c>
      <c r="AC31" s="15">
        <v>-0.11480336867911167</v>
      </c>
      <c r="AD31" s="15">
        <v>0.11966691800396401</v>
      </c>
      <c r="AE31" s="15">
        <v>3.2565373181300927E-2</v>
      </c>
      <c r="AF31" s="15">
        <v>-3.1306283412632252E-2</v>
      </c>
    </row>
    <row r="32" spans="3:32" x14ac:dyDescent="0.25">
      <c r="C32" s="15">
        <v>-1.2632809086915553E-2</v>
      </c>
      <c r="D32" s="15">
        <v>-1.6229677982933476E-2</v>
      </c>
      <c r="E32" s="15">
        <v>0.15415195227705852</v>
      </c>
      <c r="F32" s="15">
        <v>-0.12503812568031369</v>
      </c>
      <c r="G32" s="15">
        <v>0.10310843424613048</v>
      </c>
      <c r="H32" s="15">
        <v>0.1062080941112844</v>
      </c>
      <c r="I32" s="15">
        <v>-3.3675149228304502E-2</v>
      </c>
      <c r="J32" s="15">
        <v>4.6400298882042473E-2</v>
      </c>
      <c r="K32" s="15">
        <v>-0.16955545166590658</v>
      </c>
      <c r="L32" s="15">
        <v>3.6170277688397312E-2</v>
      </c>
      <c r="M32" s="15">
        <v>-8.3481650943619812E-3</v>
      </c>
      <c r="N32" s="15">
        <v>-0.19568066336519641</v>
      </c>
      <c r="O32" s="15">
        <v>7.5681738082224892E-2</v>
      </c>
      <c r="P32" s="15">
        <v>-1.7483839666025999E-2</v>
      </c>
      <c r="Q32" s="15">
        <v>6.5842838548550275E-2</v>
      </c>
      <c r="R32" s="15">
        <v>3.1881480232801407E-2</v>
      </c>
      <c r="S32" s="15">
        <v>8.7549792002531657E-2</v>
      </c>
      <c r="T32" s="15">
        <v>1.0954990496644335E-2</v>
      </c>
      <c r="U32" s="15">
        <v>-5.2699158438578086E-2</v>
      </c>
      <c r="V32" s="15">
        <v>4.5547273738192451E-2</v>
      </c>
      <c r="W32" s="15">
        <v>-4.449600592820549E-2</v>
      </c>
      <c r="X32" s="15">
        <v>7.3878542866327113E-2</v>
      </c>
      <c r="Y32" s="15">
        <v>0.11285013387813425</v>
      </c>
      <c r="Z32" s="15">
        <v>-3.3711303304954601E-2</v>
      </c>
      <c r="AA32" s="15">
        <v>1.8441134118721225E-2</v>
      </c>
      <c r="AB32" s="15">
        <v>3.7217675285641433E-2</v>
      </c>
      <c r="AC32" s="15">
        <v>-0.11916371986756369</v>
      </c>
      <c r="AD32" s="15">
        <v>0.10056808450988941</v>
      </c>
      <c r="AE32" s="15">
        <v>3.9237440375777255E-2</v>
      </c>
      <c r="AF32" s="15">
        <v>-2.6684722698492619E-2</v>
      </c>
    </row>
    <row r="33" spans="3:32" x14ac:dyDescent="0.25">
      <c r="C33" s="15">
        <v>-2.3705780212501804E-4</v>
      </c>
      <c r="D33" s="15">
        <v>-1.5224829400160247E-2</v>
      </c>
      <c r="E33" s="15">
        <v>0.14222942424607499</v>
      </c>
      <c r="F33" s="15">
        <v>-0.13560240003961432</v>
      </c>
      <c r="G33" s="15">
        <v>0.1147208468538079</v>
      </c>
      <c r="H33" s="15">
        <v>0.10422398569051372</v>
      </c>
      <c r="I33" s="15">
        <v>-2.1507579639372665E-2</v>
      </c>
      <c r="J33" s="15">
        <v>2.7197844129384974E-2</v>
      </c>
      <c r="K33" s="15">
        <v>-0.19216660951026232</v>
      </c>
      <c r="L33" s="15">
        <v>3.1766830584291084E-2</v>
      </c>
      <c r="M33" s="15">
        <v>1.5267061542887927E-3</v>
      </c>
      <c r="N33" s="15">
        <v>-0.20301620016467892</v>
      </c>
      <c r="O33" s="15">
        <v>8.8370328548740495E-2</v>
      </c>
      <c r="P33" s="15">
        <v>-1.7425843254382414E-2</v>
      </c>
      <c r="Q33" s="15">
        <v>6.3417254327754857E-2</v>
      </c>
      <c r="R33" s="15">
        <v>3.2080757129370009E-2</v>
      </c>
      <c r="S33" s="15">
        <v>8.98727167176257E-2</v>
      </c>
      <c r="T33" s="15">
        <v>1.4594059472506915E-2</v>
      </c>
      <c r="U33" s="15">
        <v>-0.11592682785242503</v>
      </c>
      <c r="V33" s="15">
        <v>4.6507358519174619E-2</v>
      </c>
      <c r="W33" s="15">
        <v>-4.2759085485358152E-2</v>
      </c>
      <c r="X33" s="15">
        <v>7.864785697431631E-2</v>
      </c>
      <c r="Y33" s="15">
        <v>0.11616069824820707</v>
      </c>
      <c r="Z33" s="15">
        <v>-3.7493098237401531E-2</v>
      </c>
      <c r="AA33" s="15">
        <v>7.9967487013667612E-3</v>
      </c>
      <c r="AB33" s="15">
        <v>4.1877097586998258E-2</v>
      </c>
      <c r="AC33" s="15">
        <v>-0.12484322207483178</v>
      </c>
      <c r="AD33" s="15">
        <v>0.1096124638982795</v>
      </c>
      <c r="AE33" s="15">
        <v>4.3959882976198655E-2</v>
      </c>
      <c r="AF33" s="15">
        <v>-2.1407040258103804E-2</v>
      </c>
    </row>
    <row r="34" spans="3:32" x14ac:dyDescent="0.25">
      <c r="C34" s="15">
        <v>1.2402223138152313E-2</v>
      </c>
      <c r="D34" s="15">
        <v>-1.2950347143437999E-2</v>
      </c>
      <c r="E34" s="15">
        <v>0.15346452211536188</v>
      </c>
      <c r="F34" s="15">
        <v>-0.13576607476604563</v>
      </c>
      <c r="G34" s="15">
        <v>0.11327718010688381</v>
      </c>
      <c r="H34" s="15">
        <v>0.11674756559560084</v>
      </c>
      <c r="I34" s="15">
        <v>-1.7153683339505843E-2</v>
      </c>
      <c r="J34" s="15">
        <v>2.7762663360600001E-2</v>
      </c>
      <c r="K34" s="15">
        <v>-0.17559523238971764</v>
      </c>
      <c r="L34" s="15">
        <v>4.6450836311644372E-2</v>
      </c>
      <c r="M34" s="15">
        <v>9.7360814247529071E-3</v>
      </c>
      <c r="N34" s="15">
        <v>-0.19010965673593994</v>
      </c>
      <c r="O34" s="15">
        <v>8.6689687669490922E-2</v>
      </c>
      <c r="P34" s="15">
        <v>-1.5099405631552931E-2</v>
      </c>
      <c r="Q34" s="15">
        <v>7.1646669022912557E-2</v>
      </c>
      <c r="R34" s="15">
        <v>3.0068376020767465E-2</v>
      </c>
      <c r="S34" s="15">
        <v>6.5654270028884132E-2</v>
      </c>
      <c r="T34" s="15">
        <v>1.4254642830155345E-2</v>
      </c>
      <c r="U34" s="15">
        <v>-0.10015647691615026</v>
      </c>
      <c r="V34" s="15">
        <v>4.7352946277212829E-2</v>
      </c>
      <c r="W34" s="15">
        <v>-4.2204064339393527E-2</v>
      </c>
      <c r="X34" s="15">
        <v>7.2765450451059976E-2</v>
      </c>
      <c r="Y34" s="15">
        <v>0.1081532842932349</v>
      </c>
      <c r="Z34" s="15">
        <v>-4.0491331421655098E-2</v>
      </c>
      <c r="AA34" s="15">
        <v>1.0635463046357603E-2</v>
      </c>
      <c r="AB34" s="15">
        <v>4.4799956198353835E-2</v>
      </c>
      <c r="AC34" s="15">
        <v>-0.1328944421238254</v>
      </c>
      <c r="AD34" s="15">
        <v>0.12088458839511729</v>
      </c>
      <c r="AE34" s="15">
        <v>5.045216276386591E-2</v>
      </c>
      <c r="AF34" s="15">
        <v>-2.6435682497612467E-2</v>
      </c>
    </row>
    <row r="35" spans="3:32" x14ac:dyDescent="0.25">
      <c r="C35" s="15">
        <v>1.2052188040036826E-2</v>
      </c>
      <c r="D35" s="15">
        <v>-1.5525552190245897E-2</v>
      </c>
      <c r="E35" s="15">
        <v>0.14884789923068609</v>
      </c>
      <c r="F35" s="15">
        <v>-0.14078317699071352</v>
      </c>
      <c r="G35" s="15">
        <v>0.10695435774294526</v>
      </c>
      <c r="H35" s="15">
        <v>0.10453780340306751</v>
      </c>
      <c r="I35" s="15">
        <v>-1.3343251667683798E-2</v>
      </c>
      <c r="J35" s="15">
        <v>2.8290259796813461E-2</v>
      </c>
      <c r="K35" s="15">
        <v>-0.16424851838493137</v>
      </c>
      <c r="L35" s="15">
        <v>5.7703153784417149E-2</v>
      </c>
      <c r="M35" s="15">
        <v>1.3183810965463949E-2</v>
      </c>
      <c r="N35" s="15">
        <v>-0.20723947060077741</v>
      </c>
      <c r="O35" s="15">
        <v>9.3777163176049116E-2</v>
      </c>
      <c r="P35" s="15">
        <v>-2.3694875767803034E-2</v>
      </c>
      <c r="Q35" s="15">
        <v>7.9701281065471308E-2</v>
      </c>
      <c r="R35" s="15">
        <v>3.0322631568661565E-2</v>
      </c>
      <c r="S35" s="15">
        <v>3.518681276953059E-2</v>
      </c>
      <c r="T35" s="15">
        <v>1.9486591991628027E-2</v>
      </c>
      <c r="U35" s="15">
        <v>-8.2372926881927544E-2</v>
      </c>
      <c r="V35" s="15">
        <v>4.801614281584151E-2</v>
      </c>
      <c r="W35" s="15">
        <v>-4.0215385392260827E-2</v>
      </c>
      <c r="X35" s="15">
        <v>4.035525630881831E-2</v>
      </c>
      <c r="Y35" s="15">
        <v>0.11796158739300333</v>
      </c>
      <c r="Z35" s="15">
        <v>-3.9538269718511709E-2</v>
      </c>
      <c r="AA35" s="15">
        <v>1.208457023305156E-2</v>
      </c>
      <c r="AB35" s="15">
        <v>4.1714568381896591E-2</v>
      </c>
      <c r="AC35" s="15">
        <v>-0.1217942252597799</v>
      </c>
      <c r="AD35" s="15">
        <v>0.10649073519809193</v>
      </c>
      <c r="AE35" s="15">
        <v>5.6986313795560073E-2</v>
      </c>
      <c r="AF35" s="15">
        <v>-3.8868380878064018E-2</v>
      </c>
    </row>
    <row r="36" spans="3:32" x14ac:dyDescent="0.25">
      <c r="C36" s="15">
        <v>-2.8428182017406822E-2</v>
      </c>
      <c r="D36" s="15">
        <v>-1.4203102278877507E-2</v>
      </c>
      <c r="E36" s="15">
        <v>0.14771589525440998</v>
      </c>
      <c r="F36" s="15">
        <v>-0.12668884699316951</v>
      </c>
      <c r="G36" s="15">
        <v>8.2426506523696763E-2</v>
      </c>
      <c r="H36" s="15">
        <v>0.11503744935478744</v>
      </c>
      <c r="I36" s="15">
        <v>-1.91181703491905E-3</v>
      </c>
      <c r="J36" s="15">
        <v>2.3029155241040621E-2</v>
      </c>
      <c r="K36" s="15">
        <v>-0.14714302381523314</v>
      </c>
      <c r="L36" s="15">
        <v>7.1478698390690876E-2</v>
      </c>
      <c r="M36" s="15">
        <v>2.1564065574772917E-2</v>
      </c>
      <c r="N36" s="15">
        <v>-0.20007641134423437</v>
      </c>
      <c r="O36" s="15">
        <v>4.0018901262382944E-2</v>
      </c>
      <c r="P36" s="15">
        <v>-2.2872270163310619E-2</v>
      </c>
      <c r="Q36" s="15">
        <v>8.3383565245446656E-2</v>
      </c>
      <c r="R36" s="15">
        <v>3.0997513162351192E-2</v>
      </c>
      <c r="S36" s="15">
        <v>4.0850697994599089E-2</v>
      </c>
      <c r="T36" s="15">
        <v>2.1084737395635211E-2</v>
      </c>
      <c r="U36" s="15">
        <v>-8.3764441587256266E-2</v>
      </c>
      <c r="V36" s="15">
        <v>4.9177850670948681E-2</v>
      </c>
      <c r="W36" s="15">
        <v>-4.1104859905026492E-2</v>
      </c>
      <c r="X36" s="15">
        <v>3.6805789233882891E-2</v>
      </c>
      <c r="Y36" s="15">
        <v>0.12160867835913969</v>
      </c>
      <c r="Z36" s="15">
        <v>-3.7788405277780782E-2</v>
      </c>
      <c r="AA36" s="15">
        <v>9.0452128566757481E-3</v>
      </c>
      <c r="AB36" s="15">
        <v>2.6451619879829212E-2</v>
      </c>
      <c r="AC36" s="15">
        <v>-0.11327877198339786</v>
      </c>
      <c r="AD36" s="15">
        <v>0.12301308621134743</v>
      </c>
      <c r="AE36" s="15">
        <v>6.3509232136912619E-2</v>
      </c>
      <c r="AF36" s="15">
        <v>-3.6902146297354235E-2</v>
      </c>
    </row>
    <row r="37" spans="3:32" x14ac:dyDescent="0.25">
      <c r="C37" s="15">
        <v>-1.2704959463400556E-2</v>
      </c>
      <c r="D37" s="15">
        <v>-1.2826442664944416E-2</v>
      </c>
      <c r="E37" s="15">
        <v>0.12208688522649225</v>
      </c>
      <c r="F37" s="15">
        <v>-0.14305100882674626</v>
      </c>
      <c r="G37" s="15">
        <v>8.7752363221295537E-2</v>
      </c>
      <c r="H37" s="15">
        <v>0.12737252088064344</v>
      </c>
      <c r="I37" s="15">
        <v>1.0885451804010238E-4</v>
      </c>
      <c r="J37" s="15">
        <v>2.4783046458910305E-2</v>
      </c>
      <c r="K37" s="15">
        <v>-0.1567223451862978</v>
      </c>
      <c r="L37" s="15">
        <v>6.8074707574807047E-2</v>
      </c>
      <c r="M37" s="15">
        <v>3.9141493273717742E-3</v>
      </c>
      <c r="N37" s="15">
        <v>-0.19538078868040198</v>
      </c>
      <c r="O37" s="15">
        <v>5.2293848404916354E-2</v>
      </c>
      <c r="P37" s="15">
        <v>-2.1380470134213632E-2</v>
      </c>
      <c r="Q37" s="15">
        <v>9.0081451173798899E-2</v>
      </c>
      <c r="R37" s="15">
        <v>2.6980814067429686E-2</v>
      </c>
      <c r="S37" s="15">
        <v>3.6013003875841249E-2</v>
      </c>
      <c r="T37" s="15">
        <v>1.6385313487628478E-2</v>
      </c>
      <c r="U37" s="15">
        <v>-6.6136649102237266E-2</v>
      </c>
      <c r="V37" s="15">
        <v>4.1359412406769387E-2</v>
      </c>
      <c r="W37" s="15">
        <v>-4.0775643874533973E-2</v>
      </c>
      <c r="X37" s="15">
        <v>5.5349534578542858E-2</v>
      </c>
      <c r="Y37" s="15">
        <v>7.9143949923150769E-2</v>
      </c>
      <c r="Z37" s="15">
        <v>-3.6181866097339838E-2</v>
      </c>
      <c r="AA37" s="15">
        <v>8.9568572968060575E-3</v>
      </c>
      <c r="AB37" s="15">
        <v>2.8343194875344889E-2</v>
      </c>
      <c r="AC37" s="15">
        <v>-0.10345442525409143</v>
      </c>
      <c r="AD37" s="15">
        <v>0.13489680980546659</v>
      </c>
      <c r="AE37" s="15">
        <v>5.8814637537661418E-2</v>
      </c>
      <c r="AF37" s="15">
        <v>-4.2065011461634744E-2</v>
      </c>
    </row>
    <row r="38" spans="3:32" x14ac:dyDescent="0.25">
      <c r="C38" s="15">
        <v>-4.2259020973584249E-2</v>
      </c>
      <c r="D38" s="15">
        <v>-1.1457467187954092E-2</v>
      </c>
      <c r="E38" s="15">
        <v>0.12607343852481578</v>
      </c>
      <c r="F38" s="15">
        <v>-0.12887542683512709</v>
      </c>
      <c r="G38" s="15">
        <v>0.102049650130702</v>
      </c>
      <c r="H38" s="15">
        <v>0.14004707450153986</v>
      </c>
      <c r="I38" s="15">
        <v>-1.5549384744140804E-2</v>
      </c>
      <c r="J38" s="15">
        <v>2.6657468961033548E-2</v>
      </c>
      <c r="K38" s="15">
        <v>-0.14296209814625205</v>
      </c>
      <c r="L38" s="15">
        <v>8.0599767406146827E-2</v>
      </c>
      <c r="M38" s="15">
        <v>-1.7840172403758459E-2</v>
      </c>
      <c r="N38" s="15">
        <v>-0.25834362882125106</v>
      </c>
      <c r="O38" s="15">
        <v>6.4988927924763851E-2</v>
      </c>
      <c r="P38" s="15">
        <v>-2.4402853837414116E-2</v>
      </c>
      <c r="Q38" s="15">
        <v>9.687081233025624E-2</v>
      </c>
      <c r="R38" s="15">
        <v>2.7496321036188903E-2</v>
      </c>
      <c r="S38" s="15">
        <v>4.2881671783892489E-2</v>
      </c>
      <c r="T38" s="15">
        <v>1.4298721623143815E-2</v>
      </c>
      <c r="U38" s="15">
        <v>-4.856132357623677E-2</v>
      </c>
      <c r="V38" s="15">
        <v>4.2058178242236711E-2</v>
      </c>
      <c r="W38" s="15">
        <v>-4.0359084175799413E-2</v>
      </c>
      <c r="X38" s="15">
        <v>6.9301393862771121E-2</v>
      </c>
      <c r="Y38" s="15">
        <v>9.7732765689626078E-2</v>
      </c>
      <c r="Z38" s="15">
        <v>-3.4664542954661662E-2</v>
      </c>
      <c r="AA38" s="15">
        <v>8.4035518708101727E-3</v>
      </c>
      <c r="AB38" s="15">
        <v>3.0650360106380461E-2</v>
      </c>
      <c r="AC38" s="15">
        <v>-8.8842437073798575E-2</v>
      </c>
      <c r="AD38" s="15">
        <v>0.15213155447743065</v>
      </c>
      <c r="AE38" s="15">
        <v>3.9324264815443377E-2</v>
      </c>
      <c r="AF38" s="15">
        <v>-4.2243322850052681E-2</v>
      </c>
    </row>
    <row r="39" spans="3:32" x14ac:dyDescent="0.25">
      <c r="C39" s="15">
        <v>-3.0193476659865937E-2</v>
      </c>
      <c r="D39" s="15">
        <v>-1.1601019486501803E-2</v>
      </c>
      <c r="E39" s="15">
        <v>0.13499220919028493</v>
      </c>
      <c r="F39" s="15">
        <v>-0.10977285200829723</v>
      </c>
      <c r="G39" s="15">
        <v>0.11949303544627488</v>
      </c>
      <c r="H39" s="15">
        <v>0.13977837124128745</v>
      </c>
      <c r="I39" s="15">
        <v>-0.10560542292914021</v>
      </c>
      <c r="J39" s="15">
        <v>2.8574054337342308E-2</v>
      </c>
      <c r="K39" s="15">
        <v>-0.1410331419028068</v>
      </c>
      <c r="L39" s="15">
        <v>8.3688822380195371E-2</v>
      </c>
      <c r="M39" s="15">
        <v>-9.4996706700312128E-3</v>
      </c>
      <c r="N39" s="15">
        <v>-0.24694094133412214</v>
      </c>
      <c r="O39" s="15">
        <v>7.7802371319106278E-2</v>
      </c>
      <c r="P39" s="15">
        <v>-2.4210351954407315E-2</v>
      </c>
      <c r="Q39" s="15">
        <v>9.1096270681837899E-2</v>
      </c>
      <c r="R39" s="15">
        <v>2.7507565834920377E-2</v>
      </c>
      <c r="S39" s="15">
        <v>4.8901794333457482E-2</v>
      </c>
      <c r="T39" s="15">
        <v>1.8310402952952692E-2</v>
      </c>
      <c r="U39" s="15">
        <v>-4.7718306245150943E-2</v>
      </c>
      <c r="V39" s="15">
        <v>4.3157098373601828E-2</v>
      </c>
      <c r="W39" s="15">
        <v>-4.321661894454136E-2</v>
      </c>
      <c r="X39" s="15">
        <v>6.3312378734289743E-2</v>
      </c>
      <c r="Y39" s="15">
        <v>2.3024923018813759E-2</v>
      </c>
      <c r="Z39" s="15">
        <v>-3.3181696772337343E-2</v>
      </c>
      <c r="AA39" s="15">
        <v>8.7273677088926388E-3</v>
      </c>
      <c r="AB39" s="15">
        <v>3.2897280782345231E-2</v>
      </c>
      <c r="AC39" s="15">
        <v>-0.1236611670664215</v>
      </c>
      <c r="AD39" s="15">
        <v>0.16847061026732835</v>
      </c>
      <c r="AE39" s="15">
        <v>4.6857603562246164E-2</v>
      </c>
      <c r="AF39" s="15">
        <v>-4.106521507019964E-2</v>
      </c>
    </row>
    <row r="40" spans="3:32" x14ac:dyDescent="0.25">
      <c r="C40" s="15">
        <v>-1.6817276628851907E-2</v>
      </c>
      <c r="D40" s="15">
        <v>-1.1043921996179991E-2</v>
      </c>
      <c r="E40" s="15">
        <v>0.12887983800310399</v>
      </c>
      <c r="F40" s="15">
        <v>-9.255763580963805E-2</v>
      </c>
      <c r="G40" s="15">
        <v>0.13650155540998132</v>
      </c>
      <c r="H40" s="15">
        <v>0.12285571672454432</v>
      </c>
      <c r="I40" s="15">
        <v>-9.0457509471872921E-2</v>
      </c>
      <c r="J40" s="15">
        <v>2.9462056814017867E-2</v>
      </c>
      <c r="K40" s="15">
        <v>-0.24727102297426962</v>
      </c>
      <c r="L40" s="15">
        <v>9.5769995643450234E-2</v>
      </c>
      <c r="M40" s="15">
        <v>-7.6816603331181232E-4</v>
      </c>
      <c r="N40" s="15">
        <v>-0.24800763533577586</v>
      </c>
      <c r="O40" s="15">
        <v>8.0783598651344546E-2</v>
      </c>
      <c r="P40" s="15">
        <v>-2.4854588439057804E-2</v>
      </c>
      <c r="Q40" s="15">
        <v>9.3416425451250507E-2</v>
      </c>
      <c r="R40" s="15">
        <v>2.7147453960003974E-2</v>
      </c>
      <c r="S40" s="15">
        <v>2.6627721224837017E-2</v>
      </c>
      <c r="T40" s="15">
        <v>1.9971543690036925E-2</v>
      </c>
      <c r="U40" s="15">
        <v>-3.0388239535273032E-2</v>
      </c>
      <c r="V40" s="15">
        <v>4.4231933201688903E-2</v>
      </c>
      <c r="W40" s="15">
        <v>-3.8710622097649847E-2</v>
      </c>
      <c r="X40" s="15">
        <v>7.2314337868404133E-2</v>
      </c>
      <c r="Y40" s="15">
        <v>-3.73189862673593E-2</v>
      </c>
      <c r="Z40" s="15">
        <v>-3.4659784357140552E-2</v>
      </c>
      <c r="AA40" s="15">
        <v>9.7208516301174538E-3</v>
      </c>
      <c r="AB40" s="15">
        <v>3.4921930315626744E-2</v>
      </c>
      <c r="AC40" s="15">
        <v>-0.18984572574220215</v>
      </c>
      <c r="AD40" s="15">
        <v>0.18543219792776267</v>
      </c>
      <c r="AE40" s="15">
        <v>5.8734983337090596E-2</v>
      </c>
      <c r="AF40" s="15">
        <v>-3.991638711660167E-2</v>
      </c>
    </row>
    <row r="41" spans="3:32" x14ac:dyDescent="0.25">
      <c r="C41" s="15">
        <v>-3.4564519193754029E-2</v>
      </c>
      <c r="D41" s="15">
        <v>-9.9057241374789808E-3</v>
      </c>
      <c r="E41" s="15">
        <v>0.13498730011478177</v>
      </c>
      <c r="F41" s="15">
        <v>-7.8719609259578771E-2</v>
      </c>
      <c r="G41" s="15">
        <v>0.15317929104302053</v>
      </c>
      <c r="H41" s="15">
        <v>0.13340174474570099</v>
      </c>
      <c r="I41" s="15">
        <v>-8.1825289502295284E-2</v>
      </c>
      <c r="J41" s="15">
        <v>3.0241685720559196E-2</v>
      </c>
      <c r="K41" s="15">
        <v>-0.23953349310570327</v>
      </c>
      <c r="L41" s="15">
        <v>0.1005633862837233</v>
      </c>
      <c r="M41" s="15">
        <v>6.1937086104811578E-3</v>
      </c>
      <c r="N41" s="15">
        <v>-0.24063853686456582</v>
      </c>
      <c r="O41" s="15">
        <v>8.2906305538148262E-2</v>
      </c>
      <c r="P41" s="15">
        <v>-2.5447519139900281E-2</v>
      </c>
      <c r="Q41" s="15">
        <v>7.797204576661565E-2</v>
      </c>
      <c r="R41" s="15">
        <v>2.7631034284510088E-2</v>
      </c>
      <c r="S41" s="15">
        <v>2.7612812786305285E-2</v>
      </c>
      <c r="T41" s="15">
        <v>2.5712592577031484E-2</v>
      </c>
      <c r="U41" s="15">
        <v>-1.8057463385501737E-2</v>
      </c>
      <c r="V41" s="15">
        <v>4.672524956645726E-2</v>
      </c>
      <c r="W41" s="15">
        <v>-3.5906198288474189E-2</v>
      </c>
      <c r="X41" s="15">
        <v>8.3719635686969607E-2</v>
      </c>
      <c r="Y41" s="15">
        <v>-2.1571787862871616E-2</v>
      </c>
      <c r="Z41" s="15">
        <v>-3.542511513695544E-2</v>
      </c>
      <c r="AA41" s="15">
        <v>1.0108018215922054E-2</v>
      </c>
      <c r="AB41" s="15">
        <v>3.3355347613410025E-2</v>
      </c>
      <c r="AC41" s="15">
        <v>-0.17643235607985042</v>
      </c>
      <c r="AD41" s="15">
        <v>0.19257471935514059</v>
      </c>
      <c r="AE41" s="15">
        <v>6.3968261273207316E-2</v>
      </c>
      <c r="AF41" s="15">
        <v>-4.0123111906299871E-2</v>
      </c>
    </row>
    <row r="42" spans="3:32" x14ac:dyDescent="0.25">
      <c r="C42" s="15">
        <v>-2.0911149025581333E-2</v>
      </c>
      <c r="D42" s="15">
        <v>-8.4819668957571669E-3</v>
      </c>
      <c r="E42" s="15">
        <v>0.14242832795679161</v>
      </c>
      <c r="F42" s="15">
        <v>-6.4950184903862063E-2</v>
      </c>
      <c r="G42" s="15">
        <v>4.6614519097530116E-2</v>
      </c>
      <c r="H42" s="15">
        <v>0.10954417778247538</v>
      </c>
      <c r="I42" s="15">
        <v>-6.8000884775023973E-2</v>
      </c>
      <c r="J42" s="15">
        <v>3.2189160490708593E-2</v>
      </c>
      <c r="K42" s="15">
        <v>-0.23120251412350623</v>
      </c>
      <c r="L42" s="15">
        <v>9.4448043437678014E-2</v>
      </c>
      <c r="M42" s="15">
        <v>1.4339418989438801E-2</v>
      </c>
      <c r="N42" s="15">
        <v>-0.28398708553226015</v>
      </c>
      <c r="O42" s="15">
        <v>8.9316989285539772E-2</v>
      </c>
      <c r="P42" s="15">
        <v>-2.6756167497667245E-2</v>
      </c>
      <c r="Q42" s="15">
        <v>9.0527258700062063E-2</v>
      </c>
      <c r="R42" s="15">
        <v>2.7831811912983319E-2</v>
      </c>
      <c r="S42" s="15">
        <v>3.2047363693808964E-2</v>
      </c>
      <c r="T42" s="15">
        <v>3.2599644972243574E-2</v>
      </c>
      <c r="U42" s="15">
        <v>-1.4565154617032228E-2</v>
      </c>
      <c r="V42" s="15">
        <v>4.9150306794753802E-2</v>
      </c>
      <c r="W42" s="15">
        <v>-3.2033812709305776E-2</v>
      </c>
      <c r="X42" s="15">
        <v>5.7504065898948076E-2</v>
      </c>
      <c r="Y42" s="15">
        <v>-4.2218215691440797E-3</v>
      </c>
      <c r="Z42" s="15">
        <v>-3.7844413842620606E-2</v>
      </c>
      <c r="AA42" s="15">
        <v>9.821293558599075E-3</v>
      </c>
      <c r="AB42" s="15">
        <v>3.4524032390794525E-2</v>
      </c>
      <c r="AC42" s="15">
        <v>-0.16722539118209245</v>
      </c>
      <c r="AD42" s="15">
        <v>0.2081145460133329</v>
      </c>
      <c r="AE42" s="15">
        <v>7.5398416658639222E-2</v>
      </c>
      <c r="AF42" s="15">
        <v>-3.7854214879810444E-2</v>
      </c>
    </row>
    <row r="43" spans="3:32" x14ac:dyDescent="0.25">
      <c r="C43" s="15">
        <v>-1.1852674514603034E-3</v>
      </c>
      <c r="D43" s="15">
        <v>-9.4592198629290056E-3</v>
      </c>
      <c r="E43" s="15">
        <v>4.9941807388422244E-2</v>
      </c>
      <c r="F43" s="15">
        <v>-5.0556203352191798E-2</v>
      </c>
      <c r="G43" s="15">
        <v>5.385795107771979E-2</v>
      </c>
      <c r="H43" s="15">
        <v>9.0410401125463391E-2</v>
      </c>
      <c r="I43" s="15">
        <v>-6.9409622554002404E-2</v>
      </c>
      <c r="J43" s="15">
        <v>3.3723778774626359E-2</v>
      </c>
      <c r="K43" s="15">
        <v>-0.25616988929291112</v>
      </c>
      <c r="L43" s="15">
        <v>0.10090480678254968</v>
      </c>
      <c r="M43" s="15">
        <v>2.1273319928758833E-2</v>
      </c>
      <c r="N43" s="15">
        <v>-0.27207187733891569</v>
      </c>
      <c r="O43" s="15">
        <v>0.10262767486512148</v>
      </c>
      <c r="P43" s="15">
        <v>-2.6512885691786406E-2</v>
      </c>
      <c r="Q43" s="15">
        <v>8.5554998064884757E-2</v>
      </c>
      <c r="R43" s="15">
        <v>2.8046916053600945E-2</v>
      </c>
      <c r="S43" s="15">
        <v>1.6642516723943235E-2</v>
      </c>
      <c r="T43" s="15">
        <v>3.7420313225581536E-2</v>
      </c>
      <c r="U43" s="15">
        <v>-3.1908382820342585E-2</v>
      </c>
      <c r="V43" s="15">
        <v>4.9371123502407167E-2</v>
      </c>
      <c r="W43" s="15">
        <v>-2.8353340440412239E-2</v>
      </c>
      <c r="X43" s="15">
        <v>7.6720142329434804E-2</v>
      </c>
      <c r="Y43" s="15">
        <v>1.2777885430062863E-2</v>
      </c>
      <c r="Z43" s="15">
        <v>-3.7162261538390931E-2</v>
      </c>
      <c r="AA43" s="15">
        <v>1.0395051237816484E-2</v>
      </c>
      <c r="AB43" s="15">
        <v>3.5601877162820511E-2</v>
      </c>
      <c r="AC43" s="15">
        <v>-0.1527825408799306</v>
      </c>
      <c r="AD43" s="15">
        <v>0.20570246102017997</v>
      </c>
      <c r="AE43" s="15">
        <v>8.5564349986789523E-2</v>
      </c>
      <c r="AF43" s="15">
        <v>-3.530332150169304E-2</v>
      </c>
    </row>
    <row r="44" spans="3:32" x14ac:dyDescent="0.25">
      <c r="C44" s="15">
        <v>3.9849779206959646E-3</v>
      </c>
      <c r="D44" s="15">
        <v>-9.2732812320896682E-3</v>
      </c>
      <c r="E44" s="15">
        <v>6.3464884920875542E-2</v>
      </c>
      <c r="F44" s="15">
        <v>-3.1400783806550425E-2</v>
      </c>
      <c r="G44" s="15">
        <v>6.3392525196284966E-2</v>
      </c>
      <c r="H44" s="15">
        <v>8.48948743109601E-2</v>
      </c>
      <c r="I44" s="15">
        <v>-6.5148091550597309E-2</v>
      </c>
      <c r="J44" s="15">
        <v>3.5951484791995204E-2</v>
      </c>
      <c r="K44" s="15">
        <v>-0.24691585514559955</v>
      </c>
      <c r="L44" s="15">
        <v>0.1090287777432733</v>
      </c>
      <c r="M44" s="15">
        <v>2.8336581038898634E-2</v>
      </c>
      <c r="N44" s="15">
        <v>-0.26108901378662885</v>
      </c>
      <c r="O44" s="15">
        <v>0.10085283110927601</v>
      </c>
      <c r="P44" s="15">
        <v>-2.8695359036475895E-2</v>
      </c>
      <c r="Q44" s="15">
        <v>0.10023973036717637</v>
      </c>
      <c r="R44" s="15">
        <v>2.8451083519637019E-2</v>
      </c>
      <c r="S44" s="15">
        <v>2.4735584792171694E-2</v>
      </c>
      <c r="T44" s="15">
        <v>4.3206493332757223E-2</v>
      </c>
      <c r="U44" s="15">
        <v>-1.4067118367079523E-2</v>
      </c>
      <c r="V44" s="15">
        <v>5.2550095698271404E-2</v>
      </c>
      <c r="W44" s="15">
        <v>-2.3887849223819813E-2</v>
      </c>
      <c r="X44" s="15">
        <v>6.1131334073087462E-2</v>
      </c>
      <c r="Y44" s="15">
        <v>2.9584008792356897E-2</v>
      </c>
      <c r="Z44" s="15">
        <v>-4.1300022483123658E-2</v>
      </c>
      <c r="AA44" s="15">
        <v>1.0802438879684975E-2</v>
      </c>
      <c r="AB44" s="15">
        <v>3.6847244576547727E-2</v>
      </c>
      <c r="AC44" s="15">
        <v>-0.15007444848752671</v>
      </c>
      <c r="AD44" s="15">
        <v>0.21871571033352089</v>
      </c>
      <c r="AE44" s="15">
        <v>9.9389773734787523E-2</v>
      </c>
      <c r="AF44" s="15">
        <v>-3.8014383835502694E-2</v>
      </c>
    </row>
    <row r="45" spans="3:32" x14ac:dyDescent="0.25">
      <c r="C45" s="15">
        <v>5.9906670297744657E-3</v>
      </c>
      <c r="D45" s="15">
        <v>-9.5676096748819311E-3</v>
      </c>
      <c r="E45" s="15">
        <v>7.8167591475620246E-2</v>
      </c>
      <c r="F45" s="15">
        <v>-1.4111188873417113E-2</v>
      </c>
      <c r="G45" s="15">
        <v>6.9786051926481685E-2</v>
      </c>
      <c r="H45" s="15">
        <v>6.7760260910476933E-2</v>
      </c>
      <c r="I45" s="15">
        <v>-5.4580534687891813E-2</v>
      </c>
      <c r="J45" s="15">
        <v>3.3360138550848885E-2</v>
      </c>
      <c r="K45" s="15">
        <v>-0.23692993140386626</v>
      </c>
      <c r="L45" s="15">
        <v>0.10804694857429392</v>
      </c>
      <c r="M45" s="15">
        <v>3.6524416908437718E-2</v>
      </c>
      <c r="N45" s="15">
        <v>-0.31760909668711879</v>
      </c>
      <c r="O45" s="15">
        <v>0.1141530110119871</v>
      </c>
      <c r="P45" s="15">
        <v>-2.8367922733727697E-2</v>
      </c>
      <c r="Q45" s="15">
        <v>9.7207877054959368E-2</v>
      </c>
      <c r="R45" s="15">
        <v>2.8673573560687757E-2</v>
      </c>
      <c r="S45" s="15">
        <v>3.2714746696767605E-2</v>
      </c>
      <c r="T45" s="15">
        <v>4.967614792638958E-2</v>
      </c>
      <c r="U45" s="15">
        <v>-3.0284813886252593E-2</v>
      </c>
      <c r="V45" s="15">
        <v>5.5210521471001466E-2</v>
      </c>
      <c r="W45" s="15">
        <v>-4.8099257420485028E-2</v>
      </c>
      <c r="X45" s="15">
        <v>5.0077975690314913E-2</v>
      </c>
      <c r="Y45" s="15">
        <v>4.4993690627185057E-2</v>
      </c>
      <c r="Z45" s="15">
        <v>-4.0405666160094882E-2</v>
      </c>
      <c r="AA45" s="15">
        <v>1.1117734528078025E-2</v>
      </c>
      <c r="AB45" s="15">
        <v>3.4048237089229917E-2</v>
      </c>
      <c r="AC45" s="15">
        <v>-0.13572959736690993</v>
      </c>
      <c r="AD45" s="15">
        <v>0.16939483856862148</v>
      </c>
      <c r="AE45" s="15">
        <v>5.6626611463991505E-2</v>
      </c>
      <c r="AF45" s="15">
        <v>-3.8460441325212223E-2</v>
      </c>
    </row>
    <row r="46" spans="3:32" x14ac:dyDescent="0.25">
      <c r="C46" s="15">
        <v>1.405096384895399E-2</v>
      </c>
      <c r="D46" s="15">
        <v>-8.9836694979989126E-3</v>
      </c>
      <c r="E46" s="15">
        <v>9.2746277399333721E-2</v>
      </c>
      <c r="F46" s="15">
        <v>3.9893130633050777E-3</v>
      </c>
      <c r="G46" s="15">
        <v>4.8901621795398031E-2</v>
      </c>
      <c r="H46" s="15">
        <v>7.8110718549330604E-2</v>
      </c>
      <c r="I46" s="15">
        <v>-8.532397005696768E-2</v>
      </c>
      <c r="J46" s="15">
        <v>3.4380520825821034E-2</v>
      </c>
      <c r="K46" s="15">
        <v>-0.22814978758545518</v>
      </c>
      <c r="L46" s="15">
        <v>0.10965530865418632</v>
      </c>
      <c r="M46" s="15">
        <v>3.2052472079834221E-2</v>
      </c>
      <c r="N46" s="15">
        <v>-0.31030673109985596</v>
      </c>
      <c r="O46" s="15">
        <v>8.607125206885291E-2</v>
      </c>
      <c r="P46" s="15">
        <v>-3.0766786107831085E-2</v>
      </c>
      <c r="Q46" s="15">
        <v>0.1038540106406598</v>
      </c>
      <c r="R46" s="15">
        <v>2.8934175505051212E-2</v>
      </c>
      <c r="S46" s="15">
        <v>4.1260043444988626E-2</v>
      </c>
      <c r="T46" s="15">
        <v>5.6183983220614769E-2</v>
      </c>
      <c r="U46" s="15">
        <v>-2.1427775473458421E-2</v>
      </c>
      <c r="V46" s="15">
        <v>4.3080480892227581E-2</v>
      </c>
      <c r="W46" s="15">
        <v>-4.9962973533205425E-2</v>
      </c>
      <c r="X46" s="15">
        <v>5.5071313164501867E-2</v>
      </c>
      <c r="Y46" s="15">
        <v>5.121463314134278E-2</v>
      </c>
      <c r="Z46" s="15">
        <v>-4.4456782725386126E-2</v>
      </c>
      <c r="AA46" s="15">
        <v>1.1431091840925389E-2</v>
      </c>
      <c r="AB46" s="15">
        <v>3.4032668865252809E-2</v>
      </c>
      <c r="AC46" s="15">
        <v>-0.17308283540893799</v>
      </c>
      <c r="AD46" s="15">
        <v>0.18431813722288237</v>
      </c>
      <c r="AE46" s="15">
        <v>6.3426723340793051E-2</v>
      </c>
      <c r="AF46" s="15">
        <v>-3.5798141964240159E-2</v>
      </c>
    </row>
    <row r="47" spans="3:32" x14ac:dyDescent="0.25">
      <c r="C47" s="15">
        <v>2.2340101962406989E-2</v>
      </c>
      <c r="D47" s="15">
        <v>-7.6856245651848159E-3</v>
      </c>
      <c r="E47" s="15">
        <v>0.10146385200803754</v>
      </c>
      <c r="F47" s="15">
        <v>2.144804139526757E-2</v>
      </c>
      <c r="G47" s="15">
        <v>6.4113905611195454E-2</v>
      </c>
      <c r="H47" s="15">
        <v>9.552319958869504E-2</v>
      </c>
      <c r="I47" s="15">
        <v>-0.1325440847269268</v>
      </c>
      <c r="J47" s="15">
        <v>3.4832706190994836E-2</v>
      </c>
      <c r="K47" s="15">
        <v>-0.21784800284285849</v>
      </c>
      <c r="L47" s="15">
        <v>0.12166687552890487</v>
      </c>
      <c r="M47" s="15">
        <v>3.4721237123879145E-2</v>
      </c>
      <c r="N47" s="15">
        <v>-0.3038796882692214</v>
      </c>
      <c r="O47" s="15">
        <v>0.10047706537331536</v>
      </c>
      <c r="P47" s="15">
        <v>-3.0705679044838313E-2</v>
      </c>
      <c r="Q47" s="15">
        <v>9.1730953251464298E-2</v>
      </c>
      <c r="R47" s="15">
        <v>2.8883686263341115E-2</v>
      </c>
      <c r="S47" s="15">
        <v>2.4066546548402623E-2</v>
      </c>
      <c r="T47" s="15">
        <v>5.8313055846251571E-2</v>
      </c>
      <c r="U47" s="15">
        <v>-7.295950628292136E-3</v>
      </c>
      <c r="V47" s="15">
        <v>4.2470171797147634E-2</v>
      </c>
      <c r="W47" s="15">
        <v>-4.7178062219463961E-2</v>
      </c>
      <c r="X47" s="15">
        <v>6.9512165776259183E-2</v>
      </c>
      <c r="Y47" s="15">
        <v>5.3949643460209806E-2</v>
      </c>
      <c r="Z47" s="15">
        <v>-4.0980661817172449E-2</v>
      </c>
      <c r="AA47" s="15">
        <v>1.1616771559874912E-2</v>
      </c>
      <c r="AB47" s="15">
        <v>3.4921345886924901E-2</v>
      </c>
      <c r="AC47" s="15">
        <v>-0.196079497014507</v>
      </c>
      <c r="AD47" s="15">
        <v>0.12867002325989962</v>
      </c>
      <c r="AE47" s="15">
        <v>6.6846261980946037E-2</v>
      </c>
      <c r="AF47" s="15">
        <v>-3.729958352050361E-2</v>
      </c>
    </row>
    <row r="48" spans="3:32" x14ac:dyDescent="0.25">
      <c r="C48" s="15">
        <v>8.884757481928407E-4</v>
      </c>
      <c r="D48" s="15">
        <v>-7.139837509481689E-3</v>
      </c>
      <c r="E48" s="15">
        <v>0.11136105974209032</v>
      </c>
      <c r="F48" s="15">
        <v>4.1026152476016042E-2</v>
      </c>
      <c r="G48" s="15">
        <v>3.4820785489531936E-2</v>
      </c>
      <c r="H48" s="15">
        <v>5.124215219884376E-2</v>
      </c>
      <c r="I48" s="15">
        <v>-0.11815061823632411</v>
      </c>
      <c r="J48" s="15">
        <v>3.5506340496687709E-2</v>
      </c>
      <c r="K48" s="15">
        <v>-0.21777496558161147</v>
      </c>
      <c r="L48" s="15">
        <v>0.10622320108574942</v>
      </c>
      <c r="M48" s="15">
        <v>3.9172894149753501E-2</v>
      </c>
      <c r="N48" s="15">
        <v>-0.31109870564500319</v>
      </c>
      <c r="O48" s="15">
        <v>0.11752557010437148</v>
      </c>
      <c r="P48" s="15">
        <v>-3.0642672527990605E-2</v>
      </c>
      <c r="Q48" s="15">
        <v>8.6693172106088401E-2</v>
      </c>
      <c r="R48" s="15">
        <v>2.9264688763008022E-2</v>
      </c>
      <c r="S48" s="15">
        <v>1.8927390441169256E-2</v>
      </c>
      <c r="T48" s="15">
        <v>6.4381925195993339E-2</v>
      </c>
      <c r="U48" s="15">
        <v>-2.4666366005738904E-3</v>
      </c>
      <c r="V48" s="15">
        <v>4.2575739088983128E-2</v>
      </c>
      <c r="W48" s="15">
        <v>-4.8750872261586892E-2</v>
      </c>
      <c r="X48" s="15">
        <v>8.6889378776294213E-2</v>
      </c>
      <c r="Y48" s="15">
        <v>7.1031222544457151E-2</v>
      </c>
      <c r="Z48" s="15">
        <v>-3.7391705326154066E-2</v>
      </c>
      <c r="AA48" s="15">
        <v>1.1927972465638063E-2</v>
      </c>
      <c r="AB48" s="15">
        <v>3.6254072073582035E-2</v>
      </c>
      <c r="AC48" s="15">
        <v>-0.20665373090614159</v>
      </c>
      <c r="AD48" s="15">
        <v>0.14802679583914524</v>
      </c>
      <c r="AE48" s="15">
        <v>5.104251346728092E-2</v>
      </c>
      <c r="AF48" s="15">
        <v>-3.7233107988898451E-2</v>
      </c>
    </row>
    <row r="49" spans="3:32" x14ac:dyDescent="0.25">
      <c r="C49" s="15">
        <v>1.5131277305266977E-2</v>
      </c>
      <c r="D49" s="15">
        <v>-5.8898264740482667E-3</v>
      </c>
      <c r="E49" s="15">
        <v>0.11986143646195307</v>
      </c>
      <c r="F49" s="15">
        <v>6.2212548364640963E-2</v>
      </c>
      <c r="G49" s="15">
        <v>2.1179484134544735E-2</v>
      </c>
      <c r="H49" s="15">
        <v>6.1962793454241716E-2</v>
      </c>
      <c r="I49" s="15">
        <v>-0.15427137120911127</v>
      </c>
      <c r="J49" s="15">
        <v>3.6448862880637277E-2</v>
      </c>
      <c r="K49" s="15">
        <v>-0.22693268038298592</v>
      </c>
      <c r="L49" s="15">
        <v>0.11103047582179262</v>
      </c>
      <c r="M49" s="15">
        <v>4.4026735383844745E-2</v>
      </c>
      <c r="N49" s="15">
        <v>-0.30959115153739347</v>
      </c>
      <c r="O49" s="15">
        <v>6.9070701795728606E-2</v>
      </c>
      <c r="P49" s="15">
        <v>-3.0669020811013029E-2</v>
      </c>
      <c r="Q49" s="15">
        <v>9.9072329873635789E-2</v>
      </c>
      <c r="R49" s="15">
        <v>2.9566541096684381E-2</v>
      </c>
      <c r="S49" s="15">
        <v>1.3099509089320338E-2</v>
      </c>
      <c r="T49" s="15">
        <v>6.9274220255401919E-2</v>
      </c>
      <c r="U49" s="15">
        <v>1.2404209208748518E-2</v>
      </c>
      <c r="V49" s="15">
        <v>4.2882564083660202E-2</v>
      </c>
      <c r="W49" s="15">
        <v>-5.6061094892458557E-2</v>
      </c>
      <c r="X49" s="15">
        <v>9.0639463817025701E-2</v>
      </c>
      <c r="Y49" s="15">
        <v>8.3638515170979311E-2</v>
      </c>
      <c r="Z49" s="15">
        <v>-3.9812045132734009E-2</v>
      </c>
      <c r="AA49" s="15">
        <v>1.1901823118315965E-2</v>
      </c>
      <c r="AB49" s="15">
        <v>3.7585727510851707E-2</v>
      </c>
      <c r="AC49" s="15">
        <v>-0.24785294682899495</v>
      </c>
      <c r="AD49" s="15">
        <v>0.16652240646994421</v>
      </c>
      <c r="AE49" s="15">
        <v>2.3912994430768462E-2</v>
      </c>
      <c r="AF49" s="15">
        <v>-3.6111619115913957E-2</v>
      </c>
    </row>
    <row r="50" spans="3:32" x14ac:dyDescent="0.25">
      <c r="C50" s="15">
        <v>2.2657063304785341E-2</v>
      </c>
      <c r="D50" s="15">
        <v>-6.3725795313247721E-3</v>
      </c>
      <c r="E50" s="15">
        <v>0.12645618118276863</v>
      </c>
      <c r="F50" s="15">
        <v>7.8618239327014283E-2</v>
      </c>
      <c r="G50" s="15">
        <v>3.6966464270982491E-2</v>
      </c>
      <c r="H50" s="15">
        <v>8.0081219725141706E-2</v>
      </c>
      <c r="I50" s="15">
        <v>-0.13729435916278876</v>
      </c>
      <c r="J50" s="15">
        <v>3.6706450907388284E-2</v>
      </c>
      <c r="K50" s="15">
        <v>-0.28987196783820035</v>
      </c>
      <c r="L50" s="15">
        <v>0.11229585186635005</v>
      </c>
      <c r="M50" s="15">
        <v>4.9193147239171967E-2</v>
      </c>
      <c r="N50" s="15">
        <v>-0.30204230417923839</v>
      </c>
      <c r="O50" s="15">
        <v>7.7532868256948273E-2</v>
      </c>
      <c r="P50" s="15">
        <v>-3.0657677339135849E-2</v>
      </c>
      <c r="Q50" s="15">
        <v>0.11745421922873556</v>
      </c>
      <c r="R50" s="15">
        <v>2.9863841829258834E-2</v>
      </c>
      <c r="S50" s="15">
        <v>-7.8283136028333145E-3</v>
      </c>
      <c r="T50" s="15">
        <v>7.411604624927734E-2</v>
      </c>
      <c r="U50" s="15">
        <v>2.4074494802597934E-2</v>
      </c>
      <c r="V50" s="15">
        <v>4.2558656086270165E-2</v>
      </c>
      <c r="W50" s="15">
        <v>-5.397882303841553E-2</v>
      </c>
      <c r="X50" s="15">
        <v>0.10680674710383398</v>
      </c>
      <c r="Y50" s="15">
        <v>9.6933117066932972E-2</v>
      </c>
      <c r="Z50" s="15">
        <v>-4.2190230610021091E-2</v>
      </c>
      <c r="AA50" s="15">
        <v>1.204869522338568E-2</v>
      </c>
      <c r="AB50" s="15">
        <v>3.009217640623383E-2</v>
      </c>
      <c r="AC50" s="15">
        <v>-0.2473119348867367</v>
      </c>
      <c r="AD50" s="15">
        <v>0.18395232043588838</v>
      </c>
      <c r="AE50" s="15">
        <v>2.6001804065660002E-2</v>
      </c>
      <c r="AF50" s="15">
        <v>-3.5312590605791186E-2</v>
      </c>
    </row>
    <row r="51" spans="3:32" x14ac:dyDescent="0.25">
      <c r="C51" s="15">
        <v>3.0450321681018133E-3</v>
      </c>
      <c r="D51" s="15">
        <v>-1.0304030052670991E-2</v>
      </c>
      <c r="E51" s="15">
        <v>0.10551091474382276</v>
      </c>
      <c r="F51" s="15">
        <v>8.9805512010632915E-2</v>
      </c>
      <c r="G51" s="15">
        <v>4.9369702790335146E-2</v>
      </c>
      <c r="H51" s="15">
        <v>9.950971848828738E-2</v>
      </c>
      <c r="I51" s="15">
        <v>-0.22615154196507392</v>
      </c>
      <c r="J51" s="15">
        <v>3.7562845637265599E-2</v>
      </c>
      <c r="K51" s="15">
        <v>-0.30182880783670024</v>
      </c>
      <c r="L51" s="15">
        <v>4.8434475774401686E-2</v>
      </c>
      <c r="M51" s="15">
        <v>5.4417607469997367E-2</v>
      </c>
      <c r="N51" s="15">
        <v>-0.29496813333660299</v>
      </c>
      <c r="O51" s="15">
        <v>3.2282481477680869E-2</v>
      </c>
      <c r="P51" s="15">
        <v>-3.0686880402457151E-2</v>
      </c>
      <c r="Q51" s="15">
        <v>0.13898424835094736</v>
      </c>
      <c r="R51" s="15">
        <v>3.0143447550678149E-2</v>
      </c>
      <c r="S51" s="15">
        <v>9.0156591774522843E-3</v>
      </c>
      <c r="T51" s="15">
        <v>6.6148450993768093E-2</v>
      </c>
      <c r="U51" s="15">
        <v>4.1432736931852232E-2</v>
      </c>
      <c r="V51" s="15">
        <v>4.32626413500551E-2</v>
      </c>
      <c r="W51" s="15">
        <v>-5.3526751848762731E-2</v>
      </c>
      <c r="X51" s="15">
        <v>0.12081267222724612</v>
      </c>
      <c r="Y51" s="15">
        <v>0.11063849761240263</v>
      </c>
      <c r="Z51" s="15">
        <v>-3.8790776632093613E-2</v>
      </c>
      <c r="AA51" s="15">
        <v>1.2023271732123203E-2</v>
      </c>
      <c r="AB51" s="15">
        <v>3.2810327855130952E-2</v>
      </c>
      <c r="AC51" s="15">
        <v>-0.25279657620636464</v>
      </c>
      <c r="AD51" s="15">
        <v>0.17051242739576811</v>
      </c>
      <c r="AE51" s="15">
        <v>2.3982313765350784E-2</v>
      </c>
      <c r="AF51" s="15">
        <v>-3.3300647861288862E-2</v>
      </c>
    </row>
    <row r="52" spans="3:32" x14ac:dyDescent="0.25">
      <c r="C52" s="15">
        <v>2.1238683607479603E-2</v>
      </c>
      <c r="D52" s="15">
        <v>-9.146438598650948E-3</v>
      </c>
      <c r="E52" s="15">
        <v>0.11489392905786988</v>
      </c>
      <c r="F52" s="15">
        <v>6.2147310790791721E-2</v>
      </c>
      <c r="G52" s="15">
        <v>5.8694330495551728E-2</v>
      </c>
      <c r="H52" s="15">
        <v>0.1198912253687634</v>
      </c>
      <c r="I52" s="15">
        <v>-0.2128501041239006</v>
      </c>
      <c r="J52" s="15">
        <v>3.7668885920537104E-2</v>
      </c>
      <c r="K52" s="15">
        <v>-0.29825441882141196</v>
      </c>
      <c r="L52" s="15">
        <v>5.4907826498295453E-2</v>
      </c>
      <c r="M52" s="15">
        <v>4.7895648459139128E-2</v>
      </c>
      <c r="N52" s="15">
        <v>-0.28927808019597201</v>
      </c>
      <c r="O52" s="15">
        <v>2.8852328623206414E-2</v>
      </c>
      <c r="P52" s="15">
        <v>-3.0681975377896728E-2</v>
      </c>
      <c r="Q52" s="15">
        <v>0.14617000064026064</v>
      </c>
      <c r="R52" s="15">
        <v>3.0343635591587616E-2</v>
      </c>
      <c r="S52" s="15">
        <v>1.955507928233402E-2</v>
      </c>
      <c r="T52" s="15">
        <v>6.7117989631311131E-2</v>
      </c>
      <c r="U52" s="15">
        <v>5.5906078945165638E-2</v>
      </c>
      <c r="V52" s="15">
        <v>4.3865092062076991E-2</v>
      </c>
      <c r="W52" s="15">
        <v>-5.5471652259764338E-2</v>
      </c>
      <c r="X52" s="15">
        <v>0.11991627934137994</v>
      </c>
      <c r="Y52" s="15">
        <v>8.381219776230342E-2</v>
      </c>
      <c r="Z52" s="15">
        <v>-3.8305103926896185E-2</v>
      </c>
      <c r="AA52" s="15">
        <v>1.2010389542470336E-2</v>
      </c>
      <c r="AB52" s="15">
        <v>3.4890176008901118E-2</v>
      </c>
      <c r="AC52" s="15">
        <v>-0.24775169753773268</v>
      </c>
      <c r="AD52" s="15">
        <v>0.1857818934785429</v>
      </c>
      <c r="AE52" s="15">
        <v>2.4836780194619518E-2</v>
      </c>
      <c r="AF52" s="15">
        <v>-3.2107640478352524E-2</v>
      </c>
    </row>
    <row r="53" spans="3:32" x14ac:dyDescent="0.25">
      <c r="C53" s="15">
        <v>3.9516584678488065E-2</v>
      </c>
      <c r="D53" s="15">
        <v>-6.6826179990091689E-3</v>
      </c>
      <c r="E53" s="15">
        <v>0.11407854649631136</v>
      </c>
      <c r="F53" s="15">
        <v>8.3154583952781636E-2</v>
      </c>
      <c r="G53" s="15">
        <v>7.6801625180467847E-2</v>
      </c>
      <c r="H53" s="15">
        <v>0.13748881975734184</v>
      </c>
      <c r="I53" s="15">
        <v>-0.19631919605949899</v>
      </c>
      <c r="J53" s="15">
        <v>3.773358397700706E-2</v>
      </c>
      <c r="K53" s="15">
        <v>-0.29746780190031696</v>
      </c>
      <c r="L53" s="15">
        <v>5.2003190695860846E-2</v>
      </c>
      <c r="M53" s="15">
        <v>5.2446052375150515E-2</v>
      </c>
      <c r="N53" s="15">
        <v>-0.28606872432476482</v>
      </c>
      <c r="O53" s="15">
        <v>4.53553356446732E-2</v>
      </c>
      <c r="P53" s="15">
        <v>-3.067961279154199E-2</v>
      </c>
      <c r="Q53" s="15">
        <v>0.1683767060480228</v>
      </c>
      <c r="R53" s="15">
        <v>3.0579882750883219E-2</v>
      </c>
      <c r="S53" s="15">
        <v>1.8809433616443605E-2</v>
      </c>
      <c r="T53" s="15">
        <v>7.1420804614300351E-2</v>
      </c>
      <c r="U53" s="15">
        <v>7.1296962712803724E-2</v>
      </c>
      <c r="V53" s="15">
        <v>4.4308070047497906E-2</v>
      </c>
      <c r="W53" s="15">
        <v>-5.4244852023249329E-2</v>
      </c>
      <c r="X53" s="15">
        <v>0.13209959583811326</v>
      </c>
      <c r="Y53" s="15">
        <v>6.1603728583742079E-2</v>
      </c>
      <c r="Z53" s="15">
        <v>-3.5653304039129988E-2</v>
      </c>
      <c r="AA53" s="15">
        <v>1.2250079686599941E-2</v>
      </c>
      <c r="AB53" s="15">
        <v>3.676626732043739E-2</v>
      </c>
      <c r="AC53" s="15">
        <v>-0.27404672930326013</v>
      </c>
      <c r="AD53" s="15">
        <v>0.18951129461572513</v>
      </c>
      <c r="AE53" s="15">
        <v>2.5394698659405721E-2</v>
      </c>
      <c r="AF53" s="15">
        <v>-3.0222882720572736E-2</v>
      </c>
    </row>
    <row r="54" spans="3:32" x14ac:dyDescent="0.25">
      <c r="C54" s="15">
        <v>5.270299378325205E-2</v>
      </c>
      <c r="D54" s="15">
        <v>-3.8718396412580763E-3</v>
      </c>
      <c r="E54" s="15">
        <v>0.11735822057825086</v>
      </c>
      <c r="F54" s="15">
        <v>7.670689089168814E-2</v>
      </c>
      <c r="G54" s="15">
        <v>9.190474398465498E-2</v>
      </c>
      <c r="H54" s="15">
        <v>0.15844032793059792</v>
      </c>
      <c r="I54" s="15">
        <v>-0.21778882130265775</v>
      </c>
      <c r="J54" s="15">
        <v>3.798260693635163E-2</v>
      </c>
      <c r="K54" s="15">
        <v>-0.29261591815998644</v>
      </c>
      <c r="L54" s="15">
        <v>5.9577703168445378E-2</v>
      </c>
      <c r="M54" s="15">
        <v>5.8146466218361725E-2</v>
      </c>
      <c r="N54" s="15">
        <v>-0.28010143959784894</v>
      </c>
      <c r="O54" s="15">
        <v>6.0393166941222653E-2</v>
      </c>
      <c r="P54" s="15">
        <v>-3.0688820932909516E-2</v>
      </c>
      <c r="Q54" s="15">
        <v>0.1875090461644604</v>
      </c>
      <c r="R54" s="15">
        <v>3.0683491257007728E-2</v>
      </c>
      <c r="S54" s="15">
        <v>2.2108491204768821E-2</v>
      </c>
      <c r="T54" s="15">
        <v>7.7383805126072194E-2</v>
      </c>
      <c r="U54" s="15">
        <v>7.9568618923633427E-2</v>
      </c>
      <c r="V54" s="15">
        <v>4.5252400888842914E-2</v>
      </c>
      <c r="W54" s="15">
        <v>-5.48260050056808E-2</v>
      </c>
      <c r="X54" s="15">
        <v>0.1136931932132933</v>
      </c>
      <c r="Y54" s="15">
        <v>8.0061112473449825E-2</v>
      </c>
      <c r="Z54" s="15">
        <v>-4.605533971530347E-2</v>
      </c>
      <c r="AA54" s="15">
        <v>1.2280572952275632E-2</v>
      </c>
      <c r="AB54" s="15">
        <v>3.2909786165150168E-2</v>
      </c>
      <c r="AC54" s="15">
        <v>-0.33546088243246863</v>
      </c>
      <c r="AD54" s="15">
        <v>0.20961376335772486</v>
      </c>
      <c r="AE54" s="15">
        <v>2.5894611322927325E-2</v>
      </c>
      <c r="AF54" s="15">
        <v>-2.8623272074524655E-2</v>
      </c>
    </row>
    <row r="55" spans="3:32" x14ac:dyDescent="0.25">
      <c r="C55" s="15">
        <v>-7.7299924249082941E-3</v>
      </c>
      <c r="D55" s="15">
        <v>-1.0530540579658828E-2</v>
      </c>
      <c r="E55" s="15">
        <v>0.12433678036322705</v>
      </c>
      <c r="F55" s="15">
        <v>9.0038505306402783E-2</v>
      </c>
      <c r="G55" s="15">
        <v>0.10982483945587773</v>
      </c>
      <c r="H55" s="15">
        <v>0.17672377054449862</v>
      </c>
      <c r="I55" s="15">
        <v>-0.19526928904001006</v>
      </c>
      <c r="J55" s="15">
        <v>3.8015844110974674E-2</v>
      </c>
      <c r="K55" s="15">
        <v>-0.28724663053831834</v>
      </c>
      <c r="L55" s="15">
        <v>6.0291429740075148E-2</v>
      </c>
      <c r="M55" s="15">
        <v>3.742378280850174E-2</v>
      </c>
      <c r="N55" s="15">
        <v>-0.27564369463501137</v>
      </c>
      <c r="O55" s="15">
        <v>9.0890874889258955E-3</v>
      </c>
      <c r="P55" s="15">
        <v>-3.0689599126551045E-2</v>
      </c>
      <c r="Q55" s="15">
        <v>0.20327117869769773</v>
      </c>
      <c r="R55" s="15">
        <v>3.0940267531009112E-2</v>
      </c>
      <c r="S55" s="15">
        <v>3.623474597560622E-2</v>
      </c>
      <c r="T55" s="15">
        <v>7.6187926747902174E-2</v>
      </c>
      <c r="U55" s="15">
        <v>9.3057875015858549E-2</v>
      </c>
      <c r="V55" s="15">
        <v>4.641495995703436E-2</v>
      </c>
      <c r="W55" s="15">
        <v>-5.6239468280080473E-2</v>
      </c>
      <c r="X55" s="15">
        <v>0.12451217816352711</v>
      </c>
      <c r="Y55" s="15">
        <v>9.8237503387631264E-2</v>
      </c>
      <c r="Z55" s="15">
        <v>-4.2707596959838168E-2</v>
      </c>
      <c r="AA55" s="15">
        <v>1.1973084555532408E-2</v>
      </c>
      <c r="AB55" s="15">
        <v>3.2408969451352097E-2</v>
      </c>
      <c r="AC55" s="15">
        <v>-0.32915921934953241</v>
      </c>
      <c r="AD55" s="15">
        <v>0.18063610051646739</v>
      </c>
      <c r="AE55" s="15">
        <v>2.3537443828588207E-2</v>
      </c>
      <c r="AF55" s="15">
        <v>-3.1720848634868105E-2</v>
      </c>
    </row>
    <row r="56" spans="3:32" x14ac:dyDescent="0.25">
      <c r="C56" s="15">
        <v>-7.5510701113418177E-4</v>
      </c>
      <c r="D56" s="15">
        <v>-1.251757707354122E-2</v>
      </c>
      <c r="E56" s="15">
        <v>9.4671738504004899E-2</v>
      </c>
      <c r="F56" s="15">
        <v>8.1593870309980332E-2</v>
      </c>
      <c r="G56" s="15">
        <v>4.1720900797983074E-2</v>
      </c>
      <c r="H56" s="15">
        <v>0.17678551996022862</v>
      </c>
      <c r="I56" s="15">
        <v>-0.17537334470584565</v>
      </c>
      <c r="J56" s="15">
        <v>3.6894441850091643E-2</v>
      </c>
      <c r="K56" s="15">
        <v>-0.28598869669452653</v>
      </c>
      <c r="L56" s="15">
        <v>6.6722700775928026E-2</v>
      </c>
      <c r="M56" s="15">
        <v>4.2962093149130326E-2</v>
      </c>
      <c r="N56" s="15">
        <v>-0.27040599870725135</v>
      </c>
      <c r="O56" s="15">
        <v>3.0112428261796165E-2</v>
      </c>
      <c r="P56" s="15">
        <v>-3.0687211725953994E-2</v>
      </c>
      <c r="Q56" s="15">
        <v>0.22647990265336415</v>
      </c>
      <c r="R56" s="15">
        <v>3.0994174400601138E-2</v>
      </c>
      <c r="S56" s="15">
        <v>2.9952902943358284E-2</v>
      </c>
      <c r="T56" s="15">
        <v>8.3645246238136378E-2</v>
      </c>
      <c r="U56" s="15">
        <v>9.9827357801008376E-2</v>
      </c>
      <c r="V56" s="15">
        <v>4.6312520373803741E-2</v>
      </c>
      <c r="W56" s="15">
        <v>-6.0012497281109953E-2</v>
      </c>
      <c r="X56" s="15">
        <v>0.13295339736926115</v>
      </c>
      <c r="Y56" s="15">
        <v>0.11098652012693755</v>
      </c>
      <c r="Z56" s="15">
        <v>-4.0389638867090384E-2</v>
      </c>
      <c r="AA56" s="15">
        <v>1.0996351587930674E-2</v>
      </c>
      <c r="AB56" s="15">
        <v>3.2203116463872715E-2</v>
      </c>
      <c r="AC56" s="15">
        <v>-0.31663907143325765</v>
      </c>
      <c r="AD56" s="15">
        <v>0.19493511151753262</v>
      </c>
      <c r="AE56" s="15">
        <v>2.547761879224518E-2</v>
      </c>
      <c r="AF56" s="15">
        <v>-3.1240615533852614E-2</v>
      </c>
    </row>
    <row r="57" spans="3:32" x14ac:dyDescent="0.25">
      <c r="C57" s="15">
        <v>1.0612092179844601E-2</v>
      </c>
      <c r="D57" s="15">
        <v>-1.7470990473464287E-2</v>
      </c>
      <c r="E57" s="15">
        <v>9.7050623031230965E-2</v>
      </c>
      <c r="F57" s="15">
        <v>0.10090723064725893</v>
      </c>
      <c r="G57" s="15">
        <v>-1.8391744677384914E-2</v>
      </c>
      <c r="H57" s="15">
        <v>0.20005411863450107</v>
      </c>
      <c r="I57" s="15">
        <v>-0.19954678189587982</v>
      </c>
      <c r="J57" s="15">
        <v>3.7062227680304302E-2</v>
      </c>
      <c r="K57" s="15">
        <v>-0.28789562430134019</v>
      </c>
      <c r="L57" s="15">
        <v>6.5860455367077186E-2</v>
      </c>
      <c r="M57" s="15">
        <v>3.3125741566355366E-2</v>
      </c>
      <c r="N57" s="15">
        <v>-0.26738431335373392</v>
      </c>
      <c r="O57" s="15">
        <v>3.4579392121776742E-2</v>
      </c>
      <c r="P57" s="15">
        <v>-3.06817525049949E-2</v>
      </c>
      <c r="Q57" s="15">
        <v>0.24946455637479992</v>
      </c>
      <c r="R57" s="15">
        <v>3.1105593189540141E-2</v>
      </c>
      <c r="S57" s="15">
        <v>3.809937110405015E-2</v>
      </c>
      <c r="T57" s="15">
        <v>7.3274282413901048E-2</v>
      </c>
      <c r="U57" s="15">
        <v>0.11411639152989822</v>
      </c>
      <c r="V57" s="15">
        <v>4.559287693495253E-2</v>
      </c>
      <c r="W57" s="15">
        <v>-5.9239537134288055E-2</v>
      </c>
      <c r="X57" s="15">
        <v>0.135396907867951</v>
      </c>
      <c r="Y57" s="15">
        <v>0.12866149725872233</v>
      </c>
      <c r="Z57" s="15">
        <v>-4.2253160829061123E-2</v>
      </c>
      <c r="AA57" s="15">
        <v>1.2804350871494591E-2</v>
      </c>
      <c r="AB57" s="15">
        <v>3.1647714931884105E-2</v>
      </c>
      <c r="AC57" s="15">
        <v>-0.30801430250254697</v>
      </c>
      <c r="AD57" s="15">
        <v>0.20684531670736606</v>
      </c>
      <c r="AE57" s="15">
        <v>2.7131397992660924E-2</v>
      </c>
      <c r="AF57" s="15">
        <v>-3.051712456020093E-2</v>
      </c>
    </row>
    <row r="58" spans="3:32" x14ac:dyDescent="0.25">
      <c r="C58" s="15">
        <v>1.0332927803357872E-2</v>
      </c>
      <c r="D58" s="15">
        <v>-1.7563103247742577E-2</v>
      </c>
      <c r="E58" s="15">
        <v>0.10083286777884742</v>
      </c>
      <c r="F58" s="15">
        <v>0.12102298802793809</v>
      </c>
      <c r="G58" s="15">
        <v>3.3988527991763995E-3</v>
      </c>
      <c r="H58" s="15">
        <v>0.14025553683071923</v>
      </c>
      <c r="I58" s="15">
        <v>-0.20399514519248108</v>
      </c>
      <c r="J58" s="15">
        <v>3.6595546005566693E-2</v>
      </c>
      <c r="K58" s="15">
        <v>-0.29203167209462183</v>
      </c>
      <c r="L58" s="15">
        <v>7.444276721206311E-2</v>
      </c>
      <c r="M58" s="15">
        <v>2.9253854790177253E-2</v>
      </c>
      <c r="N58" s="15">
        <v>-0.27081181582582481</v>
      </c>
      <c r="O58" s="15">
        <v>5.7586642527872822E-2</v>
      </c>
      <c r="P58" s="15">
        <v>-3.0764745755962358E-2</v>
      </c>
      <c r="Q58" s="15">
        <v>0.27324029492359259</v>
      </c>
      <c r="R58" s="15">
        <v>3.1242129907985677E-2</v>
      </c>
      <c r="S58" s="15">
        <v>1.7477325997356186E-2</v>
      </c>
      <c r="T58" s="15">
        <v>7.9193929429311236E-2</v>
      </c>
      <c r="U58" s="15">
        <v>0.12677155757077352</v>
      </c>
      <c r="V58" s="15">
        <v>4.4993781642747907E-2</v>
      </c>
      <c r="W58" s="15">
        <v>-5.8202410498150135E-2</v>
      </c>
      <c r="X58" s="15">
        <v>0.1400434206909964</v>
      </c>
      <c r="Y58" s="15">
        <v>0.14796901555609532</v>
      </c>
      <c r="Z58" s="15">
        <v>-4.072169374947162E-2</v>
      </c>
      <c r="AA58" s="15">
        <v>1.4601823210334229E-2</v>
      </c>
      <c r="AB58" s="15">
        <v>3.1649727503028982E-2</v>
      </c>
      <c r="AC58" s="15">
        <v>-0.2952599602468271</v>
      </c>
      <c r="AD58" s="15">
        <v>0.22712362432196143</v>
      </c>
      <c r="AE58" s="15">
        <v>2.8218678823907578E-2</v>
      </c>
      <c r="AF58" s="15">
        <v>-3.09009347338653E-2</v>
      </c>
    </row>
    <row r="59" spans="3:32" x14ac:dyDescent="0.25">
      <c r="C59" s="15">
        <v>2.0553628329427753E-3</v>
      </c>
      <c r="D59" s="15">
        <v>-1.6957904757780438E-2</v>
      </c>
      <c r="E59" s="15">
        <v>0.10135811384897025</v>
      </c>
      <c r="F59" s="15">
        <v>0.14319645265204928</v>
      </c>
      <c r="G59" s="15">
        <v>2.7448711090828581E-2</v>
      </c>
      <c r="H59" s="15">
        <v>0.14968046773573995</v>
      </c>
      <c r="I59" s="15">
        <v>-0.18503544800712701</v>
      </c>
      <c r="J59" s="15">
        <v>3.6554555956340759E-2</v>
      </c>
      <c r="K59" s="15">
        <v>-0.29118320492929234</v>
      </c>
      <c r="L59" s="15">
        <v>8.1622670630555894E-2</v>
      </c>
      <c r="M59" s="15">
        <v>3.3085751630515858E-2</v>
      </c>
      <c r="N59" s="15">
        <v>-0.26908561702214229</v>
      </c>
      <c r="O59" s="15">
        <v>7.6645598704589313E-2</v>
      </c>
      <c r="P59" s="15">
        <v>-3.0763110135697387E-2</v>
      </c>
      <c r="Q59" s="15">
        <v>0.29527450859335547</v>
      </c>
      <c r="R59" s="15">
        <v>3.1077335113553005E-2</v>
      </c>
      <c r="S59" s="15">
        <v>-1.9845732703409058E-2</v>
      </c>
      <c r="T59" s="15">
        <v>8.4993187111830529E-2</v>
      </c>
      <c r="U59" s="15">
        <v>0.1224288487156176</v>
      </c>
      <c r="V59" s="15">
        <v>4.557454891937246E-2</v>
      </c>
      <c r="W59" s="15">
        <v>-5.8227184997616928E-2</v>
      </c>
      <c r="X59" s="15">
        <v>3.6158074141300345E-2</v>
      </c>
      <c r="Y59" s="15">
        <v>0.13933715944823577</v>
      </c>
      <c r="Z59" s="15">
        <v>-3.910748963271081E-2</v>
      </c>
      <c r="AA59" s="15">
        <v>-4.1921409079422045E-4</v>
      </c>
      <c r="AB59" s="15">
        <v>3.1951679580377569E-2</v>
      </c>
      <c r="AC59" s="15">
        <v>-0.28081357772148752</v>
      </c>
      <c r="AD59" s="15">
        <v>0.22143301370204016</v>
      </c>
      <c r="AE59" s="15">
        <v>3.1081155089352774E-2</v>
      </c>
      <c r="AF59" s="15">
        <v>-3.0472754604416046E-2</v>
      </c>
    </row>
    <row r="60" spans="3:32" x14ac:dyDescent="0.25">
      <c r="C60" s="15">
        <v>-3.4909473952956488E-2</v>
      </c>
      <c r="D60" s="15">
        <v>-1.623247165697218E-2</v>
      </c>
      <c r="E60" s="15">
        <v>0.10304058159995248</v>
      </c>
      <c r="F60" s="15">
        <v>0.16384979388661547</v>
      </c>
      <c r="G60" s="15">
        <v>2.6032215447032936E-2</v>
      </c>
      <c r="H60" s="15">
        <v>0.1676129220701873</v>
      </c>
      <c r="I60" s="15">
        <v>-0.16513080585343853</v>
      </c>
      <c r="J60" s="15">
        <v>3.6555511550879542E-2</v>
      </c>
      <c r="K60" s="15">
        <v>-0.29089488803708141</v>
      </c>
      <c r="L60" s="15">
        <v>5.3946081162156712E-2</v>
      </c>
      <c r="M60" s="15">
        <v>4.3683662401710288E-2</v>
      </c>
      <c r="N60" s="15">
        <v>-0.26786239201093487</v>
      </c>
      <c r="O60" s="15">
        <v>0.10068117664173748</v>
      </c>
      <c r="P60" s="15">
        <v>-3.0745791316453205E-2</v>
      </c>
      <c r="Q60" s="15">
        <v>0.31097575882316142</v>
      </c>
      <c r="R60" s="15">
        <v>3.1627351162417681E-2</v>
      </c>
      <c r="S60" s="15">
        <v>-4.5112617203305172E-2</v>
      </c>
      <c r="T60" s="15">
        <v>9.097760983232793E-2</v>
      </c>
      <c r="U60" s="15">
        <v>0.13711933641826479</v>
      </c>
      <c r="V60" s="15">
        <v>4.6716857173917908E-2</v>
      </c>
      <c r="W60" s="15">
        <v>-5.8149275695172288E-2</v>
      </c>
      <c r="X60" s="15">
        <v>4.0166430326533331E-2</v>
      </c>
      <c r="Y60" s="15">
        <v>0.16020260517498697</v>
      </c>
      <c r="Z60" s="15">
        <v>-5.3758799941967784E-2</v>
      </c>
      <c r="AA60" s="15">
        <v>-3.9178051988016938E-3</v>
      </c>
      <c r="AB60" s="15">
        <v>3.1760488541632256E-2</v>
      </c>
      <c r="AC60" s="15">
        <v>-0.27341420563466523</v>
      </c>
      <c r="AD60" s="15">
        <v>0.21369928940385607</v>
      </c>
      <c r="AE60" s="15">
        <v>3.4137116843869039E-2</v>
      </c>
      <c r="AF60" s="15">
        <v>-3.0095142061044952E-2</v>
      </c>
    </row>
    <row r="61" spans="3:32" x14ac:dyDescent="0.25">
      <c r="C61" s="15">
        <v>-2.845465220339212E-2</v>
      </c>
      <c r="D61" s="15">
        <v>-1.5480437464699312E-2</v>
      </c>
      <c r="E61" s="15">
        <v>9.9621154158627018E-2</v>
      </c>
      <c r="F61" s="15">
        <v>0.1177655029097866</v>
      </c>
      <c r="G61" s="15">
        <v>4.8111634205828091E-2</v>
      </c>
      <c r="H61" s="15">
        <v>0.18559924762888114</v>
      </c>
      <c r="I61" s="15">
        <v>-0.15856684752786043</v>
      </c>
      <c r="J61" s="15">
        <v>3.657205878167151E-2</v>
      </c>
      <c r="K61" s="15">
        <v>-0.293364495149254</v>
      </c>
      <c r="L61" s="15">
        <v>-5.1407628636888081E-3</v>
      </c>
      <c r="M61" s="15">
        <v>4.6963646611053844E-2</v>
      </c>
      <c r="N61" s="15">
        <v>-0.26629263690432303</v>
      </c>
      <c r="O61" s="15">
        <v>0.10487687914422561</v>
      </c>
      <c r="P61" s="15">
        <v>-3.0740104064019072E-2</v>
      </c>
      <c r="Q61" s="15">
        <v>0.33444541770170066</v>
      </c>
      <c r="R61" s="15">
        <v>3.189355450246191E-2</v>
      </c>
      <c r="S61" s="15">
        <v>-2.6181665898848183E-2</v>
      </c>
      <c r="T61" s="15">
        <v>9.0192641900796955E-2</v>
      </c>
      <c r="U61" s="15">
        <v>0.15107992124957365</v>
      </c>
      <c r="V61" s="15">
        <v>4.7498058157186593E-2</v>
      </c>
      <c r="W61" s="15">
        <v>-5.8678842442430289E-2</v>
      </c>
      <c r="X61" s="15">
        <v>4.4201334346583243E-2</v>
      </c>
      <c r="Y61" s="15">
        <v>0.16523953822845661</v>
      </c>
      <c r="Z61" s="15">
        <v>-4.9154222129466935E-2</v>
      </c>
      <c r="AA61" s="15">
        <v>-6.0004019489448279E-3</v>
      </c>
      <c r="AB61" s="15">
        <v>3.097820394417046E-2</v>
      </c>
      <c r="AC61" s="15">
        <v>-0.26326699988216762</v>
      </c>
      <c r="AD61" s="15">
        <v>0.13592020608941513</v>
      </c>
      <c r="AE61" s="15">
        <v>3.1518420264652021E-2</v>
      </c>
      <c r="AF61" s="15">
        <v>-2.9820971775694736E-2</v>
      </c>
    </row>
    <row r="62" spans="3:32" x14ac:dyDescent="0.25">
      <c r="C62" s="15">
        <v>-3.3270888942187965E-2</v>
      </c>
      <c r="D62" s="15">
        <v>-1.4399327910875833E-2</v>
      </c>
      <c r="E62" s="15">
        <v>9.835673237624977E-2</v>
      </c>
      <c r="F62" s="15">
        <v>0.13867720209763057</v>
      </c>
      <c r="G62" s="15">
        <v>2.9492981635237392E-3</v>
      </c>
      <c r="H62" s="15">
        <v>8.8688269273658138E-2</v>
      </c>
      <c r="I62" s="15">
        <v>-0.14051021905565031</v>
      </c>
      <c r="J62" s="15">
        <v>3.6587114404514613E-2</v>
      </c>
      <c r="K62" s="15">
        <v>-0.29129514135395379</v>
      </c>
      <c r="L62" s="15">
        <v>1.5657367711716108E-2</v>
      </c>
      <c r="M62" s="15">
        <v>6.0035089182273738E-2</v>
      </c>
      <c r="N62" s="15">
        <v>-0.26470819269526658</v>
      </c>
      <c r="O62" s="15">
        <v>9.7790230778971865E-2</v>
      </c>
      <c r="P62" s="15">
        <v>-3.0732488881995687E-2</v>
      </c>
      <c r="Q62" s="15">
        <v>0.35302081333556279</v>
      </c>
      <c r="R62" s="15">
        <v>3.1495970556734851E-2</v>
      </c>
      <c r="S62" s="15">
        <v>-5.186812098034288E-3</v>
      </c>
      <c r="T62" s="15">
        <v>8.9316322242791957E-2</v>
      </c>
      <c r="U62" s="15">
        <v>0.12779308904498976</v>
      </c>
      <c r="V62" s="15">
        <v>4.7820695655339307E-2</v>
      </c>
      <c r="W62" s="15">
        <v>-5.8713011443318731E-2</v>
      </c>
      <c r="X62" s="15">
        <v>6.2244541617060389E-2</v>
      </c>
      <c r="Y62" s="15">
        <v>0.18230899871950257</v>
      </c>
      <c r="Z62" s="15">
        <v>-5.5643453521652148E-2</v>
      </c>
      <c r="AA62" s="15">
        <v>-1.0285380535083169E-2</v>
      </c>
      <c r="AB62" s="15">
        <v>3.1095762485509389E-2</v>
      </c>
      <c r="AC62" s="15">
        <v>-0.24756822030034087</v>
      </c>
      <c r="AD62" s="15">
        <v>0.1578437129499678</v>
      </c>
      <c r="AE62" s="15">
        <v>3.2923509669223347E-2</v>
      </c>
      <c r="AF62" s="15">
        <v>-2.9178851483448912E-2</v>
      </c>
    </row>
    <row r="63" spans="3:32" x14ac:dyDescent="0.25">
      <c r="C63" s="15">
        <v>-2.7193223282390433E-2</v>
      </c>
      <c r="D63" s="15">
        <v>-1.3370343020342811E-2</v>
      </c>
      <c r="E63" s="15">
        <v>9.7678301339815865E-2</v>
      </c>
      <c r="F63" s="15">
        <v>0.15578568093899392</v>
      </c>
      <c r="G63" s="15">
        <v>5.5224284063759566E-3</v>
      </c>
      <c r="H63" s="15">
        <v>0.11241069046104557</v>
      </c>
      <c r="I63" s="15">
        <v>-0.11901736709991817</v>
      </c>
      <c r="J63" s="15">
        <v>3.6600696682722852E-2</v>
      </c>
      <c r="K63" s="15">
        <v>-0.28951691515179845</v>
      </c>
      <c r="L63" s="15">
        <v>3.3624262884161538E-2</v>
      </c>
      <c r="M63" s="15">
        <v>7.4118570050414778E-2</v>
      </c>
      <c r="N63" s="15">
        <v>-0.27098705342775187</v>
      </c>
      <c r="O63" s="15">
        <v>0.10799098220917525</v>
      </c>
      <c r="P63" s="15">
        <v>-3.073725131321901E-2</v>
      </c>
      <c r="Q63" s="15">
        <v>0.27514978958135083</v>
      </c>
      <c r="R63" s="15">
        <v>3.205557910369377E-2</v>
      </c>
      <c r="S63" s="15">
        <v>-1.48801294916312E-2</v>
      </c>
      <c r="T63" s="15">
        <v>9.5960207670423139E-2</v>
      </c>
      <c r="U63" s="15">
        <v>0.1440746620918123</v>
      </c>
      <c r="V63" s="15">
        <v>4.7697023463308195E-2</v>
      </c>
      <c r="W63" s="15">
        <v>-5.8643382082426788E-2</v>
      </c>
      <c r="X63" s="15">
        <v>8.5713228638084171E-2</v>
      </c>
      <c r="Y63" s="15">
        <v>0.20191762931112134</v>
      </c>
      <c r="Z63" s="15">
        <v>-4.7782818506470079E-2</v>
      </c>
      <c r="AA63" s="15">
        <v>-1.280017188544405E-2</v>
      </c>
      <c r="AB63" s="15">
        <v>3.1206144172799381E-2</v>
      </c>
      <c r="AC63" s="15">
        <v>-0.2339598890939053</v>
      </c>
      <c r="AD63" s="15">
        <v>0.1031346892422571</v>
      </c>
      <c r="AE63" s="15">
        <v>3.5835293580788491E-2</v>
      </c>
      <c r="AF63" s="15">
        <v>-2.860274927490368E-2</v>
      </c>
    </row>
    <row r="64" spans="3:32" x14ac:dyDescent="0.25">
      <c r="C64" s="15">
        <v>-2.8166455193081863E-2</v>
      </c>
      <c r="D64" s="15">
        <v>-1.2760017706627446E-2</v>
      </c>
      <c r="E64" s="15">
        <v>9.7573722768367233E-2</v>
      </c>
      <c r="F64" s="15">
        <v>0.17166566016004881</v>
      </c>
      <c r="G64" s="15">
        <v>3.0791464537894608E-2</v>
      </c>
      <c r="H64" s="15">
        <v>0.11447704785927537</v>
      </c>
      <c r="I64" s="15">
        <v>-0.13915728445711351</v>
      </c>
      <c r="J64" s="15">
        <v>3.6598175701904934E-2</v>
      </c>
      <c r="K64" s="15">
        <v>-0.29036227178569413</v>
      </c>
      <c r="L64" s="15">
        <v>2.5154077978385647E-2</v>
      </c>
      <c r="M64" s="15">
        <v>8.1820152551036279E-2</v>
      </c>
      <c r="N64" s="15">
        <v>-0.26662656229030279</v>
      </c>
      <c r="O64" s="15">
        <v>0.12530055763314896</v>
      </c>
      <c r="P64" s="15">
        <v>-3.0740032667934715E-2</v>
      </c>
      <c r="Q64" s="15">
        <v>0.29359682550553545</v>
      </c>
      <c r="R64" s="15">
        <v>3.2979828310875141E-2</v>
      </c>
      <c r="S64" s="15">
        <v>9.025984747068172E-3</v>
      </c>
      <c r="T64" s="15">
        <v>0.10055193865874534</v>
      </c>
      <c r="U64" s="15">
        <v>0.13653841527739241</v>
      </c>
      <c r="V64" s="15">
        <v>4.7514149094629407E-2</v>
      </c>
      <c r="W64" s="15">
        <v>-5.8728447327117315E-2</v>
      </c>
      <c r="X64" s="15">
        <v>-3.3977673429026911E-2</v>
      </c>
      <c r="Y64" s="15">
        <v>0.20600732337967331</v>
      </c>
      <c r="Z64" s="15">
        <v>-3.9869820146347504E-2</v>
      </c>
      <c r="AA64" s="15">
        <v>-7.552207074697688E-2</v>
      </c>
      <c r="AB64" s="15">
        <v>3.1327628722882118E-2</v>
      </c>
      <c r="AC64" s="15">
        <v>-0.27550959782127366</v>
      </c>
      <c r="AD64" s="15">
        <v>0.12864375088706725</v>
      </c>
      <c r="AE64" s="15">
        <v>3.6920144932622453E-2</v>
      </c>
      <c r="AF64" s="15">
        <v>-2.8079127821543749E-2</v>
      </c>
    </row>
    <row r="65" spans="3:32" x14ac:dyDescent="0.25">
      <c r="C65" s="15">
        <v>-2.4449235527043756E-2</v>
      </c>
      <c r="D65" s="15">
        <v>-1.2405720035093104E-2</v>
      </c>
      <c r="E65" s="15">
        <v>9.6977205433226368E-2</v>
      </c>
      <c r="F65" s="15">
        <v>0.16695688978783796</v>
      </c>
      <c r="G65" s="15">
        <v>5.3926751185133126E-2</v>
      </c>
      <c r="H65" s="15">
        <v>0.11269158657959921</v>
      </c>
      <c r="I65" s="15">
        <v>-0.12615265832299177</v>
      </c>
      <c r="J65" s="15">
        <v>3.6595144310060314E-2</v>
      </c>
      <c r="K65" s="15">
        <v>-0.29140965830886073</v>
      </c>
      <c r="L65" s="15">
        <v>2.8510148678170144E-2</v>
      </c>
      <c r="M65" s="15">
        <v>9.4180441705762813E-2</v>
      </c>
      <c r="N65" s="15">
        <v>-0.26740024009779884</v>
      </c>
      <c r="O65" s="15">
        <v>0.14774911497383325</v>
      </c>
      <c r="P65" s="15">
        <v>-3.0759939338964374E-2</v>
      </c>
      <c r="Q65" s="15">
        <v>0.28343239600065573</v>
      </c>
      <c r="R65" s="15">
        <v>3.2622749746245384E-2</v>
      </c>
      <c r="S65" s="15">
        <v>1.607523219520246E-2</v>
      </c>
      <c r="T65" s="15">
        <v>8.2872686273270935E-2</v>
      </c>
      <c r="U65" s="15">
        <v>0.10338136450037783</v>
      </c>
      <c r="V65" s="15">
        <v>4.8438188691493439E-2</v>
      </c>
      <c r="W65" s="15">
        <v>-5.8743896838366248E-2</v>
      </c>
      <c r="X65" s="15">
        <v>-2.1072733071847871E-2</v>
      </c>
      <c r="Y65" s="15">
        <v>0.18981707613655185</v>
      </c>
      <c r="Z65" s="15">
        <v>-3.6317814910514903E-2</v>
      </c>
      <c r="AA65" s="15">
        <v>-7.4093176453553788E-2</v>
      </c>
      <c r="AB65" s="15">
        <v>3.1400802018130745E-2</v>
      </c>
      <c r="AC65" s="15">
        <v>-0.26633168626505754</v>
      </c>
      <c r="AD65" s="15">
        <v>0.15170752614456173</v>
      </c>
      <c r="AE65" s="15">
        <v>4.0639529855078883E-2</v>
      </c>
      <c r="AF65" s="15">
        <v>-2.7549641871389575E-2</v>
      </c>
    </row>
    <row r="66" spans="3:32" x14ac:dyDescent="0.25">
      <c r="C66" s="15">
        <v>-7.4953390277003318E-3</v>
      </c>
      <c r="D66" s="15">
        <v>-1.1223714033423851E-2</v>
      </c>
      <c r="E66" s="15">
        <v>9.6708151997077635E-2</v>
      </c>
      <c r="F66" s="15">
        <v>0.15288892177369462</v>
      </c>
      <c r="G66" s="15">
        <v>8.0683543469745045E-2</v>
      </c>
      <c r="H66" s="15">
        <v>0.13835129328108919</v>
      </c>
      <c r="I66" s="15">
        <v>-0.11316870975552146</v>
      </c>
      <c r="J66" s="15">
        <v>3.6596977784308218E-2</v>
      </c>
      <c r="K66" s="15">
        <v>-0.29163207402073765</v>
      </c>
      <c r="L66" s="15">
        <v>5.3724297179193692E-2</v>
      </c>
      <c r="M66" s="15">
        <v>0.10719516482276575</v>
      </c>
      <c r="N66" s="15">
        <v>-0.2608095108213524</v>
      </c>
      <c r="O66" s="15">
        <v>0.15422854446907497</v>
      </c>
      <c r="P66" s="15">
        <v>-3.0760469774971311E-2</v>
      </c>
      <c r="Q66" s="15">
        <v>0.27234177660908454</v>
      </c>
      <c r="R66" s="15">
        <v>3.3022467591103527E-2</v>
      </c>
      <c r="S66" s="15">
        <v>4.2282356212977268E-2</v>
      </c>
      <c r="T66" s="15">
        <v>8.3858183856755739E-2</v>
      </c>
      <c r="U66" s="15">
        <v>0.12228754589187962</v>
      </c>
      <c r="V66" s="15">
        <v>4.8930009548562865E-2</v>
      </c>
      <c r="W66" s="15">
        <v>-5.8790507446789583E-2</v>
      </c>
      <c r="X66" s="15">
        <v>5.0897255231641125E-3</v>
      </c>
      <c r="Y66" s="15">
        <v>0.17814495197799163</v>
      </c>
      <c r="Z66" s="15">
        <v>-5.1748293586527799E-2</v>
      </c>
      <c r="AA66" s="15">
        <v>-7.0677948465018792E-2</v>
      </c>
      <c r="AB66" s="15">
        <v>3.143581089812178E-2</v>
      </c>
      <c r="AC66" s="15">
        <v>-0.26023523254550301</v>
      </c>
      <c r="AD66" s="15">
        <v>0.17163098880934036</v>
      </c>
      <c r="AE66" s="15">
        <v>4.4124220972192804E-2</v>
      </c>
      <c r="AF66" s="15">
        <v>-2.7759591413719815E-2</v>
      </c>
    </row>
    <row r="67" spans="3:32" x14ac:dyDescent="0.25">
      <c r="C67" s="15">
        <v>7.4518464091735126E-3</v>
      </c>
      <c r="D67" s="15">
        <v>-1.0112505005008647E-2</v>
      </c>
      <c r="E67" s="15">
        <v>9.590148804223339E-2</v>
      </c>
      <c r="F67" s="15">
        <v>0.17670087433554338</v>
      </c>
      <c r="G67" s="15">
        <v>0.10704034050783617</v>
      </c>
      <c r="H67" s="15">
        <v>0.14572227223768919</v>
      </c>
      <c r="I67" s="15">
        <v>-0.10433639994769522</v>
      </c>
      <c r="J67" s="15">
        <v>3.6598228607492997E-2</v>
      </c>
      <c r="K67" s="15">
        <v>-0.2914632414354365</v>
      </c>
      <c r="L67" s="15">
        <v>7.9911392134892179E-2</v>
      </c>
      <c r="M67" s="15">
        <v>0.10425447261373755</v>
      </c>
      <c r="N67" s="15">
        <v>-0.25415573639262767</v>
      </c>
      <c r="O67" s="15">
        <v>0.13677011442029574</v>
      </c>
      <c r="P67" s="15">
        <v>-3.0762261456733851E-2</v>
      </c>
      <c r="Q67" s="15">
        <v>0.28895836628781701</v>
      </c>
      <c r="R67" s="15">
        <v>3.3196426585250884E-2</v>
      </c>
      <c r="S67" s="15">
        <v>3.1295788267303948E-2</v>
      </c>
      <c r="T67" s="15">
        <v>8.4759668195431542E-2</v>
      </c>
      <c r="U67" s="15">
        <v>0.13527884568682647</v>
      </c>
      <c r="V67" s="15">
        <v>4.9531227193868217E-2</v>
      </c>
      <c r="W67" s="15">
        <v>-5.8808994165336935E-2</v>
      </c>
      <c r="X67" s="15">
        <v>3.1238889099918676E-2</v>
      </c>
      <c r="Y67" s="15">
        <v>0.14060077720345099</v>
      </c>
      <c r="Z67" s="15">
        <v>-4.9905360553178943E-2</v>
      </c>
      <c r="AA67" s="15">
        <v>-6.6380165627857798E-2</v>
      </c>
      <c r="AB67" s="15">
        <v>3.143927997766429E-2</v>
      </c>
      <c r="AC67" s="15">
        <v>-0.25515851664164435</v>
      </c>
      <c r="AD67" s="15">
        <v>0.16572783471985542</v>
      </c>
      <c r="AE67" s="15">
        <v>4.5621386383933545E-2</v>
      </c>
      <c r="AF67" s="15">
        <v>-2.7681920184870819E-2</v>
      </c>
    </row>
    <row r="68" spans="3:32" x14ac:dyDescent="0.25">
      <c r="C68" s="15">
        <v>1.2277937818708728E-2</v>
      </c>
      <c r="D68" s="15">
        <v>-9.2053452083674277E-3</v>
      </c>
      <c r="E68" s="15">
        <v>9.5933018196714751E-2</v>
      </c>
      <c r="F68" s="15">
        <v>0.14314335118330712</v>
      </c>
      <c r="G68" s="15">
        <v>0.10775238331527159</v>
      </c>
      <c r="H68" s="15">
        <v>0.16677547889853162</v>
      </c>
      <c r="I68" s="15">
        <v>-0.1238458260709604</v>
      </c>
      <c r="J68" s="15">
        <v>3.660075426824555E-2</v>
      </c>
      <c r="K68" s="15">
        <v>-0.2910631436065142</v>
      </c>
      <c r="L68" s="15">
        <v>6.9366129787160835E-2</v>
      </c>
      <c r="M68" s="15">
        <v>0.11787590479705057</v>
      </c>
      <c r="N68" s="15">
        <v>-0.24671698001367215</v>
      </c>
      <c r="O68" s="15">
        <v>9.1569313480592385E-2</v>
      </c>
      <c r="P68" s="15">
        <v>-3.076238758006631E-2</v>
      </c>
      <c r="Q68" s="15">
        <v>0.30357948170110749</v>
      </c>
      <c r="R68" s="15">
        <v>3.333768888858607E-2</v>
      </c>
      <c r="S68" s="15">
        <v>5.6414880906248577E-2</v>
      </c>
      <c r="T68" s="15">
        <v>8.685584222085091E-2</v>
      </c>
      <c r="U68" s="15">
        <v>0.10883304282003414</v>
      </c>
      <c r="V68" s="15">
        <v>4.8883718134283494E-2</v>
      </c>
      <c r="W68" s="15">
        <v>-5.8746951133781158E-2</v>
      </c>
      <c r="X68" s="15">
        <v>1.8818052174784938E-2</v>
      </c>
      <c r="Y68" s="15">
        <v>0.16820420664693003</v>
      </c>
      <c r="Z68" s="15">
        <v>-4.8423292003966133E-2</v>
      </c>
      <c r="AA68" s="15">
        <v>-6.2038048885651856E-2</v>
      </c>
      <c r="AB68" s="15">
        <v>3.1274496921507813E-2</v>
      </c>
      <c r="AC68" s="15">
        <v>-0.24609437313141225</v>
      </c>
      <c r="AD68" s="15">
        <v>0.16334966760732783</v>
      </c>
      <c r="AE68" s="15">
        <v>4.7510967544347554E-2</v>
      </c>
      <c r="AF68" s="15">
        <v>-2.7543172429779984E-2</v>
      </c>
    </row>
    <row r="69" spans="3:32" x14ac:dyDescent="0.25">
      <c r="C69" s="15">
        <v>2.9897598555718385E-2</v>
      </c>
      <c r="D69" s="15">
        <v>-1.0318537414228619E-2</v>
      </c>
      <c r="E69" s="15">
        <v>9.5935867818876502E-2</v>
      </c>
      <c r="F69" s="15">
        <v>0.13673621387583079</v>
      </c>
      <c r="G69" s="15">
        <v>0.12645967770237365</v>
      </c>
      <c r="H69" s="15">
        <v>0.1337992562803948</v>
      </c>
      <c r="I69" s="15">
        <v>-0.10612139921037744</v>
      </c>
      <c r="J69" s="15">
        <v>3.6602582151367309E-2</v>
      </c>
      <c r="K69" s="15">
        <v>-0.2905129839899297</v>
      </c>
      <c r="L69" s="15">
        <v>9.345561848723416E-2</v>
      </c>
      <c r="M69" s="15">
        <v>0.12468336777299799</v>
      </c>
      <c r="N69" s="15">
        <v>-0.28508526056215544</v>
      </c>
      <c r="O69" s="15">
        <v>5.3669298754538297E-2</v>
      </c>
      <c r="P69" s="15">
        <v>-3.0763647695555691E-2</v>
      </c>
      <c r="Q69" s="15">
        <v>0.31741483377575186</v>
      </c>
      <c r="R69" s="15">
        <v>3.3572146609943197E-2</v>
      </c>
      <c r="S69" s="15">
        <v>8.2565971247560821E-2</v>
      </c>
      <c r="T69" s="15">
        <v>8.7759843772200821E-2</v>
      </c>
      <c r="U69" s="15">
        <v>-6.4308514598065081E-2</v>
      </c>
      <c r="V69" s="15">
        <v>4.899155521044965E-2</v>
      </c>
      <c r="W69" s="15">
        <v>-5.8750844988213709E-2</v>
      </c>
      <c r="X69" s="15">
        <v>4.7508836682600641E-2</v>
      </c>
      <c r="Y69" s="15">
        <v>0.19416303178005845</v>
      </c>
      <c r="Z69" s="15">
        <v>-4.369253064438363E-2</v>
      </c>
      <c r="AA69" s="15">
        <v>-5.7575687156156345E-2</v>
      </c>
      <c r="AB69" s="15">
        <v>3.1293120246127348E-2</v>
      </c>
      <c r="AC69" s="15">
        <v>-0.2357646732660082</v>
      </c>
      <c r="AD69" s="15">
        <v>0.16297536089469</v>
      </c>
      <c r="AE69" s="15">
        <v>4.8744083700400551E-2</v>
      </c>
      <c r="AF69" s="15">
        <v>-2.7500747391529797E-2</v>
      </c>
    </row>
    <row r="70" spans="3:32" x14ac:dyDescent="0.25">
      <c r="C70" s="15">
        <v>3.6987939189564334E-2</v>
      </c>
      <c r="D70" s="15">
        <v>-9.8481080051765531E-3</v>
      </c>
      <c r="E70" s="15">
        <v>9.5950720754102159E-2</v>
      </c>
      <c r="F70" s="15">
        <v>0.14113596807215201</v>
      </c>
      <c r="G70" s="15">
        <v>0.11949261490291385</v>
      </c>
      <c r="H70" s="15">
        <v>0.11735617975311241</v>
      </c>
      <c r="I70" s="15">
        <v>-0.13168103506125983</v>
      </c>
      <c r="J70" s="15">
        <v>3.6605474530764001E-2</v>
      </c>
      <c r="K70" s="15">
        <v>-0.29084687467540704</v>
      </c>
      <c r="L70" s="15">
        <v>0.10129771922892578</v>
      </c>
      <c r="M70" s="15">
        <v>2.0616542159799023E-2</v>
      </c>
      <c r="N70" s="15">
        <v>-0.28374243119285225</v>
      </c>
      <c r="O70" s="15">
        <v>7.9794066828660637E-2</v>
      </c>
      <c r="P70" s="15">
        <v>-3.0764667139183337E-2</v>
      </c>
      <c r="Q70" s="15">
        <v>0.33025471227069403</v>
      </c>
      <c r="R70" s="15">
        <v>3.3588721579760943E-2</v>
      </c>
      <c r="S70" s="15">
        <v>0.10927912911193038</v>
      </c>
      <c r="T70" s="15">
        <v>8.8530783568252086E-2</v>
      </c>
      <c r="U70" s="15">
        <v>-3.5649430001634563E-2</v>
      </c>
      <c r="V70" s="15">
        <v>4.9137759651929305E-2</v>
      </c>
      <c r="W70" s="15">
        <v>-5.8721663957843784E-2</v>
      </c>
      <c r="X70" s="15">
        <v>2.0035885490656824E-3</v>
      </c>
      <c r="Y70" s="15">
        <v>0.22268562290689786</v>
      </c>
      <c r="Z70" s="15">
        <v>-4.1029788766398581E-2</v>
      </c>
      <c r="AA70" s="15">
        <v>-5.9916916588649345E-2</v>
      </c>
      <c r="AB70" s="15">
        <v>3.1307743260360198E-2</v>
      </c>
      <c r="AC70" s="15">
        <v>-0.22595385319570066</v>
      </c>
      <c r="AD70" s="15">
        <v>0.19033860988933937</v>
      </c>
      <c r="AE70" s="15">
        <v>5.0259070196972074E-2</v>
      </c>
      <c r="AF70" s="15">
        <v>-2.7486991914884497E-2</v>
      </c>
    </row>
    <row r="71" spans="3:32" x14ac:dyDescent="0.25">
      <c r="C71" s="15">
        <v>-6.1170856735899282E-3</v>
      </c>
      <c r="D71" s="15">
        <v>-9.5703054791679443E-3</v>
      </c>
      <c r="E71" s="15">
        <v>9.5964049084542494E-2</v>
      </c>
      <c r="F71" s="15">
        <v>0.15232024985667536</v>
      </c>
      <c r="G71" s="15">
        <v>9.3815896916473296E-2</v>
      </c>
      <c r="H71" s="15">
        <v>0.1361448434449174</v>
      </c>
      <c r="I71" s="15">
        <v>-0.10753846461818684</v>
      </c>
      <c r="J71" s="15">
        <v>3.6608032325599602E-2</v>
      </c>
      <c r="K71" s="15">
        <v>-0.29136542389740772</v>
      </c>
      <c r="L71" s="15">
        <v>0.12409488999538315</v>
      </c>
      <c r="M71" s="15">
        <v>2.7543891982753865E-2</v>
      </c>
      <c r="N71" s="15">
        <v>-0.27828969278445914</v>
      </c>
      <c r="O71" s="15">
        <v>0.10897463181241951</v>
      </c>
      <c r="P71" s="15">
        <v>-3.0765825377165993E-2</v>
      </c>
      <c r="Q71" s="15">
        <v>0.33720472350156605</v>
      </c>
      <c r="R71" s="15">
        <v>3.3295303791983602E-2</v>
      </c>
      <c r="S71" s="15">
        <v>0.10390583562624189</v>
      </c>
      <c r="T71" s="15">
        <v>9.1122741774747926E-2</v>
      </c>
      <c r="U71" s="15">
        <v>-1.5793358593349183E-2</v>
      </c>
      <c r="V71" s="15">
        <v>4.9009086516813329E-2</v>
      </c>
      <c r="W71" s="15">
        <v>-5.8722397287962566E-2</v>
      </c>
      <c r="X71" s="15">
        <v>-3.5073211366811741E-3</v>
      </c>
      <c r="Y71" s="15">
        <v>0.25181947727122656</v>
      </c>
      <c r="Z71" s="15">
        <v>-3.8089169972538535E-2</v>
      </c>
      <c r="AA71" s="15">
        <v>-5.3215570760627731E-2</v>
      </c>
      <c r="AB71" s="15">
        <v>3.1320478258251065E-2</v>
      </c>
      <c r="AC71" s="15">
        <v>-0.21577772204947435</v>
      </c>
      <c r="AD71" s="15">
        <v>0.20840589637958318</v>
      </c>
      <c r="AE71" s="15">
        <v>5.3350084321882693E-2</v>
      </c>
      <c r="AF71" s="15">
        <v>-2.749145576284516E-2</v>
      </c>
    </row>
    <row r="72" spans="3:32" x14ac:dyDescent="0.25">
      <c r="C72" s="15">
        <v>1.3380741078131808E-2</v>
      </c>
      <c r="D72" s="15">
        <v>-9.5253691722593861E-3</v>
      </c>
      <c r="E72" s="15">
        <v>9.5962870030395039E-2</v>
      </c>
      <c r="F72" s="15">
        <v>2.6926898734237703E-2</v>
      </c>
      <c r="G72" s="15">
        <v>0.12178462407064461</v>
      </c>
      <c r="H72" s="15">
        <v>0.11419804636203823</v>
      </c>
      <c r="I72" s="15">
        <v>-9.773813079290411E-2</v>
      </c>
      <c r="J72" s="15">
        <v>3.6608965974794093E-2</v>
      </c>
      <c r="K72" s="15">
        <v>-0.29134800333518152</v>
      </c>
      <c r="L72" s="15">
        <v>0.11935171144456741</v>
      </c>
      <c r="M72" s="15">
        <v>2.3947633762935128E-2</v>
      </c>
      <c r="N72" s="15">
        <v>-0.28402690456635904</v>
      </c>
      <c r="O72" s="15">
        <v>6.4993405590417441E-2</v>
      </c>
      <c r="P72" s="15">
        <v>-3.0766985203747984E-2</v>
      </c>
      <c r="Q72" s="15">
        <v>0.3479975656872476</v>
      </c>
      <c r="R72" s="15">
        <v>3.3375607192183999E-2</v>
      </c>
      <c r="S72" s="15">
        <v>0.1200940271146913</v>
      </c>
      <c r="T72" s="15">
        <v>9.3627534607248819E-2</v>
      </c>
      <c r="U72" s="15">
        <v>-6.937589568354996E-2</v>
      </c>
      <c r="V72" s="15">
        <v>4.8126825904647695E-2</v>
      </c>
      <c r="W72" s="15">
        <v>-5.8674955311414805E-2</v>
      </c>
      <c r="X72" s="15">
        <v>3.6585975737457588E-4</v>
      </c>
      <c r="Y72" s="15">
        <v>0.2817263740322431</v>
      </c>
      <c r="Z72" s="15">
        <v>-3.5786428609137395E-2</v>
      </c>
      <c r="AA72" s="15">
        <v>-8.0408744542022265E-2</v>
      </c>
      <c r="AB72" s="15">
        <v>3.1328752629048107E-2</v>
      </c>
      <c r="AC72" s="15">
        <v>-0.21418546413640205</v>
      </c>
      <c r="AD72" s="15">
        <v>0.22141233423914541</v>
      </c>
      <c r="AE72" s="15">
        <v>4.3056051749876756E-2</v>
      </c>
      <c r="AF72" s="15">
        <v>-2.7496076465550873E-2</v>
      </c>
    </row>
    <row r="73" spans="3:32" x14ac:dyDescent="0.25">
      <c r="C73" s="15">
        <v>3.4971482642950913E-2</v>
      </c>
      <c r="D73" s="15">
        <v>-9.4957407001205543E-3</v>
      </c>
      <c r="E73" s="15">
        <v>9.5967267837554479E-2</v>
      </c>
      <c r="F73" s="15">
        <v>4.085511410893039E-2</v>
      </c>
      <c r="G73" s="15">
        <v>0.12307536572653266</v>
      </c>
      <c r="H73" s="15">
        <v>0.14380918033024104</v>
      </c>
      <c r="I73" s="15">
        <v>-8.333565463747894E-2</v>
      </c>
      <c r="J73" s="15">
        <v>3.6610451496675342E-2</v>
      </c>
      <c r="K73" s="15">
        <v>-0.29142067487913342</v>
      </c>
      <c r="L73" s="15">
        <v>0.13159733387335235</v>
      </c>
      <c r="M73" s="15">
        <v>3.6129527283020046E-2</v>
      </c>
      <c r="N73" s="15">
        <v>-0.28351431598252841</v>
      </c>
      <c r="O73" s="15">
        <v>5.56896071096743E-2</v>
      </c>
      <c r="P73" s="15">
        <v>-3.0768308532650206E-2</v>
      </c>
      <c r="Q73" s="15">
        <v>0.35787128798348888</v>
      </c>
      <c r="R73" s="15">
        <v>3.3362214328366384E-2</v>
      </c>
      <c r="S73" s="15">
        <v>0.15067046369405879</v>
      </c>
      <c r="T73" s="15">
        <v>9.5847934949930963E-2</v>
      </c>
      <c r="U73" s="15">
        <v>-4.6219890063840641E-2</v>
      </c>
      <c r="V73" s="15">
        <v>4.820956819505768E-2</v>
      </c>
      <c r="W73" s="15">
        <v>-5.8707570838624198E-2</v>
      </c>
      <c r="X73" s="15">
        <v>9.3189011716088288E-3</v>
      </c>
      <c r="Y73" s="15">
        <v>0.27078389463015151</v>
      </c>
      <c r="Z73" s="15">
        <v>-3.4706498455022494E-2</v>
      </c>
      <c r="AA73" s="15">
        <v>-6.600815663144366E-2</v>
      </c>
      <c r="AB73" s="15">
        <v>3.1324346402157123E-2</v>
      </c>
      <c r="AC73" s="15">
        <v>-0.21083132887820838</v>
      </c>
      <c r="AD73" s="15">
        <v>0.25219461877329641</v>
      </c>
      <c r="AE73" s="15">
        <v>4.1347449381076776E-2</v>
      </c>
      <c r="AF73" s="15">
        <v>-2.7493972472110707E-2</v>
      </c>
    </row>
    <row r="74" spans="3:32" x14ac:dyDescent="0.25">
      <c r="C74" s="15">
        <v>4.2243467872299822E-2</v>
      </c>
      <c r="D74" s="15">
        <v>-9.5316104194843269E-3</v>
      </c>
      <c r="E74" s="15">
        <v>9.5974371175290715E-2</v>
      </c>
      <c r="F74" s="15">
        <v>5.6865541123646945E-2</v>
      </c>
      <c r="G74" s="15">
        <v>0.11049678488693915</v>
      </c>
      <c r="H74" s="15">
        <v>0.16245752650422896</v>
      </c>
      <c r="I74" s="15">
        <v>-7.5524974836973069E-2</v>
      </c>
      <c r="J74" s="15">
        <v>3.661208266769328E-2</v>
      </c>
      <c r="K74" s="15">
        <v>-0.29141324145104125</v>
      </c>
      <c r="L74" s="15">
        <v>0.14357255376059233</v>
      </c>
      <c r="M74" s="15">
        <v>4.4258850171598779E-2</v>
      </c>
      <c r="N74" s="15">
        <v>-0.26962776429901059</v>
      </c>
      <c r="O74" s="15">
        <v>8.5622953415898762E-2</v>
      </c>
      <c r="P74" s="15">
        <v>-3.0769626196373308E-2</v>
      </c>
      <c r="Q74" s="15">
        <v>0.36228333810005964</v>
      </c>
      <c r="R74" s="15">
        <v>3.3386942725311307E-2</v>
      </c>
      <c r="S74" s="15">
        <v>0.18321046161966881</v>
      </c>
      <c r="T74" s="15">
        <v>9.7927741308676583E-2</v>
      </c>
      <c r="U74" s="15">
        <v>-3.0282884557517598E-2</v>
      </c>
      <c r="V74" s="15">
        <v>4.8292087343253173E-2</v>
      </c>
      <c r="W74" s="15">
        <v>-5.8699889343708317E-2</v>
      </c>
      <c r="X74" s="15">
        <v>2.3146201558408297E-2</v>
      </c>
      <c r="Y74" s="15">
        <v>0.26897640678238899</v>
      </c>
      <c r="Z74" s="15">
        <v>-4.2153367293594216E-2</v>
      </c>
      <c r="AA74" s="15">
        <v>-6.841809647887033E-2</v>
      </c>
      <c r="AB74" s="15">
        <v>3.1327121315093277E-2</v>
      </c>
      <c r="AC74" s="15">
        <v>-0.20544564713950808</v>
      </c>
      <c r="AD74" s="15">
        <v>0.2688323735037228</v>
      </c>
      <c r="AE74" s="15">
        <v>4.193515542656636E-2</v>
      </c>
      <c r="AF74" s="15">
        <v>-2.7492524856081703E-2</v>
      </c>
    </row>
    <row r="75" spans="3:32" x14ac:dyDescent="0.25">
      <c r="C75" s="15">
        <v>6.9727056400439302E-2</v>
      </c>
      <c r="D75" s="15">
        <v>-9.5237893798036568E-3</v>
      </c>
      <c r="E75" s="15">
        <v>9.5977611542289218E-2</v>
      </c>
      <c r="F75" s="15">
        <v>7.5958681929022998E-2</v>
      </c>
      <c r="G75" s="15">
        <v>0.11812166053761142</v>
      </c>
      <c r="H75" s="15">
        <v>0.19494187894556037</v>
      </c>
      <c r="I75" s="15">
        <v>-6.9624649516240922E-2</v>
      </c>
      <c r="J75" s="15">
        <v>3.661371060964639E-2</v>
      </c>
      <c r="K75" s="15">
        <v>-0.29140892527068862</v>
      </c>
      <c r="L75" s="15">
        <v>0.14124395699820702</v>
      </c>
      <c r="M75" s="15">
        <v>6.0337483657498858E-2</v>
      </c>
      <c r="N75" s="15">
        <v>-0.34579287910948198</v>
      </c>
      <c r="O75" s="15">
        <v>0.10061348558847616</v>
      </c>
      <c r="P75" s="15">
        <v>-3.0770974582089043E-2</v>
      </c>
      <c r="Q75" s="15">
        <v>0.37388573499085354</v>
      </c>
      <c r="R75" s="15">
        <v>3.3407713646599307E-2</v>
      </c>
      <c r="S75" s="15">
        <v>0.18412157836966758</v>
      </c>
      <c r="T75" s="15">
        <v>9.6274138082854663E-2</v>
      </c>
      <c r="U75" s="15">
        <v>-4.505726427778356E-3</v>
      </c>
      <c r="V75" s="15">
        <v>4.8403163009480554E-2</v>
      </c>
      <c r="W75" s="15">
        <v>-5.8694010939134379E-2</v>
      </c>
      <c r="X75" s="15">
        <v>3.4847515777549187E-2</v>
      </c>
      <c r="Y75" s="15">
        <v>0.29125803525927774</v>
      </c>
      <c r="Z75" s="15">
        <v>-4.0669999275190341E-2</v>
      </c>
      <c r="AA75" s="15">
        <v>-6.3813467578068273E-2</v>
      </c>
      <c r="AB75" s="15">
        <v>3.1330546445909713E-2</v>
      </c>
      <c r="AC75" s="15">
        <v>-0.20293297903423624</v>
      </c>
      <c r="AD75" s="15">
        <v>0.29436208328609115</v>
      </c>
      <c r="AE75" s="15">
        <v>4.1933359704479999E-2</v>
      </c>
      <c r="AF75" s="15">
        <v>-2.7499792858569076E-2</v>
      </c>
    </row>
    <row r="76" spans="3:32" x14ac:dyDescent="0.25">
      <c r="C76" s="15">
        <v>8.4215631874105967E-2</v>
      </c>
      <c r="D76" s="15">
        <v>-9.7924810299456263E-3</v>
      </c>
      <c r="E76" s="15">
        <v>9.5981354843156938E-2</v>
      </c>
      <c r="F76" s="15">
        <v>8.6475193151184016E-2</v>
      </c>
      <c r="G76" s="15">
        <v>8.4852194770268063E-2</v>
      </c>
      <c r="H76" s="15">
        <v>0.21410837246536385</v>
      </c>
      <c r="I76" s="15">
        <v>-9.8773539856596981E-2</v>
      </c>
      <c r="J76" s="15">
        <v>3.6615337244549649E-2</v>
      </c>
      <c r="K76" s="15">
        <v>-0.29141440249013839</v>
      </c>
      <c r="L76" s="15">
        <v>0.16563925273120489</v>
      </c>
      <c r="M76" s="15">
        <v>6.6163840170367805E-2</v>
      </c>
      <c r="N76" s="15">
        <v>-0.33219329534826381</v>
      </c>
      <c r="O76" s="15">
        <v>0.116460972822159</v>
      </c>
      <c r="P76" s="15">
        <v>-3.0772336880226479E-2</v>
      </c>
      <c r="Q76" s="15">
        <v>0.36589371975942253</v>
      </c>
      <c r="R76" s="15">
        <v>3.3338802076411156E-2</v>
      </c>
      <c r="S76" s="15">
        <v>0.20037189076157347</v>
      </c>
      <c r="T76" s="15">
        <v>9.7393178249397555E-2</v>
      </c>
      <c r="U76" s="15">
        <v>-6.4338839090987587E-2</v>
      </c>
      <c r="V76" s="15">
        <v>4.8475058935206448E-2</v>
      </c>
      <c r="W76" s="15">
        <v>-5.8699951190841995E-2</v>
      </c>
      <c r="X76" s="15">
        <v>4.4738349307896552E-2</v>
      </c>
      <c r="Y76" s="15">
        <v>0.31675166811447664</v>
      </c>
      <c r="Z76" s="15">
        <v>-3.9596335069674131E-2</v>
      </c>
      <c r="AA76" s="15">
        <v>-5.9449847427086644E-2</v>
      </c>
      <c r="AB76" s="15">
        <v>3.1333616631175343E-2</v>
      </c>
      <c r="AC76" s="15">
        <v>-0.19956608886015367</v>
      </c>
      <c r="AD76" s="15">
        <v>0.22737840553963196</v>
      </c>
      <c r="AE76" s="15">
        <v>4.1833407581041634E-2</v>
      </c>
      <c r="AF76" s="15">
        <v>-2.7500057612221095E-2</v>
      </c>
    </row>
    <row r="77" spans="3:32" x14ac:dyDescent="0.25">
      <c r="C77" s="15">
        <v>0.11226284438708167</v>
      </c>
      <c r="D77" s="15">
        <v>-9.642841748974413E-3</v>
      </c>
      <c r="E77" s="15">
        <v>9.5985647481340072E-2</v>
      </c>
      <c r="F77" s="15">
        <v>0.10127010124503455</v>
      </c>
      <c r="G77" s="15">
        <v>3.3726271693431009E-2</v>
      </c>
      <c r="H77" s="15">
        <v>0.24550748155661051</v>
      </c>
      <c r="I77" s="15">
        <v>-6.5556842597528364E-2</v>
      </c>
      <c r="J77" s="15">
        <v>3.6616964242084785E-2</v>
      </c>
      <c r="K77" s="15">
        <v>-0.29142059698838085</v>
      </c>
      <c r="L77" s="15">
        <v>0.18993777570842468</v>
      </c>
      <c r="M77" s="15">
        <v>8.8111128101258818E-2</v>
      </c>
      <c r="N77" s="15">
        <v>-0.37282805058764223</v>
      </c>
      <c r="O77" s="15">
        <v>0.12825160124179674</v>
      </c>
      <c r="P77" s="15">
        <v>-3.0773702414631839E-2</v>
      </c>
      <c r="Q77" s="15">
        <v>0.37222507065818888</v>
      </c>
      <c r="R77" s="15">
        <v>3.3340941513352047E-2</v>
      </c>
      <c r="S77" s="15">
        <v>0.23554587424396867</v>
      </c>
      <c r="T77" s="15">
        <v>9.7983451509619582E-2</v>
      </c>
      <c r="U77" s="15">
        <v>-7.1825972980262609E-2</v>
      </c>
      <c r="V77" s="15">
        <v>4.796672596888759E-2</v>
      </c>
      <c r="W77" s="15">
        <v>-5.8702700966216048E-2</v>
      </c>
      <c r="X77" s="15">
        <v>4.7249528642610006E-2</v>
      </c>
      <c r="Y77" s="15">
        <v>0.23417412881968236</v>
      </c>
      <c r="Z77" s="15">
        <v>-3.9179758872055791E-2</v>
      </c>
      <c r="AA77" s="15">
        <v>-5.8254053148005761E-2</v>
      </c>
      <c r="AB77" s="15">
        <v>3.1336212534621891E-2</v>
      </c>
      <c r="AC77" s="15">
        <v>-0.19745512918980004</v>
      </c>
      <c r="AD77" s="15">
        <v>0.24635947849663031</v>
      </c>
      <c r="AE77" s="15">
        <v>4.1839588137329832E-2</v>
      </c>
      <c r="AF77" s="15">
        <v>-2.7499375510328387E-2</v>
      </c>
    </row>
    <row r="78" spans="3:32" x14ac:dyDescent="0.25">
      <c r="C78" s="15">
        <v>0.13763132381582316</v>
      </c>
      <c r="D78" s="15">
        <v>-9.5194023903252857E-3</v>
      </c>
      <c r="E78" s="15">
        <v>9.5989905154188662E-2</v>
      </c>
      <c r="F78" s="15">
        <v>0.11068439105031835</v>
      </c>
      <c r="G78" s="15">
        <v>5.3417117637239109E-2</v>
      </c>
      <c r="H78" s="15">
        <v>0.2634070382684659</v>
      </c>
      <c r="I78" s="15">
        <v>-0.10703213528842359</v>
      </c>
      <c r="J78" s="15">
        <v>3.6618591750796681E-2</v>
      </c>
      <c r="K78" s="15">
        <v>-0.29142885909620631</v>
      </c>
      <c r="L78" s="15">
        <v>0.21986526275826868</v>
      </c>
      <c r="M78" s="15">
        <v>0.11066461199181504</v>
      </c>
      <c r="N78" s="15">
        <v>-0.38240525859758012</v>
      </c>
      <c r="O78" s="15">
        <v>0.1510893060411635</v>
      </c>
      <c r="P78" s="15">
        <v>-3.0775070250379163E-2</v>
      </c>
      <c r="Q78" s="15">
        <v>0.37863979184717245</v>
      </c>
      <c r="R78" s="15">
        <v>3.3340896311690134E-2</v>
      </c>
      <c r="S78" s="15">
        <v>0.23478006702310084</v>
      </c>
      <c r="T78" s="15">
        <v>9.7962718201886179E-2</v>
      </c>
      <c r="U78" s="15">
        <v>-7.5466496491432333E-2</v>
      </c>
      <c r="V78" s="15">
        <v>4.7957402823279996E-2</v>
      </c>
      <c r="W78" s="15">
        <v>-5.8704938459780143E-2</v>
      </c>
      <c r="X78" s="15">
        <v>7.8355249934092708E-2</v>
      </c>
      <c r="Y78" s="15">
        <v>0.21277327475163377</v>
      </c>
      <c r="Z78" s="15">
        <v>-3.8720336514462043E-2</v>
      </c>
      <c r="AA78" s="15">
        <v>-5.5889575981692988E-2</v>
      </c>
      <c r="AB78" s="15">
        <v>3.1334946288797766E-2</v>
      </c>
      <c r="AC78" s="15">
        <v>-0.19705295682821611</v>
      </c>
      <c r="AD78" s="15">
        <v>0.2555387268096827</v>
      </c>
      <c r="AE78" s="15">
        <v>4.1869727855527325E-2</v>
      </c>
      <c r="AF78" s="15">
        <v>-2.7499295094213581E-2</v>
      </c>
    </row>
    <row r="79" spans="3:32" x14ac:dyDescent="0.25">
      <c r="C79" s="15">
        <v>0.15784822447905028</v>
      </c>
      <c r="D79" s="15">
        <v>-1.0001856282739389E-2</v>
      </c>
      <c r="E79" s="15">
        <v>9.5994181356501077E-2</v>
      </c>
      <c r="F79" s="15">
        <v>0.12197364742309791</v>
      </c>
      <c r="G79" s="15">
        <v>4.8113982348955364E-2</v>
      </c>
      <c r="H79" s="15">
        <v>0.17052850704380973</v>
      </c>
      <c r="I79" s="15">
        <v>-7.9020126130305013E-2</v>
      </c>
      <c r="J79" s="15">
        <v>3.6620219293286342E-2</v>
      </c>
      <c r="K79" s="15">
        <v>-0.29143829098168772</v>
      </c>
      <c r="L79" s="15">
        <v>0.19714678186572587</v>
      </c>
      <c r="M79" s="15">
        <v>8.6826408169089708E-2</v>
      </c>
      <c r="N79" s="15">
        <v>-0.36031271938510123</v>
      </c>
      <c r="O79" s="15">
        <v>0.16295540915231216</v>
      </c>
      <c r="P79" s="15">
        <v>-3.0776438751557736E-2</v>
      </c>
      <c r="Q79" s="15">
        <v>0.36733055962178618</v>
      </c>
      <c r="R79" s="15">
        <v>3.333955161863577E-2</v>
      </c>
      <c r="S79" s="15">
        <v>0.25137983165611488</v>
      </c>
      <c r="T79" s="15">
        <v>9.8739208210551585E-2</v>
      </c>
      <c r="U79" s="15">
        <v>-9.250417513925635E-2</v>
      </c>
      <c r="V79" s="15">
        <v>4.7959424709121054E-2</v>
      </c>
      <c r="W79" s="15">
        <v>-5.8707703198726938E-2</v>
      </c>
      <c r="X79" s="15">
        <v>0.10312760458888226</v>
      </c>
      <c r="Y79" s="15">
        <v>0.23433376927322458</v>
      </c>
      <c r="Z79" s="15">
        <v>-3.8319389376100986E-2</v>
      </c>
      <c r="AA79" s="15">
        <v>-5.2617529781999614E-2</v>
      </c>
      <c r="AB79" s="15">
        <v>3.1336244601535709E-2</v>
      </c>
      <c r="AC79" s="15">
        <v>-0.19348504489805796</v>
      </c>
      <c r="AD79" s="15">
        <v>0.1924081597381968</v>
      </c>
      <c r="AE79" s="15">
        <v>4.1868224090453224E-2</v>
      </c>
      <c r="AF79" s="15">
        <v>-2.7501436232849698E-2</v>
      </c>
    </row>
    <row r="80" spans="3:32" x14ac:dyDescent="0.25">
      <c r="C80" s="15">
        <v>0.15123487837622029</v>
      </c>
      <c r="D80" s="15">
        <v>-9.9887640550291642E-3</v>
      </c>
      <c r="E80" s="15">
        <v>9.5998451394811557E-2</v>
      </c>
      <c r="F80" s="15">
        <v>0.12511707505270753</v>
      </c>
      <c r="G80" s="15">
        <v>2.95964025887272E-2</v>
      </c>
      <c r="H80" s="15">
        <v>0.18802915180049096</v>
      </c>
      <c r="I80" s="15">
        <v>-4.9480601449393424E-2</v>
      </c>
      <c r="J80" s="15">
        <v>3.6621846894299606E-2</v>
      </c>
      <c r="K80" s="15">
        <v>-0.29146012994549653</v>
      </c>
      <c r="L80" s="15">
        <v>0.19392204146245018</v>
      </c>
      <c r="M80" s="15">
        <v>4.1289142427685999E-2</v>
      </c>
      <c r="N80" s="15">
        <v>-0.37803380365368522</v>
      </c>
      <c r="O80" s="15">
        <v>0.10218118565840913</v>
      </c>
      <c r="P80" s="15">
        <v>-3.0777809626361993E-2</v>
      </c>
      <c r="Q80" s="15">
        <v>0.368137916009462</v>
      </c>
      <c r="R80" s="15">
        <v>3.3340247148577418E-2</v>
      </c>
      <c r="S80" s="15">
        <v>0.28366700450793503</v>
      </c>
      <c r="T80" s="15">
        <v>9.8326708510435901E-2</v>
      </c>
      <c r="U80" s="15">
        <v>-7.5075135948445726E-2</v>
      </c>
      <c r="V80" s="15">
        <v>4.7961494272367358E-2</v>
      </c>
      <c r="W80" s="15">
        <v>-5.8710312414761968E-2</v>
      </c>
      <c r="X80" s="15">
        <v>0.13695910614426987</v>
      </c>
      <c r="Y80" s="15">
        <v>0.17454894769394436</v>
      </c>
      <c r="Z80" s="15">
        <v>-3.8411148343720419E-2</v>
      </c>
      <c r="AA80" s="15">
        <v>-4.5287334379167661E-2</v>
      </c>
      <c r="AB80" s="15">
        <v>3.1337614837268303E-2</v>
      </c>
      <c r="AC80" s="15">
        <v>-0.19385848946629891</v>
      </c>
      <c r="AD80" s="15">
        <v>0.17896689588590542</v>
      </c>
      <c r="AE80" s="15">
        <v>4.1927709672119964E-2</v>
      </c>
      <c r="AF80" s="15">
        <v>-2.7502318055977342E-2</v>
      </c>
    </row>
    <row r="81" spans="3:32" x14ac:dyDescent="0.25">
      <c r="C81" s="15">
        <v>-1.1500843696015783E-2</v>
      </c>
      <c r="D81" s="15">
        <v>-9.971274989494041E-3</v>
      </c>
      <c r="E81" s="15">
        <v>9.6002717218578698E-2</v>
      </c>
      <c r="F81" s="15">
        <v>0.13258331630413434</v>
      </c>
      <c r="G81" s="15">
        <v>4.3085247621246436E-2</v>
      </c>
      <c r="H81" s="15">
        <v>0.19931622715266661</v>
      </c>
      <c r="I81" s="15">
        <v>-1.9092703123661292E-2</v>
      </c>
      <c r="J81" s="15">
        <v>3.6623474568361992E-2</v>
      </c>
      <c r="K81" s="15">
        <v>-0.29146359132201671</v>
      </c>
      <c r="L81" s="15">
        <v>0.22344740836965937</v>
      </c>
      <c r="M81" s="15">
        <v>1.2790540957625274E-2</v>
      </c>
      <c r="N81" s="15">
        <v>-0.36432159447211943</v>
      </c>
      <c r="O81" s="15">
        <v>0.10415686792750586</v>
      </c>
      <c r="P81" s="15">
        <v>-3.0779179913590745E-2</v>
      </c>
      <c r="Q81" s="15">
        <v>0.37072236246193668</v>
      </c>
      <c r="R81" s="15">
        <v>3.334213745559738E-2</v>
      </c>
      <c r="S81" s="15">
        <v>0.31131391015490495</v>
      </c>
      <c r="T81" s="15">
        <v>9.7796577116388589E-2</v>
      </c>
      <c r="U81" s="15">
        <v>-4.704150048577449E-2</v>
      </c>
      <c r="V81" s="15">
        <v>4.7963635031859679E-2</v>
      </c>
      <c r="W81" s="15">
        <v>-5.871292234159417E-2</v>
      </c>
      <c r="X81" s="15">
        <v>0.1698375700647623</v>
      </c>
      <c r="Y81" s="15">
        <v>0.16753334698789235</v>
      </c>
      <c r="Z81" s="15">
        <v>-3.8272280077494746E-2</v>
      </c>
      <c r="AA81" s="15">
        <v>-3.8131868812283136E-2</v>
      </c>
      <c r="AB81" s="15">
        <v>3.1339046355993785E-2</v>
      </c>
      <c r="AC81" s="15">
        <v>-0.19228947310116609</v>
      </c>
      <c r="AD81" s="15">
        <v>0.16582259522765819</v>
      </c>
      <c r="AE81" s="15">
        <v>4.1896936534243777E-2</v>
      </c>
      <c r="AF81" s="15">
        <v>-2.7503178119887478E-2</v>
      </c>
    </row>
    <row r="82" spans="3:32" x14ac:dyDescent="0.25">
      <c r="C82" s="15">
        <v>2.8423555081855456E-2</v>
      </c>
      <c r="D82" s="15">
        <v>-9.9956906243210079E-3</v>
      </c>
      <c r="E82" s="15">
        <v>9.6006984164218226E-2</v>
      </c>
      <c r="F82" s="15">
        <v>0.14007255241000038</v>
      </c>
      <c r="G82" s="15">
        <v>7.4192883891032624E-2</v>
      </c>
      <c r="H82" s="15">
        <v>0.22315885049295398</v>
      </c>
      <c r="I82" s="15">
        <v>-1.3178806882442551E-2</v>
      </c>
      <c r="J82" s="15">
        <v>3.6625102314373124E-2</v>
      </c>
      <c r="K82" s="15">
        <v>-0.29148130417752832</v>
      </c>
      <c r="L82" s="15">
        <v>0.2339671021482268</v>
      </c>
      <c r="M82" s="15">
        <v>4.8215096623229592E-2</v>
      </c>
      <c r="N82" s="15">
        <v>-0.35020904440821576</v>
      </c>
      <c r="O82" s="15">
        <v>0.11709567619034904</v>
      </c>
      <c r="P82" s="15">
        <v>-3.0780547115583878E-2</v>
      </c>
      <c r="Q82" s="15">
        <v>0.37485357293585864</v>
      </c>
      <c r="R82" s="15">
        <v>3.3343468691316651E-2</v>
      </c>
      <c r="S82" s="15">
        <v>0.34105609673247894</v>
      </c>
      <c r="T82" s="15">
        <v>9.7786708643887138E-2</v>
      </c>
      <c r="U82" s="15">
        <v>-4.0794678078929669E-2</v>
      </c>
      <c r="V82" s="15">
        <v>4.7965774032952338E-2</v>
      </c>
      <c r="W82" s="15">
        <v>-5.8715531602389667E-2</v>
      </c>
      <c r="X82" s="15">
        <v>0.18685789837605116</v>
      </c>
      <c r="Y82" s="15">
        <v>0.17081537070124408</v>
      </c>
      <c r="Z82" s="15">
        <v>-3.8241325660984211E-2</v>
      </c>
      <c r="AA82" s="15">
        <v>-6.3177061905024506E-2</v>
      </c>
      <c r="AB82" s="15">
        <v>3.134043548631904E-2</v>
      </c>
      <c r="AC82" s="15">
        <v>-0.19370626596210599</v>
      </c>
      <c r="AD82" s="15">
        <v>0.20134718942808782</v>
      </c>
      <c r="AE82" s="15">
        <v>4.190448970830913E-2</v>
      </c>
      <c r="AF82" s="15">
        <v>-2.7504371339104994E-2</v>
      </c>
    </row>
    <row r="83" spans="3:32" x14ac:dyDescent="0.25">
      <c r="C83" s="15">
        <v>-5.4815891479629286E-2</v>
      </c>
      <c r="D83" s="15">
        <v>-9.9951795785026155E-3</v>
      </c>
      <c r="E83" s="15">
        <v>9.6011250632084794E-2</v>
      </c>
      <c r="F83" s="15">
        <v>0.14507356739218125</v>
      </c>
      <c r="G83" s="15">
        <v>0.11215641268381416</v>
      </c>
      <c r="H83" s="15">
        <v>0.17570130428153863</v>
      </c>
      <c r="I83" s="15">
        <v>-1.9200136515909696E-2</v>
      </c>
      <c r="J83" s="15">
        <v>3.6626730132877712E-2</v>
      </c>
      <c r="K83" s="15">
        <v>-0.29149375542077977</v>
      </c>
      <c r="L83" s="15">
        <v>0.27116253659610839</v>
      </c>
      <c r="M83" s="15">
        <v>8.3368812275511517E-2</v>
      </c>
      <c r="N83" s="15">
        <v>-0.33606912868593497</v>
      </c>
      <c r="O83" s="15">
        <v>6.0345891035347321E-2</v>
      </c>
      <c r="P83" s="15">
        <v>-3.0781914951791819E-2</v>
      </c>
      <c r="Q83" s="15">
        <v>0.37860087064825176</v>
      </c>
      <c r="R83" s="15">
        <v>3.3344960648400514E-2</v>
      </c>
      <c r="S83" s="15">
        <v>0.36015880331081873</v>
      </c>
      <c r="T83" s="15">
        <v>9.7788595395197048E-2</v>
      </c>
      <c r="U83" s="15">
        <v>-6.3684944378923358E-3</v>
      </c>
      <c r="V83" s="15">
        <v>4.7967903531464899E-2</v>
      </c>
      <c r="W83" s="15">
        <v>-5.8718141091597127E-2</v>
      </c>
      <c r="X83" s="15">
        <v>0.21331778155978931</v>
      </c>
      <c r="Y83" s="15">
        <v>0.14296738234092654</v>
      </c>
      <c r="Z83" s="15">
        <v>-3.8205601974750043E-2</v>
      </c>
      <c r="AA83" s="15">
        <v>-6.3290711482555218E-2</v>
      </c>
      <c r="AB83" s="15">
        <v>3.1341821810044752E-2</v>
      </c>
      <c r="AC83" s="15">
        <v>-0.19411720663807019</v>
      </c>
      <c r="AD83" s="15">
        <v>0.22025976487381538</v>
      </c>
      <c r="AE83" s="15">
        <v>4.1910129360901667E-2</v>
      </c>
      <c r="AF83" s="15">
        <v>-2.7505608085400021E-2</v>
      </c>
    </row>
    <row r="84" spans="3:32" x14ac:dyDescent="0.25">
      <c r="C84" s="15">
        <v>-2.6042594315354606E-2</v>
      </c>
      <c r="D84" s="15">
        <v>-9.9965049180488798E-3</v>
      </c>
      <c r="E84" s="15">
        <v>9.601551614626852E-2</v>
      </c>
      <c r="F84" s="15">
        <v>0.14160898448370229</v>
      </c>
      <c r="G84" s="15">
        <v>0.14757662922345149</v>
      </c>
      <c r="H84" s="15">
        <v>0.21584765514112025</v>
      </c>
      <c r="I84" s="15">
        <v>-1.4013658784732527E-2</v>
      </c>
      <c r="J84" s="15">
        <v>3.6628358023723558E-2</v>
      </c>
      <c r="K84" s="15">
        <v>-0.29150671533165162</v>
      </c>
      <c r="L84" s="15">
        <v>0.30053162117950549</v>
      </c>
      <c r="M84" s="15">
        <v>6.3716760483936055E-2</v>
      </c>
      <c r="N84" s="15">
        <v>-0.32371807325730861</v>
      </c>
      <c r="O84" s="15">
        <v>8.2016505925584321E-2</v>
      </c>
      <c r="P84" s="15">
        <v>-3.078328299778876E-2</v>
      </c>
      <c r="Q84" s="15">
        <v>0.38058658232002163</v>
      </c>
      <c r="R84" s="15">
        <v>3.3346451666948787E-2</v>
      </c>
      <c r="S84" s="15">
        <v>0.40047771928977638</v>
      </c>
      <c r="T84" s="15">
        <v>9.7792941726956947E-2</v>
      </c>
      <c r="U84" s="15">
        <v>3.7917553536993109E-2</v>
      </c>
      <c r="V84" s="15">
        <v>4.7970035605352887E-2</v>
      </c>
      <c r="W84" s="15">
        <v>-5.8720750675949306E-2</v>
      </c>
      <c r="X84" s="15">
        <v>0.24175201481599151</v>
      </c>
      <c r="Y84" s="15">
        <v>0.14599568627514348</v>
      </c>
      <c r="Z84" s="15">
        <v>-3.8238627298463383E-2</v>
      </c>
      <c r="AA84" s="15">
        <v>-6.2720285493900921E-2</v>
      </c>
      <c r="AB84" s="15">
        <v>3.1343214932488914E-2</v>
      </c>
      <c r="AC84" s="15">
        <v>-0.19408473147479802</v>
      </c>
      <c r="AD84" s="15">
        <v>0.23711589962260482</v>
      </c>
      <c r="AE84" s="15">
        <v>4.1907544074140858E-2</v>
      </c>
      <c r="AF84" s="15">
        <v>-2.7506829899679851E-2</v>
      </c>
    </row>
    <row r="85" spans="3:32" x14ac:dyDescent="0.25">
      <c r="C85" s="15">
        <v>-1.6588785709120923E-2</v>
      </c>
      <c r="D85" s="15">
        <v>-9.9969480577356239E-3</v>
      </c>
      <c r="E85" s="15">
        <v>9.6019783593658106E-2</v>
      </c>
      <c r="F85" s="15">
        <v>0.14270229055467709</v>
      </c>
      <c r="G85" s="15">
        <v>9.6942963932652004E-2</v>
      </c>
      <c r="H85" s="15">
        <v>0.20294684374001248</v>
      </c>
      <c r="I85" s="15">
        <v>4.3513051741466413E-3</v>
      </c>
      <c r="J85" s="15">
        <v>3.662998598692354E-2</v>
      </c>
      <c r="K85" s="15">
        <v>-0.29151967786738536</v>
      </c>
      <c r="L85" s="15">
        <v>0.31602342255790139</v>
      </c>
      <c r="M85" s="15">
        <v>8.9304703675748179E-2</v>
      </c>
      <c r="N85" s="15">
        <v>-0.3181117560026383</v>
      </c>
      <c r="O85" s="15">
        <v>0.10722498460559551</v>
      </c>
      <c r="P85" s="15">
        <v>-3.0784651100563668E-2</v>
      </c>
      <c r="Q85" s="15">
        <v>0.37891862924868658</v>
      </c>
      <c r="R85" s="15">
        <v>3.3347925132194263E-2</v>
      </c>
      <c r="S85" s="15">
        <v>0.43575749944117637</v>
      </c>
      <c r="T85" s="15">
        <v>9.7797288222409504E-2</v>
      </c>
      <c r="U85" s="15">
        <v>7.9213981438448378E-2</v>
      </c>
      <c r="V85" s="15">
        <v>4.7972167647983698E-2</v>
      </c>
      <c r="W85" s="15">
        <v>-5.8723360509079461E-2</v>
      </c>
      <c r="X85" s="15">
        <v>0.26697939684779115</v>
      </c>
      <c r="Y85" s="15">
        <v>0.14674946962585</v>
      </c>
      <c r="Z85" s="15">
        <v>-3.8237099119638983E-2</v>
      </c>
      <c r="AA85" s="15">
        <v>-6.2318184172653703E-2</v>
      </c>
      <c r="AB85" s="15">
        <v>3.1344607940550738E-2</v>
      </c>
      <c r="AC85" s="15">
        <v>-0.19403474178425592</v>
      </c>
      <c r="AD85" s="15">
        <v>0.27732754289354844</v>
      </c>
      <c r="AE85" s="15">
        <v>4.1909431329678226E-2</v>
      </c>
      <c r="AF85" s="15">
        <v>-2.7508052481854804E-2</v>
      </c>
    </row>
    <row r="86" spans="3:32" x14ac:dyDescent="0.25">
      <c r="C86" s="15">
        <v>-5.1105305853432981E-2</v>
      </c>
      <c r="D86" s="15">
        <v>-9.9973921783598606E-3</v>
      </c>
      <c r="E86" s="15">
        <v>9.6024051234434318E-2</v>
      </c>
      <c r="F86" s="15">
        <v>0.14135737408499338</v>
      </c>
      <c r="G86" s="15">
        <v>0.14584644782408629</v>
      </c>
      <c r="H86" s="15">
        <v>0.22320709078039852</v>
      </c>
      <c r="I86" s="15">
        <v>1.8620400153925451E-2</v>
      </c>
      <c r="J86" s="15">
        <v>3.6631614022479032E-2</v>
      </c>
      <c r="K86" s="15">
        <v>-0.29153263429365633</v>
      </c>
      <c r="L86" s="15">
        <v>0.32840298989283867</v>
      </c>
      <c r="M86" s="15">
        <v>0.10505593094605757</v>
      </c>
      <c r="N86" s="15">
        <v>-0.34499390534404739</v>
      </c>
      <c r="O86" s="15">
        <v>9.3852926618352428E-2</v>
      </c>
      <c r="P86" s="15">
        <v>-3.0786019364601694E-2</v>
      </c>
      <c r="Q86" s="15">
        <v>0.37925143026210417</v>
      </c>
      <c r="R86" s="15">
        <v>3.3349457747303121E-2</v>
      </c>
      <c r="S86" s="15">
        <v>0.47878139947851572</v>
      </c>
      <c r="T86" s="15">
        <v>9.7801634868939322E-2</v>
      </c>
      <c r="U86" s="15">
        <v>-9.5239195189431219E-2</v>
      </c>
      <c r="V86" s="15">
        <v>4.7974299791682044E-2</v>
      </c>
      <c r="W86" s="15">
        <v>-5.8725970495995004E-2</v>
      </c>
      <c r="X86" s="15">
        <v>0.2356239758347709</v>
      </c>
      <c r="Y86" s="15">
        <v>0.1477529258124779</v>
      </c>
      <c r="Z86" s="15">
        <v>-3.8249214390666184E-2</v>
      </c>
      <c r="AA86" s="15">
        <v>-6.3985899344135261E-2</v>
      </c>
      <c r="AB86" s="15">
        <v>3.1346001069154979E-2</v>
      </c>
      <c r="AC86" s="15">
        <v>-0.19395863690998055</v>
      </c>
      <c r="AD86" s="15">
        <v>0.31749867000864018</v>
      </c>
      <c r="AE86" s="15">
        <v>4.1911319461586508E-2</v>
      </c>
      <c r="AF86" s="15">
        <v>-2.7509275088544609E-2</v>
      </c>
    </row>
    <row r="87" spans="3:32" x14ac:dyDescent="0.25">
      <c r="C87" s="15">
        <v>-5.2831295836362813E-2</v>
      </c>
      <c r="D87" s="15">
        <v>-9.9978364892593877E-3</v>
      </c>
      <c r="E87" s="15">
        <v>9.6028319064885084E-2</v>
      </c>
      <c r="F87" s="15">
        <v>0.14826509691522016</v>
      </c>
      <c r="G87" s="15">
        <v>0.19506080171103535</v>
      </c>
      <c r="H87" s="15">
        <v>0.23165835012719754</v>
      </c>
      <c r="I87" s="15">
        <v>1.7667449455101777E-2</v>
      </c>
      <c r="J87" s="15">
        <v>3.6633242130393269E-2</v>
      </c>
      <c r="K87" s="15">
        <v>-0.29154559154784065</v>
      </c>
      <c r="L87" s="15">
        <v>0.13632959891002416</v>
      </c>
      <c r="M87" s="15">
        <v>0.12071532111124172</v>
      </c>
      <c r="N87" s="15">
        <v>-0.34729256099914618</v>
      </c>
      <c r="O87" s="15">
        <v>0.11430977872657855</v>
      </c>
      <c r="P87" s="15">
        <v>-3.0787387662537004E-2</v>
      </c>
      <c r="Q87" s="15">
        <v>0.37899017373020616</v>
      </c>
      <c r="R87" s="15">
        <v>3.3350947722589307E-2</v>
      </c>
      <c r="S87" s="15">
        <v>0.48499539852682561</v>
      </c>
      <c r="T87" s="15">
        <v>9.7805981705053516E-2</v>
      </c>
      <c r="U87" s="15">
        <v>-7.3138617530850381E-2</v>
      </c>
      <c r="V87" s="15">
        <v>4.7976432030167444E-2</v>
      </c>
      <c r="W87" s="15">
        <v>-5.8728580597114152E-2</v>
      </c>
      <c r="X87" s="15">
        <v>0.28516738780087869</v>
      </c>
      <c r="Y87" s="15">
        <v>0.14659668611515286</v>
      </c>
      <c r="Z87" s="15">
        <v>-3.8237513654646671E-2</v>
      </c>
      <c r="AA87" s="15">
        <v>-6.3968991505261058E-2</v>
      </c>
      <c r="AB87" s="15">
        <v>3.1347394255297291E-2</v>
      </c>
      <c r="AC87" s="15">
        <v>-0.19398810700716929</v>
      </c>
      <c r="AD87" s="15">
        <v>0.18537156807496258</v>
      </c>
      <c r="AE87" s="15">
        <v>4.1913190337852922E-2</v>
      </c>
      <c r="AF87" s="15">
        <v>-2.7510497750183698E-2</v>
      </c>
    </row>
    <row r="88" spans="3:32" x14ac:dyDescent="0.25">
      <c r="C88" s="15">
        <v>-5.3006488313778632E-2</v>
      </c>
      <c r="D88" s="15">
        <v>-9.9982808492442357E-3</v>
      </c>
      <c r="E88" s="15">
        <v>9.6032587085021048E-2</v>
      </c>
      <c r="F88" s="15">
        <v>0.15707839362203257</v>
      </c>
      <c r="G88" s="15">
        <v>-1.9370905081536119E-2</v>
      </c>
      <c r="H88" s="15">
        <v>0.27446550661572877</v>
      </c>
      <c r="I88" s="15">
        <v>1.6688298032250328E-2</v>
      </c>
      <c r="J88" s="15">
        <v>3.6634870310669469E-2</v>
      </c>
      <c r="K88" s="15">
        <v>-0.29155854941738124</v>
      </c>
      <c r="L88" s="15">
        <v>6.5903063775031856E-2</v>
      </c>
      <c r="M88" s="15">
        <v>0.12114466985277962</v>
      </c>
      <c r="N88" s="15">
        <v>-0.34535109102761474</v>
      </c>
      <c r="O88" s="15">
        <v>1.419636864331893E-2</v>
      </c>
      <c r="P88" s="15">
        <v>-3.0788756021285307E-2</v>
      </c>
      <c r="Q88" s="15">
        <v>0.37901281095298511</v>
      </c>
      <c r="R88" s="15">
        <v>3.3352154298540874E-2</v>
      </c>
      <c r="S88" s="15">
        <v>0.51942396659730616</v>
      </c>
      <c r="T88" s="15">
        <v>9.7810328734178428E-2</v>
      </c>
      <c r="U88" s="15">
        <v>-6.9762697162191828E-2</v>
      </c>
      <c r="V88" s="15">
        <v>4.7978564363420267E-2</v>
      </c>
      <c r="W88" s="15">
        <v>-5.8731190814255325E-2</v>
      </c>
      <c r="X88" s="15">
        <v>0.33724598556370311</v>
      </c>
      <c r="Y88" s="15">
        <v>0.14662508430529453</v>
      </c>
      <c r="Z88" s="15">
        <v>-3.8185772663657837E-2</v>
      </c>
      <c r="AA88" s="15">
        <v>-6.3963156184405526E-2</v>
      </c>
      <c r="AB88" s="15">
        <v>3.1348787503782199E-2</v>
      </c>
      <c r="AC88" s="15">
        <v>-0.19399706411588269</v>
      </c>
      <c r="AD88" s="15">
        <v>0.1999405026870873</v>
      </c>
      <c r="AE88" s="15">
        <v>4.1915052003603896E-2</v>
      </c>
      <c r="AF88" s="15">
        <v>-2.751172046614386E-2</v>
      </c>
    </row>
    <row r="89" spans="3:32" x14ac:dyDescent="0.25">
      <c r="C89" s="15">
        <v>-5.2894223943078522E-2</v>
      </c>
      <c r="D89" s="15">
        <v>-9.9987252271570466E-3</v>
      </c>
      <c r="E89" s="15">
        <v>9.6036855294851009E-2</v>
      </c>
      <c r="F89" s="15">
        <v>0.16378649059973149</v>
      </c>
      <c r="G89" s="15">
        <v>1.1079808157402032E-2</v>
      </c>
      <c r="H89" s="15">
        <v>0.33829780790658792</v>
      </c>
      <c r="I89" s="15">
        <v>1.6237127370228539E-2</v>
      </c>
      <c r="J89" s="15">
        <v>3.6636498563310846E-2</v>
      </c>
      <c r="K89" s="15">
        <v>-0.29157150786310398</v>
      </c>
      <c r="L89" s="15">
        <v>0.13543700523452251</v>
      </c>
      <c r="M89" s="15">
        <v>0.14591461763174496</v>
      </c>
      <c r="N89" s="15">
        <v>-0.34622883972516849</v>
      </c>
      <c r="O89" s="15">
        <v>1.9187316318075451E-2</v>
      </c>
      <c r="P89" s="15">
        <v>-3.0790124440850906E-2</v>
      </c>
      <c r="Q89" s="15">
        <v>0.37903003252721046</v>
      </c>
      <c r="R89" s="15">
        <v>3.3353636662496425E-2</v>
      </c>
      <c r="S89" s="15">
        <v>0.5002767699039028</v>
      </c>
      <c r="T89" s="15">
        <v>9.7814675956504213E-2</v>
      </c>
      <c r="U89" s="15">
        <v>-7.6511225311770473E-2</v>
      </c>
      <c r="V89" s="15">
        <v>4.7980696791445579E-2</v>
      </c>
      <c r="W89" s="15">
        <v>-5.8733801147409621E-2</v>
      </c>
      <c r="X89" s="15">
        <v>0.38771796983710438</v>
      </c>
      <c r="Y89" s="15">
        <v>0.14662670888028018</v>
      </c>
      <c r="Z89" s="15">
        <v>-3.816188037741023E-2</v>
      </c>
      <c r="AA89" s="15">
        <v>-6.3959503976746976E-2</v>
      </c>
      <c r="AB89" s="15">
        <v>3.135018081418902E-2</v>
      </c>
      <c r="AC89" s="15">
        <v>-0.19400575525360844</v>
      </c>
      <c r="AD89" s="15">
        <v>0.16079228710464322</v>
      </c>
      <c r="AE89" s="15">
        <v>4.1916914936213641E-2</v>
      </c>
      <c r="AF89" s="15">
        <v>-2.7512943236448158E-2</v>
      </c>
    </row>
    <row r="90" spans="3:32" x14ac:dyDescent="0.25">
      <c r="C90" s="15">
        <v>-5.2856172596316142E-2</v>
      </c>
      <c r="D90" s="15">
        <v>-9.9991696248203504E-3</v>
      </c>
      <c r="E90" s="15">
        <v>9.604112369438339E-2</v>
      </c>
      <c r="F90" s="15">
        <v>0.16157287769734729</v>
      </c>
      <c r="G90" s="15">
        <v>6.7939450471201215E-2</v>
      </c>
      <c r="H90" s="15">
        <v>0.33862632149236033</v>
      </c>
      <c r="I90" s="15">
        <v>1.4813805960141178E-2</v>
      </c>
      <c r="J90" s="15">
        <v>3.6638126888320612E-2</v>
      </c>
      <c r="K90" s="15">
        <v>-0.29158446688476292</v>
      </c>
      <c r="L90" s="15">
        <v>0.13897903686601532</v>
      </c>
      <c r="M90" s="15">
        <v>0.16491629425955009</v>
      </c>
      <c r="N90" s="15">
        <v>-0.34620384318406217</v>
      </c>
      <c r="O90" s="15">
        <v>2.2727533106719482E-2</v>
      </c>
      <c r="P90" s="15">
        <v>-3.0791492921236504E-2</v>
      </c>
      <c r="Q90" s="15">
        <v>0.37904686822408262</v>
      </c>
      <c r="R90" s="15">
        <v>3.3355119086794671E-2</v>
      </c>
      <c r="S90" s="15">
        <v>0.49596511599448956</v>
      </c>
      <c r="T90" s="15">
        <v>9.7819023372044123E-2</v>
      </c>
      <c r="U90" s="15">
        <v>-8.3960042209972399E-2</v>
      </c>
      <c r="V90" s="15">
        <v>4.7982829314247577E-2</v>
      </c>
      <c r="W90" s="15">
        <v>-5.873641159658128E-2</v>
      </c>
      <c r="X90" s="15">
        <v>0.29990515095192904</v>
      </c>
      <c r="Y90" s="15">
        <v>0.14663374996788736</v>
      </c>
      <c r="Z90" s="15">
        <v>-3.8162502948488559E-2</v>
      </c>
      <c r="AA90" s="15">
        <v>-6.3961453524213618E-2</v>
      </c>
      <c r="AB90" s="15">
        <v>3.1351574186522138E-2</v>
      </c>
      <c r="AC90" s="15">
        <v>-0.19401437792984783</v>
      </c>
      <c r="AD90" s="15">
        <v>0.12812137669104873</v>
      </c>
      <c r="AE90" s="15">
        <v>4.191877795161085E-2</v>
      </c>
      <c r="AF90" s="15">
        <v>-2.7514166061099011E-2</v>
      </c>
    </row>
    <row r="91" spans="3:32" x14ac:dyDescent="0.25">
      <c r="C91" s="15">
        <v>-5.2846691903993825E-2</v>
      </c>
      <c r="D91" s="15">
        <v>-9.9996140422350995E-3</v>
      </c>
      <c r="E91" s="15">
        <v>9.6045392283626643E-2</v>
      </c>
      <c r="F91" s="15">
        <v>0.16320004272475819</v>
      </c>
      <c r="G91" s="15">
        <v>2.5310720631478795E-2</v>
      </c>
      <c r="H91" s="15">
        <v>0.3323320602802452</v>
      </c>
      <c r="I91" s="15">
        <v>-1.2660708189866912E-2</v>
      </c>
      <c r="J91" s="15">
        <v>3.6639755285701986E-2</v>
      </c>
      <c r="K91" s="15">
        <v>-0.29159742648239118</v>
      </c>
      <c r="L91" s="15">
        <v>0.16073479785834677</v>
      </c>
      <c r="M91" s="15">
        <v>0.14976163839368911</v>
      </c>
      <c r="N91" s="15">
        <v>-0.34612641754153861</v>
      </c>
      <c r="O91" s="15">
        <v>2.3717718497678245E-2</v>
      </c>
      <c r="P91" s="15">
        <v>-3.0792861462444802E-2</v>
      </c>
      <c r="Q91" s="15">
        <v>0.37906371512594017</v>
      </c>
      <c r="R91" s="15">
        <v>3.33566015694792E-2</v>
      </c>
      <c r="S91" s="15">
        <v>0.54165866363461834</v>
      </c>
      <c r="T91" s="15">
        <v>9.7823370980806804E-2</v>
      </c>
      <c r="U91" s="15">
        <v>-7.4035901499771628E-2</v>
      </c>
      <c r="V91" s="15">
        <v>4.7984961931830467E-2</v>
      </c>
      <c r="W91" s="15">
        <v>-5.8739022161775477E-2</v>
      </c>
      <c r="X91" s="15">
        <v>0.32332214861685049</v>
      </c>
      <c r="Y91" s="15">
        <v>0.1466405448522492</v>
      </c>
      <c r="Z91" s="15">
        <v>-3.816420267401751E-2</v>
      </c>
      <c r="AA91" s="15">
        <v>-6.3964303253135915E-2</v>
      </c>
      <c r="AB91" s="15">
        <v>3.1352967620784294E-2</v>
      </c>
      <c r="AC91" s="15">
        <v>-0.19402300098271111</v>
      </c>
      <c r="AD91" s="15">
        <v>0.11506282266143231</v>
      </c>
      <c r="AE91" s="15">
        <v>4.1920641049810574E-2</v>
      </c>
      <c r="AF91" s="15">
        <v>-2.7515388940098834E-2</v>
      </c>
    </row>
  </sheetData>
  <phoneticPr fontId="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Uncertainty">
                <anchor moveWithCells="1" sizeWithCells="1">
                  <from>
                    <xdr:col>0</xdr:col>
                    <xdr:colOff>0</xdr:colOff>
                    <xdr:row>1</xdr:row>
                    <xdr:rowOff>9525</xdr:rowOff>
                  </from>
                  <to>
                    <xdr:col>1</xdr:col>
                    <xdr:colOff>752475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E7682-B645-4A4A-8580-DFE54909DB26}">
  <sheetPr codeName="Feuil6"/>
  <dimension ref="A1:O92"/>
  <sheetViews>
    <sheetView showGridLines="0" zoomScale="46" zoomScaleNormal="40" workbookViewId="0">
      <selection activeCell="A11" sqref="A11:B11"/>
    </sheetView>
  </sheetViews>
  <sheetFormatPr baseColWidth="10" defaultRowHeight="15" x14ac:dyDescent="0.25"/>
  <cols>
    <col min="2" max="2" width="11.140625" bestFit="1" customWidth="1"/>
    <col min="4" max="5" width="11.28515625" bestFit="1" customWidth="1"/>
    <col min="6" max="6" width="17.140625" customWidth="1"/>
    <col min="7" max="8" width="18.42578125" bestFit="1" customWidth="1"/>
    <col min="9" max="12" width="19.42578125" bestFit="1" customWidth="1"/>
    <col min="13" max="13" width="11.140625" bestFit="1" customWidth="1"/>
    <col min="14" max="14" width="19.42578125" bestFit="1" customWidth="1"/>
    <col min="15" max="15" width="12.42578125" bestFit="1" customWidth="1"/>
  </cols>
  <sheetData>
    <row r="1" spans="1:15" ht="36.6" customHeight="1" x14ac:dyDescent="0.25">
      <c r="A1" s="64" t="s">
        <v>68</v>
      </c>
      <c r="B1" s="65"/>
      <c r="D1" s="19" t="s">
        <v>25</v>
      </c>
      <c r="E1" s="19" t="s">
        <v>0</v>
      </c>
      <c r="F1" s="19" t="s">
        <v>26</v>
      </c>
      <c r="G1" s="19" t="s">
        <v>8</v>
      </c>
      <c r="H1" s="19" t="s">
        <v>73</v>
      </c>
      <c r="I1" s="19" t="s">
        <v>71</v>
      </c>
      <c r="J1" s="19" t="s">
        <v>72</v>
      </c>
      <c r="K1" s="19" t="s">
        <v>7</v>
      </c>
      <c r="L1" s="19" t="s">
        <v>34</v>
      </c>
      <c r="M1" s="19" t="s">
        <v>36</v>
      </c>
      <c r="N1" s="19" t="s">
        <v>35</v>
      </c>
      <c r="O1" s="19" t="s">
        <v>37</v>
      </c>
    </row>
    <row r="2" spans="1:15" x14ac:dyDescent="0.25">
      <c r="A2" s="2" t="s">
        <v>0</v>
      </c>
      <c r="B2" s="2">
        <v>60.57</v>
      </c>
      <c r="D2" s="22">
        <f t="array" ref="D2:E91">BSPathCrash20($B$2, $B$8, $B$5, $B$6, $B$9,20)</f>
        <v>0</v>
      </c>
      <c r="E2" s="11">
        <v>60.57</v>
      </c>
      <c r="F2" s="11">
        <f>BSCall(E2,$B$3, $B$6 - D2,$B$8,$B$5) - BSPut(E2,$B$4, $B$7 - D2,$B$8, $B$5)</f>
        <v>0.53420437876534088</v>
      </c>
      <c r="G2" s="11">
        <f t="shared" ref="G2:G30" si="0">BSGreeksRR(E2,$B$3,$B$4,$B$6 - D2,$B$7 - D2,$B$8, $B$5,$G$1)</f>
        <v>2.8957864510743867E-2</v>
      </c>
      <c r="H2" s="11">
        <f t="shared" ref="H2:H33" si="1">BSGreeks(E2,$B$13,$B$14 - D2,$B$8, $B$5,$G$1)</f>
        <v>3.1178683841236805E-2</v>
      </c>
      <c r="I2" s="11">
        <f t="shared" ref="I2:I33" si="2">G2/H2</f>
        <v>0.92877122902937648</v>
      </c>
      <c r="J2" s="11">
        <f t="shared" ref="J2:J33" si="3">I2*BSCall(E2,$B$13,$B$14 - D2,$B$8,$B$5)</f>
        <v>0.75486614683378916</v>
      </c>
      <c r="K2" s="11">
        <f t="shared" ref="K2:K30" si="4">BSGreeksRR(E2,$B$3, $B$4, $B$6 - D2,$B$7 - D2,$B$8, $B$5,$K$1) - I2 *BSGreeks(E2,$B$13,$B$14 - D2,$B$8, $B$5,$K$1)</f>
        <v>2.7738648969239638E-2</v>
      </c>
      <c r="L2" s="11">
        <f t="shared" ref="L2:L33" si="5">K2 * E2</f>
        <v>1.6801299680668449</v>
      </c>
      <c r="M2" s="11">
        <f t="shared" ref="M2:M33" si="6">F2 - L2 - J2</f>
        <v>-1.9007917361352933</v>
      </c>
      <c r="N2" s="11">
        <f>BSCall(E2,$B$3, $B$6 - D2,$B$8,$B$5) - BSPut(E2,$B$4, $B$7 - D2,$B$8, $B$5)</f>
        <v>0.53420437876534088</v>
      </c>
      <c r="O2" s="20">
        <f t="shared" ref="O2:O33" si="7">F2 - N2</f>
        <v>0</v>
      </c>
    </row>
    <row r="3" spans="1:15" x14ac:dyDescent="0.25">
      <c r="A3" s="1" t="s">
        <v>1</v>
      </c>
      <c r="B3" s="1">
        <v>67</v>
      </c>
      <c r="D3" s="22">
        <v>2.7777777777777779E-3</v>
      </c>
      <c r="E3" s="11">
        <v>60.917732899681155</v>
      </c>
      <c r="F3" s="11">
        <f t="shared" ref="F3:F34" si="8">E3 * K2 + I2*BSCall(E3,$B$13,$B$14-D3,$B$8,$B$5) +  M2 * EXP($B$8*(D3 - D2))</f>
        <v>0.59872756756909995</v>
      </c>
      <c r="G3" s="11">
        <f t="shared" si="0"/>
        <v>3.4358491925611453E-2</v>
      </c>
      <c r="H3" s="11">
        <f t="shared" si="1"/>
        <v>3.2123504217589728E-2</v>
      </c>
      <c r="I3" s="11">
        <f t="shared" si="2"/>
        <v>1.069574841302585</v>
      </c>
      <c r="J3" s="11">
        <f t="shared" si="3"/>
        <v>0.93259977924006376</v>
      </c>
      <c r="K3" s="11">
        <f t="shared" si="4"/>
        <v>-1.2403082818575328E-3</v>
      </c>
      <c r="L3" s="11">
        <f t="shared" si="5"/>
        <v>-7.5556768627459636E-2</v>
      </c>
      <c r="M3" s="11">
        <f t="shared" si="6"/>
        <v>-0.25831544304350418</v>
      </c>
      <c r="N3" s="11">
        <f>BSCall(E3,$B$3, $B$6 - D3,$B$8,$B$5) - BSPut(E3,$B$4, $B$7 - D3,$B$8, $B$5)</f>
        <v>0.59794560064998115</v>
      </c>
      <c r="O3" s="20">
        <f t="shared" si="7"/>
        <v>7.8196691911880389E-4</v>
      </c>
    </row>
    <row r="4" spans="1:15" x14ac:dyDescent="0.25">
      <c r="A4" s="1" t="s">
        <v>2</v>
      </c>
      <c r="B4" s="1">
        <v>54</v>
      </c>
      <c r="D4" s="22">
        <v>5.5555555555555558E-3</v>
      </c>
      <c r="E4" s="11">
        <v>60.974302062755527</v>
      </c>
      <c r="F4" s="11">
        <f t="shared" si="8"/>
        <v>0.60285926869199402</v>
      </c>
      <c r="G4" s="11">
        <f t="shared" si="0"/>
        <v>3.5748544333462695E-2</v>
      </c>
      <c r="H4" s="11">
        <f t="shared" si="1"/>
        <v>3.2279848076880217E-2</v>
      </c>
      <c r="I4" s="11">
        <f t="shared" si="2"/>
        <v>1.1074570192623323</v>
      </c>
      <c r="J4" s="11">
        <f t="shared" si="3"/>
        <v>0.96999315093055349</v>
      </c>
      <c r="K4" s="11">
        <f t="shared" si="4"/>
        <v>-1.0643389794660729E-2</v>
      </c>
      <c r="L4" s="11">
        <f t="shared" si="5"/>
        <v>-0.64897326431129287</v>
      </c>
      <c r="M4" s="11">
        <f t="shared" si="6"/>
        <v>0.2818393820727334</v>
      </c>
      <c r="N4" s="11">
        <f>BSCall(E4,$B$3, $B$6 - D4,$B$8,$B$5) - BSPut(E4,$B$4, $B$7 - D4,$B$8, $B$5)</f>
        <v>0.60189712911873083</v>
      </c>
      <c r="O4" s="20">
        <f t="shared" si="7"/>
        <v>9.6213957326318766E-4</v>
      </c>
    </row>
    <row r="5" spans="1:15" x14ac:dyDescent="0.25">
      <c r="A5" s="1" t="s">
        <v>3</v>
      </c>
      <c r="B5" s="1">
        <v>0.2</v>
      </c>
      <c r="D5" s="22">
        <v>8.3333333333333332E-3</v>
      </c>
      <c r="E5" s="11">
        <v>61.105982719769109</v>
      </c>
      <c r="F5" s="11">
        <f t="shared" si="8"/>
        <v>0.62234894965320942</v>
      </c>
      <c r="G5" s="11">
        <f t="shared" si="0"/>
        <v>3.8005188871049873E-2</v>
      </c>
      <c r="H5" s="11">
        <f t="shared" si="1"/>
        <v>3.2639015656133516E-2</v>
      </c>
      <c r="I5" s="11">
        <f t="shared" si="2"/>
        <v>1.1644097748366975</v>
      </c>
      <c r="J5" s="11">
        <f t="shared" si="3"/>
        <v>1.0418290091879172</v>
      </c>
      <c r="K5" s="11">
        <f t="shared" si="4"/>
        <v>-2.3773659368175409E-2</v>
      </c>
      <c r="L5" s="11">
        <f t="shared" si="5"/>
        <v>-1.4527128185374036</v>
      </c>
      <c r="M5" s="11">
        <f t="shared" si="6"/>
        <v>1.033232759002696</v>
      </c>
      <c r="N5" s="11">
        <f>BSCall(E5,$B$3, $B$6 - D5,$B$8,$B$5) - BSPut(E5,$B$4, $B$7 - D5,$B$8, $B$5)</f>
        <v>0.62107518472999057</v>
      </c>
      <c r="O5" s="20">
        <f t="shared" si="7"/>
        <v>1.2737649232188453E-3</v>
      </c>
    </row>
    <row r="6" spans="1:15" x14ac:dyDescent="0.25">
      <c r="A6" s="1" t="s">
        <v>4</v>
      </c>
      <c r="B6" s="1">
        <v>0.25</v>
      </c>
      <c r="D6" s="22">
        <v>1.1111111111111112E-2</v>
      </c>
      <c r="E6" s="11">
        <v>60.751432306286873</v>
      </c>
      <c r="F6" s="11">
        <f t="shared" si="8"/>
        <v>0.54264104095345045</v>
      </c>
      <c r="G6" s="11">
        <f t="shared" si="0"/>
        <v>3.4322036255443528E-2</v>
      </c>
      <c r="H6" s="11">
        <f t="shared" si="1"/>
        <v>3.1673305316136123E-2</v>
      </c>
      <c r="I6" s="11">
        <f t="shared" si="2"/>
        <v>1.0836266033137374</v>
      </c>
      <c r="J6" s="11">
        <f t="shared" si="3"/>
        <v>0.88748517360179979</v>
      </c>
      <c r="K6" s="11">
        <f t="shared" si="4"/>
        <v>-1.0070652470517333E-2</v>
      </c>
      <c r="L6" s="11">
        <f t="shared" si="5"/>
        <v>-0.61180656184277438</v>
      </c>
      <c r="M6" s="11">
        <f t="shared" si="6"/>
        <v>0.26696242919442492</v>
      </c>
      <c r="N6" s="11">
        <f>BSCall(E6,$B$3, $B$6 - D6,$B$8,$B$5) - BSPut(E6,$B$4, $B$7 - D6,$B$8, $B$5)</f>
        <v>0.54190136143538559</v>
      </c>
      <c r="O6" s="20">
        <f t="shared" si="7"/>
        <v>7.3967951806486187E-4</v>
      </c>
    </row>
    <row r="7" spans="1:15" x14ac:dyDescent="0.25">
      <c r="A7" s="1" t="s">
        <v>5</v>
      </c>
      <c r="B7" s="1">
        <v>8.3333333333333329E-2</v>
      </c>
      <c r="D7" s="22">
        <v>1.388888888888889E-2</v>
      </c>
      <c r="E7" s="11">
        <v>60.421901280157876</v>
      </c>
      <c r="F7" s="11">
        <f t="shared" si="8"/>
        <v>0.47366012547374575</v>
      </c>
      <c r="G7" s="11">
        <f t="shared" si="0"/>
        <v>3.0548356647511127E-2</v>
      </c>
      <c r="H7" s="11">
        <f t="shared" si="1"/>
        <v>3.0734018794298011E-2</v>
      </c>
      <c r="I7" s="11">
        <f t="shared" si="2"/>
        <v>0.99395906705109027</v>
      </c>
      <c r="J7" s="11">
        <f t="shared" si="3"/>
        <v>0.74772009811441076</v>
      </c>
      <c r="K7" s="11">
        <f t="shared" si="4"/>
        <v>4.0117536431940048E-3</v>
      </c>
      <c r="L7" s="11">
        <f t="shared" si="5"/>
        <v>0.24239778258938185</v>
      </c>
      <c r="M7" s="11">
        <f t="shared" si="6"/>
        <v>-0.51645775523004689</v>
      </c>
      <c r="N7" s="11">
        <f>BSCall(E7,$B$3, $B$6 - D7,$B$8,$B$5) - BSPut(E7,$B$4, $B$7 - D7,$B$8, $B$5)</f>
        <v>0.47349995480962453</v>
      </c>
      <c r="O7" s="20">
        <f t="shared" si="7"/>
        <v>1.601706641212175E-4</v>
      </c>
    </row>
    <row r="8" spans="1:15" x14ac:dyDescent="0.25">
      <c r="A8" s="1" t="s">
        <v>6</v>
      </c>
      <c r="B8" s="1">
        <v>1.6E-2</v>
      </c>
      <c r="D8" s="22">
        <v>1.6666666666666666E-2</v>
      </c>
      <c r="E8" s="11">
        <v>60.905160864010796</v>
      </c>
      <c r="F8" s="11">
        <f t="shared" si="8"/>
        <v>0.55680747528682029</v>
      </c>
      <c r="G8" s="11">
        <f t="shared" si="0"/>
        <v>3.7683408316521297E-2</v>
      </c>
      <c r="H8" s="11">
        <f t="shared" si="1"/>
        <v>3.2102500757552388E-2</v>
      </c>
      <c r="I8" s="11">
        <f t="shared" si="2"/>
        <v>1.1738465050158422</v>
      </c>
      <c r="J8" s="11">
        <f t="shared" si="3"/>
        <v>0.97897596492377814</v>
      </c>
      <c r="K8" s="11">
        <f t="shared" si="4"/>
        <v>-3.0973268034014456E-2</v>
      </c>
      <c r="L8" s="11">
        <f t="shared" si="5"/>
        <v>-1.8864318720957738</v>
      </c>
      <c r="M8" s="11">
        <f t="shared" si="6"/>
        <v>1.4642633824588158</v>
      </c>
      <c r="N8" s="11">
        <f>BSCall(E8,$B$3, $B$6 - D8,$B$8,$B$5) - BSPut(E8,$B$4, $B$7 - D8,$B$8, $B$5)</f>
        <v>0.55573658268855775</v>
      </c>
      <c r="O8" s="20">
        <f t="shared" si="7"/>
        <v>1.0708925982625406E-3</v>
      </c>
    </row>
    <row r="9" spans="1:15" x14ac:dyDescent="0.25">
      <c r="A9" s="16" t="s">
        <v>30</v>
      </c>
      <c r="B9" s="6">
        <f>360*B6</f>
        <v>90</v>
      </c>
      <c r="D9" s="22">
        <v>1.9444444444444445E-2</v>
      </c>
      <c r="E9" s="11">
        <v>59.497534207950125</v>
      </c>
      <c r="F9" s="11">
        <f t="shared" si="8"/>
        <v>0.31447948411931126</v>
      </c>
      <c r="G9" s="11">
        <f t="shared" si="0"/>
        <v>1.6729823984900929E-2</v>
      </c>
      <c r="H9" s="11">
        <f t="shared" si="1"/>
        <v>2.7934628951678447E-2</v>
      </c>
      <c r="I9" s="11">
        <f t="shared" si="2"/>
        <v>0.59889193494713377</v>
      </c>
      <c r="J9" s="11">
        <f t="shared" si="3"/>
        <v>0.35355779865927833</v>
      </c>
      <c r="K9" s="11">
        <f t="shared" si="4"/>
        <v>6.1565475304534947E-2</v>
      </c>
      <c r="L9" s="11">
        <f t="shared" si="5"/>
        <v>3.6629939729602765</v>
      </c>
      <c r="M9" s="11">
        <f t="shared" si="6"/>
        <v>-3.7020722875002434</v>
      </c>
      <c r="N9" s="11">
        <f>BSCall(E9,$B$3, $B$6 - D9,$B$8,$B$5) - BSPut(E9,$B$4, $B$7 - D9,$B$8, $B$5)</f>
        <v>0.31185021085743769</v>
      </c>
      <c r="O9" s="20">
        <f t="shared" si="7"/>
        <v>2.6292732618735659E-3</v>
      </c>
    </row>
    <row r="10" spans="1:15" x14ac:dyDescent="0.25">
      <c r="D10" s="22">
        <v>2.2222222222222223E-2</v>
      </c>
      <c r="E10" s="11">
        <v>59.94460358947353</v>
      </c>
      <c r="F10" s="11">
        <f t="shared" si="8"/>
        <v>0.37926074569776302</v>
      </c>
      <c r="G10" s="11">
        <f t="shared" si="0"/>
        <v>2.5770564813691409E-2</v>
      </c>
      <c r="H10" s="11">
        <f t="shared" si="1"/>
        <v>2.9276966160193495E-2</v>
      </c>
      <c r="I10" s="11">
        <f t="shared" si="2"/>
        <v>0.88023344607100806</v>
      </c>
      <c r="J10" s="11">
        <f t="shared" si="3"/>
        <v>0.57465006064708257</v>
      </c>
      <c r="K10" s="11">
        <f t="shared" si="4"/>
        <v>1.5396677912234175E-2</v>
      </c>
      <c r="L10" s="11">
        <f t="shared" si="5"/>
        <v>0.92294775404368057</v>
      </c>
      <c r="M10" s="11">
        <f t="shared" si="6"/>
        <v>-1.1183370689930001</v>
      </c>
      <c r="N10" s="11">
        <f>BSCall(E10,$B$3, $B$6 - D10,$B$8,$B$5) - BSPut(E10,$B$4, $B$7 - D10,$B$8, $B$5)</f>
        <v>0.37533514866902118</v>
      </c>
      <c r="O10" s="20">
        <f t="shared" si="7"/>
        <v>3.9255970287418451E-3</v>
      </c>
    </row>
    <row r="11" spans="1:15" ht="26.45" customHeight="1" x14ac:dyDescent="0.25">
      <c r="A11" s="64" t="s">
        <v>70</v>
      </c>
      <c r="B11" s="67"/>
      <c r="D11" s="22">
        <v>2.5000000000000001E-2</v>
      </c>
      <c r="E11" s="11">
        <v>60.512517670561742</v>
      </c>
      <c r="F11" s="11">
        <f t="shared" si="8"/>
        <v>0.46589330686268449</v>
      </c>
      <c r="G11" s="11">
        <f t="shared" si="0"/>
        <v>3.5002099242501042E-2</v>
      </c>
      <c r="H11" s="11">
        <f t="shared" si="1"/>
        <v>3.0962828168666919E-2</v>
      </c>
      <c r="I11" s="11">
        <f t="shared" si="2"/>
        <v>1.1304554949512557</v>
      </c>
      <c r="J11" s="11">
        <f t="shared" si="3"/>
        <v>0.83809820490362985</v>
      </c>
      <c r="K11" s="11">
        <f t="shared" si="4"/>
        <v>-2.8695224078703396E-2</v>
      </c>
      <c r="L11" s="11">
        <f t="shared" si="5"/>
        <v>-1.7364202541232681</v>
      </c>
      <c r="M11" s="11">
        <f t="shared" si="6"/>
        <v>1.3642153560823227</v>
      </c>
      <c r="N11" s="11">
        <f>BSCall(E11,$B$3, $B$6 - D11,$B$8,$B$5) - BSPut(E11,$B$4, $B$7 - D11,$B$8, $B$5)</f>
        <v>0.46086721340165104</v>
      </c>
      <c r="O11" s="20">
        <f t="shared" si="7"/>
        <v>5.0260934610334429E-3</v>
      </c>
    </row>
    <row r="12" spans="1:15" x14ac:dyDescent="0.25">
      <c r="A12" s="2" t="s">
        <v>0</v>
      </c>
      <c r="B12" s="2">
        <v>60.57</v>
      </c>
      <c r="D12" s="22">
        <v>2.777777777777778E-2</v>
      </c>
      <c r="E12" s="11">
        <v>60.866396543716291</v>
      </c>
      <c r="F12" s="11">
        <f t="shared" si="8"/>
        <v>0.5202596056642016</v>
      </c>
      <c r="G12" s="11">
        <f t="shared" si="0"/>
        <v>4.0000431976360766E-2</v>
      </c>
      <c r="H12" s="11">
        <f t="shared" si="1"/>
        <v>3.1991266817278353E-2</v>
      </c>
      <c r="I12" s="11">
        <f t="shared" si="2"/>
        <v>1.2503547360230416</v>
      </c>
      <c r="J12" s="11">
        <f t="shared" si="3"/>
        <v>0.99828635909326602</v>
      </c>
      <c r="K12" s="11">
        <f t="shared" si="4"/>
        <v>-5.2076954821926008E-2</v>
      </c>
      <c r="L12" s="11">
        <f t="shared" si="5"/>
        <v>-3.1697365829805468</v>
      </c>
      <c r="M12" s="11">
        <f t="shared" si="6"/>
        <v>2.6917098295514825</v>
      </c>
      <c r="N12" s="11">
        <f>BSCall(E12,$B$3, $B$6 - D12,$B$8,$B$5) - BSPut(E12,$B$4, $B$7 - D12,$B$8, $B$5)</f>
        <v>0.51458287479971421</v>
      </c>
      <c r="O12" s="20">
        <f t="shared" si="7"/>
        <v>5.6767308644873893E-3</v>
      </c>
    </row>
    <row r="13" spans="1:15" x14ac:dyDescent="0.25">
      <c r="A13" s="1" t="s">
        <v>1</v>
      </c>
      <c r="B13" s="1">
        <v>70</v>
      </c>
      <c r="D13" s="22">
        <v>3.0555555555555558E-2</v>
      </c>
      <c r="E13" s="11">
        <v>59.783734858838017</v>
      </c>
      <c r="F13" s="11">
        <f t="shared" si="8"/>
        <v>0.34034472680719352</v>
      </c>
      <c r="G13" s="11">
        <f t="shared" si="0"/>
        <v>2.6125598483629123E-2</v>
      </c>
      <c r="H13" s="11">
        <f t="shared" si="1"/>
        <v>2.8711179755302525E-2</v>
      </c>
      <c r="I13" s="11">
        <f t="shared" si="2"/>
        <v>0.9099451400566051</v>
      </c>
      <c r="J13" s="11">
        <f t="shared" si="3"/>
        <v>0.55445066527124875</v>
      </c>
      <c r="K13" s="11">
        <f t="shared" si="4"/>
        <v>2.5518728658923406E-3</v>
      </c>
      <c r="L13" s="11">
        <f t="shared" si="5"/>
        <v>0.15256049080797079</v>
      </c>
      <c r="M13" s="11">
        <f t="shared" si="6"/>
        <v>-0.36666642927202603</v>
      </c>
      <c r="N13" s="11">
        <f>BSCall(E13,$B$3, $B$6 - D13,$B$8,$B$5) - BSPut(E13,$B$4, $B$7 - D13,$B$8, $B$5)</f>
        <v>0.33486995835233224</v>
      </c>
      <c r="O13" s="20">
        <f t="shared" si="7"/>
        <v>5.4747684548612785E-3</v>
      </c>
    </row>
    <row r="14" spans="1:15" x14ac:dyDescent="0.25">
      <c r="A14" s="1" t="s">
        <v>31</v>
      </c>
      <c r="B14" s="1">
        <v>0.5</v>
      </c>
      <c r="D14" s="22">
        <v>3.3333333333333333E-2</v>
      </c>
      <c r="E14" s="11">
        <v>59.649528149151877</v>
      </c>
      <c r="F14" s="11">
        <f t="shared" si="8"/>
        <v>0.31624060022252798</v>
      </c>
      <c r="G14" s="11">
        <f t="shared" si="0"/>
        <v>2.4972072763487226E-2</v>
      </c>
      <c r="H14" s="11">
        <f t="shared" si="1"/>
        <v>2.8261348272320321E-2</v>
      </c>
      <c r="I14" s="11">
        <f t="shared" si="2"/>
        <v>0.88361222270295325</v>
      </c>
      <c r="J14" s="11">
        <f t="shared" si="3"/>
        <v>0.51534722400275634</v>
      </c>
      <c r="K14" s="11">
        <f t="shared" si="4"/>
        <v>3.7311896843991721E-3</v>
      </c>
      <c r="L14" s="11">
        <f t="shared" si="5"/>
        <v>0.22256370410939352</v>
      </c>
      <c r="M14" s="11">
        <f t="shared" si="6"/>
        <v>-0.42167032788962189</v>
      </c>
      <c r="N14" s="11">
        <f>BSCall(E14,$B$3, $B$6 - D14,$B$8,$B$5) - BSPut(E14,$B$4, $B$7 - D14,$B$8, $B$5)</f>
        <v>0.31102458270184163</v>
      </c>
      <c r="O14" s="20">
        <f t="shared" si="7"/>
        <v>5.2160175206863446E-3</v>
      </c>
    </row>
    <row r="15" spans="1:15" x14ac:dyDescent="0.25">
      <c r="D15" s="22">
        <v>3.6111111111111115E-2</v>
      </c>
      <c r="E15" s="11">
        <v>60.338889200091636</v>
      </c>
      <c r="F15" s="11">
        <f t="shared" si="8"/>
        <v>0.40878797846846343</v>
      </c>
      <c r="G15" s="11">
        <f t="shared" si="0"/>
        <v>3.5963099366259584E-2</v>
      </c>
      <c r="H15" s="11">
        <f t="shared" si="1"/>
        <v>3.0390036538424006E-2</v>
      </c>
      <c r="I15" s="11">
        <f t="shared" si="2"/>
        <v>1.1833845385736608</v>
      </c>
      <c r="J15" s="11">
        <f t="shared" si="3"/>
        <v>0.81070791711141521</v>
      </c>
      <c r="K15" s="11">
        <f t="shared" si="4"/>
        <v>-4.527075519209986E-2</v>
      </c>
      <c r="L15" s="11">
        <f t="shared" si="5"/>
        <v>-2.7315870815405865</v>
      </c>
      <c r="M15" s="11">
        <f t="shared" si="6"/>
        <v>2.3296671428976348</v>
      </c>
      <c r="N15" s="11">
        <f>BSCall(E15,$B$3, $B$6 - D15,$B$8,$B$5) - BSPut(E15,$B$4, $B$7 - D15,$B$8, $B$5)</f>
        <v>0.40251893058925881</v>
      </c>
      <c r="O15" s="20">
        <f t="shared" si="7"/>
        <v>6.2690478792046256E-3</v>
      </c>
    </row>
    <row r="16" spans="1:15" ht="21" customHeight="1" x14ac:dyDescent="0.25">
      <c r="A16" s="68" t="s">
        <v>41</v>
      </c>
      <c r="B16" s="68"/>
      <c r="D16" s="22">
        <v>3.888888888888889E-2</v>
      </c>
      <c r="E16" s="11">
        <v>60.855537267420061</v>
      </c>
      <c r="F16" s="11">
        <f t="shared" si="8"/>
        <v>0.48392059641719198</v>
      </c>
      <c r="G16" s="11">
        <f t="shared" si="0"/>
        <v>4.2313109182607854E-2</v>
      </c>
      <c r="H16" s="11">
        <f t="shared" si="1"/>
        <v>3.1946586034164046E-2</v>
      </c>
      <c r="I16" s="11">
        <f t="shared" si="2"/>
        <v>1.3244954918612502</v>
      </c>
      <c r="J16" s="11">
        <f t="shared" si="3"/>
        <v>1.0175334411544772</v>
      </c>
      <c r="K16" s="11">
        <f t="shared" si="4"/>
        <v>-7.1233269195471238E-2</v>
      </c>
      <c r="L16" s="11">
        <f t="shared" si="5"/>
        <v>-4.3349388682051657</v>
      </c>
      <c r="M16" s="11">
        <f t="shared" si="6"/>
        <v>3.801326023467881</v>
      </c>
      <c r="N16" s="11">
        <f>BSCall(E16,$B$3, $B$6 - D16,$B$8,$B$5) - BSPut(E16,$B$4, $B$7 - D16,$B$8, $B$5)</f>
        <v>0.47696680919723322</v>
      </c>
      <c r="O16" s="20">
        <f t="shared" si="7"/>
        <v>6.9537872199587625E-3</v>
      </c>
    </row>
    <row r="17" spans="1:15" x14ac:dyDescent="0.25">
      <c r="A17" s="1" t="s">
        <v>43</v>
      </c>
      <c r="B17" s="1">
        <v>57</v>
      </c>
      <c r="D17" s="22">
        <v>4.1666666666666671E-2</v>
      </c>
      <c r="E17" s="11">
        <v>60.651365340107589</v>
      </c>
      <c r="F17" s="11">
        <f t="shared" si="8"/>
        <v>0.44128799193100399</v>
      </c>
      <c r="G17" s="11">
        <f t="shared" si="0"/>
        <v>4.0805450977982126E-2</v>
      </c>
      <c r="H17" s="11">
        <f t="shared" si="1"/>
        <v>3.1322197561448772E-2</v>
      </c>
      <c r="I17" s="11">
        <f t="shared" si="2"/>
        <v>1.3027646255639898</v>
      </c>
      <c r="J17" s="11">
        <f t="shared" si="3"/>
        <v>0.94443434101391543</v>
      </c>
      <c r="K17" s="11">
        <f t="shared" si="4"/>
        <v>-6.860206963686627E-2</v>
      </c>
      <c r="L17" s="11">
        <f t="shared" si="5"/>
        <v>-4.1608091886330785</v>
      </c>
      <c r="M17" s="11">
        <f t="shared" si="6"/>
        <v>3.6576628395501669</v>
      </c>
      <c r="N17" s="11">
        <f>BSCall(E17,$B$3, $B$6 - D17,$B$8,$B$5) - BSPut(E17,$B$4, $B$7 - D17,$B$8, $B$5)</f>
        <v>0.43452497281178298</v>
      </c>
      <c r="O17" s="20">
        <f t="shared" si="7"/>
        <v>6.7630191192210032E-3</v>
      </c>
    </row>
    <row r="18" spans="1:15" x14ac:dyDescent="0.25">
      <c r="A18" s="1" t="s">
        <v>44</v>
      </c>
      <c r="B18" s="1">
        <v>53</v>
      </c>
      <c r="D18" s="22">
        <v>4.4444444444444446E-2</v>
      </c>
      <c r="E18" s="11">
        <v>61.788099386758297</v>
      </c>
      <c r="F18" s="11">
        <f t="shared" si="8"/>
        <v>0.63879730284286529</v>
      </c>
      <c r="G18" s="11">
        <f t="shared" si="0"/>
        <v>5.0805590528190579E-2</v>
      </c>
      <c r="H18" s="11">
        <f t="shared" si="1"/>
        <v>3.4651159894583845E-2</v>
      </c>
      <c r="I18" s="11">
        <f t="shared" si="2"/>
        <v>1.4662017283909667</v>
      </c>
      <c r="J18" s="11">
        <f t="shared" si="3"/>
        <v>1.3727876556105052</v>
      </c>
      <c r="K18" s="11">
        <f t="shared" si="4"/>
        <v>-0.10056378511092312</v>
      </c>
      <c r="L18" s="11">
        <f t="shared" si="5"/>
        <v>-6.2136451491423221</v>
      </c>
      <c r="M18" s="11">
        <f t="shared" si="6"/>
        <v>5.4796547963746818</v>
      </c>
      <c r="N18" s="11">
        <f>BSCall(E18,$B$3, $B$6 - D18,$B$8,$B$5) - BSPut(E18,$B$4, $B$7 - D18,$B$8, $B$5)</f>
        <v>0.63217226105579105</v>
      </c>
      <c r="O18" s="20">
        <f t="shared" si="7"/>
        <v>6.6250417870742373E-3</v>
      </c>
    </row>
    <row r="19" spans="1:15" x14ac:dyDescent="0.25">
      <c r="A19" s="1" t="s">
        <v>45</v>
      </c>
      <c r="B19" s="1">
        <v>45</v>
      </c>
      <c r="D19" s="22">
        <v>4.7222222222222221E-2</v>
      </c>
      <c r="E19" s="11">
        <v>62.528936980695086</v>
      </c>
      <c r="F19" s="11">
        <f t="shared" si="8"/>
        <v>0.79539755900276266</v>
      </c>
      <c r="G19" s="11">
        <f t="shared" si="0"/>
        <v>5.5910842242555527E-2</v>
      </c>
      <c r="H19" s="11">
        <f t="shared" si="1"/>
        <v>3.664821617575819E-2</v>
      </c>
      <c r="I19" s="11">
        <f t="shared" si="2"/>
        <v>1.5256088311206548</v>
      </c>
      <c r="J19" s="11">
        <f t="shared" si="3"/>
        <v>1.6686218172980163</v>
      </c>
      <c r="K19" s="11">
        <f t="shared" si="4"/>
        <v>-0.11436091701336076</v>
      </c>
      <c r="L19" s="11">
        <f t="shared" si="5"/>
        <v>-7.1508665729829355</v>
      </c>
      <c r="M19" s="11">
        <f t="shared" si="6"/>
        <v>6.2776423146876823</v>
      </c>
      <c r="N19" s="11">
        <f>BSCall(E19,$B$3, $B$6 - D19,$B$8,$B$5) - BSPut(E19,$B$4, $B$7 - D19,$B$8, $B$5)</f>
        <v>0.78851299018730636</v>
      </c>
      <c r="O19" s="20">
        <f t="shared" si="7"/>
        <v>6.8845688154562934E-3</v>
      </c>
    </row>
    <row r="20" spans="1:15" x14ac:dyDescent="0.25">
      <c r="D20" s="22">
        <v>0.05</v>
      </c>
      <c r="E20" s="11">
        <v>61.48559064746086</v>
      </c>
      <c r="F20" s="11">
        <f t="shared" si="8"/>
        <v>0.55658450386303482</v>
      </c>
      <c r="G20" s="11">
        <f t="shared" si="0"/>
        <v>4.8978171952511647E-2</v>
      </c>
      <c r="H20" s="11">
        <f t="shared" si="1"/>
        <v>3.3815299354249276E-2</v>
      </c>
      <c r="I20" s="11">
        <f t="shared" si="2"/>
        <v>1.4484027315392369</v>
      </c>
      <c r="J20" s="11">
        <f t="shared" si="3"/>
        <v>1.2439061543471348</v>
      </c>
      <c r="K20" s="11">
        <f t="shared" si="4"/>
        <v>-9.828337147687663E-2</v>
      </c>
      <c r="L20" s="11">
        <f t="shared" si="5"/>
        <v>-6.043011146079567</v>
      </c>
      <c r="M20" s="11">
        <f t="shared" si="6"/>
        <v>5.3556894955954668</v>
      </c>
      <c r="N20" s="11">
        <f>BSCall(E20,$B$3, $B$6 - D20,$B$8,$B$5) - BSPut(E20,$B$4, $B$7 - D20,$B$8, $B$5)</f>
        <v>0.54980390234188692</v>
      </c>
      <c r="O20" s="20">
        <f t="shared" si="7"/>
        <v>6.7806015211478998E-3</v>
      </c>
    </row>
    <row r="21" spans="1:15" x14ac:dyDescent="0.25">
      <c r="D21" s="22">
        <v>5.2777777777777778E-2</v>
      </c>
      <c r="E21" s="11">
        <v>62.551601432053381</v>
      </c>
      <c r="F21" s="11">
        <f t="shared" si="8"/>
        <v>0.77520240279675701</v>
      </c>
      <c r="G21" s="11">
        <f t="shared" si="0"/>
        <v>5.6433280554954245E-2</v>
      </c>
      <c r="H21" s="11">
        <f t="shared" si="1"/>
        <v>3.6776284546390099E-2</v>
      </c>
      <c r="I21" s="11">
        <f t="shared" si="2"/>
        <v>1.534501955567821</v>
      </c>
      <c r="J21" s="11">
        <f t="shared" si="3"/>
        <v>1.660209699122589</v>
      </c>
      <c r="K21" s="11">
        <f t="shared" si="4"/>
        <v>-0.1174179261278071</v>
      </c>
      <c r="L21" s="11">
        <f t="shared" si="5"/>
        <v>-7.3446793161248767</v>
      </c>
      <c r="M21" s="11">
        <f t="shared" si="6"/>
        <v>6.4596720197990436</v>
      </c>
      <c r="N21" s="11">
        <f>BSCall(E21,$B$3, $B$6 - D21,$B$8,$B$5) - BSPut(E21,$B$4, $B$7 - D21,$B$8, $B$5)</f>
        <v>0.76836355048120286</v>
      </c>
      <c r="O21" s="20">
        <f t="shared" si="7"/>
        <v>6.8388523155541447E-3</v>
      </c>
    </row>
    <row r="22" spans="1:15" x14ac:dyDescent="0.25">
      <c r="D22" s="22">
        <v>5.8333333333333334E-2</v>
      </c>
      <c r="E22" s="11">
        <v>57</v>
      </c>
      <c r="F22" s="11">
        <f t="shared" si="8"/>
        <v>0.14953321305653589</v>
      </c>
      <c r="G22" s="11">
        <f t="shared" si="0"/>
        <v>-3.2089540984221988E-2</v>
      </c>
      <c r="H22" s="11">
        <f t="shared" si="1"/>
        <v>1.9048792893483029E-2</v>
      </c>
      <c r="I22" s="11">
        <f t="shared" si="2"/>
        <v>-1.6845970851623076</v>
      </c>
      <c r="J22" s="11">
        <f t="shared" si="3"/>
        <v>-0.41948419005634524</v>
      </c>
      <c r="K22" s="11">
        <f t="shared" si="4"/>
        <v>0.20927039552581372</v>
      </c>
      <c r="L22" s="11">
        <f t="shared" si="5"/>
        <v>11.928412544971382</v>
      </c>
      <c r="M22" s="11">
        <f t="shared" si="6"/>
        <v>-11.359395141858501</v>
      </c>
      <c r="N22" s="11">
        <f>BSCall(E22,$B$3, $B$6 - D22,$B$8,$B$5) - BSPut(E22,$B$4, $B$7 - D22,$B$8, $B$5)</f>
        <v>4.4587988584006519E-2</v>
      </c>
      <c r="O22" s="20">
        <f t="shared" si="7"/>
        <v>0.10494522447252937</v>
      </c>
    </row>
    <row r="23" spans="1:15" x14ac:dyDescent="0.25">
      <c r="D23" s="22">
        <v>6.1111111111111116E-2</v>
      </c>
      <c r="E23" s="11">
        <v>53</v>
      </c>
      <c r="F23" s="11">
        <f t="shared" si="8"/>
        <v>-0.36980497091411024</v>
      </c>
      <c r="G23" s="11">
        <f t="shared" si="0"/>
        <v>-0.20805577303907041</v>
      </c>
      <c r="H23" s="11">
        <f t="shared" si="1"/>
        <v>7.9936116820104441E-3</v>
      </c>
      <c r="I23" s="11">
        <f t="shared" si="2"/>
        <v>-26.027755827481361</v>
      </c>
      <c r="J23" s="11">
        <f t="shared" si="3"/>
        <v>-1.5641388650457595</v>
      </c>
      <c r="K23" s="11">
        <f t="shared" si="4"/>
        <v>1.3503661600638117</v>
      </c>
      <c r="L23" s="11">
        <f t="shared" si="5"/>
        <v>71.569406483382025</v>
      </c>
      <c r="M23" s="11">
        <f t="shared" si="6"/>
        <v>-70.375072589250365</v>
      </c>
      <c r="N23" s="11">
        <f>BSCall(E23,$B$3, $B$6 - D23,$B$8,$B$5) - BSPut(E23,$B$4, $B$7 - D23,$B$8, $B$5)</f>
        <v>-1.2370571924673057</v>
      </c>
      <c r="O23" s="20">
        <f t="shared" si="7"/>
        <v>0.86725222155319548</v>
      </c>
    </row>
    <row r="24" spans="1:15" x14ac:dyDescent="0.25">
      <c r="D24" s="22">
        <v>6.3888888888888898E-2</v>
      </c>
      <c r="E24" s="11">
        <v>45</v>
      </c>
      <c r="F24" s="11">
        <f t="shared" si="8"/>
        <v>-9.6368582736542763</v>
      </c>
      <c r="G24" s="11">
        <f t="shared" si="0"/>
        <v>3.506168335718148E-6</v>
      </c>
      <c r="H24" s="11">
        <f t="shared" si="1"/>
        <v>3.6851919237071694E-4</v>
      </c>
      <c r="I24" s="11">
        <f t="shared" si="2"/>
        <v>9.5142082374669642E-3</v>
      </c>
      <c r="J24" s="11">
        <f t="shared" si="3"/>
        <v>9.1878829437355984E-6</v>
      </c>
      <c r="K24" s="11">
        <f t="shared" si="4"/>
        <v>0.99999690934125951</v>
      </c>
      <c r="L24" s="11">
        <f t="shared" si="5"/>
        <v>44.999860920356682</v>
      </c>
      <c r="M24" s="11">
        <f t="shared" si="6"/>
        <v>-54.636728381893903</v>
      </c>
      <c r="N24" s="11">
        <f>BSCall(E24,$B$3, $B$6 - D24,$B$8,$B$5) - BSPut(E24,$B$4, $B$7 - D24,$B$8, $B$5)</f>
        <v>-8.9832003867798367</v>
      </c>
      <c r="O24" s="20">
        <f t="shared" si="7"/>
        <v>-0.6536578868744396</v>
      </c>
    </row>
    <row r="25" spans="1:15" x14ac:dyDescent="0.25">
      <c r="D25" s="22">
        <v>6.3888888888888898E-2</v>
      </c>
      <c r="E25" s="11">
        <v>44.837053637303491</v>
      </c>
      <c r="F25" s="11">
        <f t="shared" si="8"/>
        <v>-9.7998050592482002</v>
      </c>
      <c r="G25" s="11">
        <f t="shared" si="0"/>
        <v>2.9054942677656865E-6</v>
      </c>
      <c r="H25" s="11">
        <f t="shared" si="1"/>
        <v>3.3836600901062628E-4</v>
      </c>
      <c r="I25" s="11">
        <f t="shared" si="2"/>
        <v>8.5868384837510092E-3</v>
      </c>
      <c r="J25" s="11">
        <f t="shared" si="3"/>
        <v>7.4561205572719912E-6</v>
      </c>
      <c r="K25" s="11">
        <f t="shared" si="4"/>
        <v>0.9999974639604603</v>
      </c>
      <c r="L25" s="11">
        <f t="shared" si="5"/>
        <v>44.836939928762625</v>
      </c>
      <c r="M25" s="11">
        <f t="shared" si="6"/>
        <v>-54.636752444131382</v>
      </c>
      <c r="N25" s="11">
        <f>BSCall(E25,$B$3, $B$6 - D25,$B$8,$B$5) - BSPut(E25,$B$4, $B$7 - D25,$B$8, $B$5)</f>
        <v>-9.1461471738558817</v>
      </c>
      <c r="O25" s="20">
        <f t="shared" si="7"/>
        <v>-0.65365788539231851</v>
      </c>
    </row>
    <row r="26" spans="1:15" x14ac:dyDescent="0.25">
      <c r="D26" s="22">
        <v>6.6666666666666666E-2</v>
      </c>
      <c r="E26" s="11">
        <v>44.868526949489691</v>
      </c>
      <c r="F26" s="11">
        <f t="shared" si="8"/>
        <v>-9.7707603600612671</v>
      </c>
      <c r="G26" s="11">
        <f t="shared" si="0"/>
        <v>2.5781886894758967E-6</v>
      </c>
      <c r="H26" s="11">
        <f t="shared" si="1"/>
        <v>3.3281773528130113E-4</v>
      </c>
      <c r="I26" s="11">
        <f t="shared" si="2"/>
        <v>7.7465483841982876E-3</v>
      </c>
      <c r="J26" s="11">
        <f t="shared" si="3"/>
        <v>6.5648974362560047E-6</v>
      </c>
      <c r="K26" s="11">
        <f t="shared" si="4"/>
        <v>0.99999774151479415</v>
      </c>
      <c r="L26" s="11">
        <f t="shared" si="5"/>
        <v>44.868425614585369</v>
      </c>
      <c r="M26" s="11">
        <f t="shared" si="6"/>
        <v>-54.639192539544069</v>
      </c>
      <c r="N26" s="11">
        <f>BSCall(E26,$B$3, $B$6 - D26,$B$8,$B$5) - BSPut(E26,$B$4, $B$7 - D26,$B$8, $B$5)</f>
        <v>-9.1170734095504944</v>
      </c>
      <c r="O26" s="20">
        <f t="shared" si="7"/>
        <v>-0.65368695051077275</v>
      </c>
    </row>
    <row r="27" spans="1:15" x14ac:dyDescent="0.25">
      <c r="D27" s="22">
        <v>6.9444444444444448E-2</v>
      </c>
      <c r="E27" s="11">
        <v>45.21547985960391</v>
      </c>
      <c r="F27" s="11">
        <f t="shared" si="8"/>
        <v>-9.4262353877109035</v>
      </c>
      <c r="G27" s="11">
        <f t="shared" si="0"/>
        <v>3.3036589166507067E-6</v>
      </c>
      <c r="H27" s="11">
        <f t="shared" si="1"/>
        <v>3.8629809649039638E-4</v>
      </c>
      <c r="I27" s="11">
        <f t="shared" si="2"/>
        <v>8.5520973224180452E-3</v>
      </c>
      <c r="J27" s="11">
        <f t="shared" si="3"/>
        <v>8.6919681474639908E-6</v>
      </c>
      <c r="K27" s="11">
        <f t="shared" si="4"/>
        <v>0.99999703931131179</v>
      </c>
      <c r="L27" s="11">
        <f t="shared" si="5"/>
        <v>45.21534599064416</v>
      </c>
      <c r="M27" s="11">
        <f t="shared" si="6"/>
        <v>-54.641590070323211</v>
      </c>
      <c r="N27" s="11">
        <f>BSCall(E27,$B$3, $B$6 - D27,$B$8,$B$5) - BSPut(E27,$B$4, $B$7 - D27,$B$8, $B$5)</f>
        <v>-8.7725194308568355</v>
      </c>
      <c r="O27" s="20">
        <f t="shared" si="7"/>
        <v>-0.65371595685406803</v>
      </c>
    </row>
    <row r="28" spans="1:15" x14ac:dyDescent="0.25">
      <c r="D28" s="22">
        <v>7.2222222222222229E-2</v>
      </c>
      <c r="E28" s="11">
        <v>44.449292442591037</v>
      </c>
      <c r="F28" s="11">
        <f t="shared" si="8"/>
        <v>-10.194852811766211</v>
      </c>
      <c r="G28" s="11">
        <f t="shared" si="0"/>
        <v>1.1077730671175331E-6</v>
      </c>
      <c r="H28" s="11">
        <f t="shared" si="1"/>
        <v>2.4746976950576938E-4</v>
      </c>
      <c r="I28" s="11">
        <f t="shared" si="2"/>
        <v>4.4763975386969725E-3</v>
      </c>
      <c r="J28" s="11">
        <f t="shared" si="3"/>
        <v>2.6095788616173179E-6</v>
      </c>
      <c r="K28" s="11">
        <f t="shared" si="4"/>
        <v>0.99999905093154495</v>
      </c>
      <c r="L28" s="11">
        <f t="shared" si="5"/>
        <v>44.44925025716973</v>
      </c>
      <c r="M28" s="11">
        <f t="shared" si="6"/>
        <v>-54.644105678514805</v>
      </c>
      <c r="N28" s="11">
        <f>BSCall(E28,$B$3, $B$6 - D28,$B$8,$B$5) - BSPut(E28,$B$4, $B$7 - D28,$B$8, $B$5)</f>
        <v>-9.5411078154761118</v>
      </c>
      <c r="O28" s="20">
        <f t="shared" si="7"/>
        <v>-0.65374499629009897</v>
      </c>
    </row>
    <row r="29" spans="1:15" x14ac:dyDescent="0.25">
      <c r="D29" s="22">
        <v>7.4999999999999997E-2</v>
      </c>
      <c r="E29" s="11">
        <v>44.560846088977733</v>
      </c>
      <c r="F29" s="11">
        <f t="shared" si="8"/>
        <v>-10.085727877554135</v>
      </c>
      <c r="G29" s="11">
        <f t="shared" si="0"/>
        <v>1.0661650903144513E-6</v>
      </c>
      <c r="H29" s="11">
        <f t="shared" si="1"/>
        <v>2.5396943844292145E-4</v>
      </c>
      <c r="I29" s="11">
        <f t="shared" si="2"/>
        <v>4.1980054641655926E-3</v>
      </c>
      <c r="J29" s="11">
        <f t="shared" si="3"/>
        <v>2.5172344188770267E-6</v>
      </c>
      <c r="K29" s="11">
        <f t="shared" si="4"/>
        <v>0.99999907881573558</v>
      </c>
      <c r="L29" s="11">
        <f t="shared" si="5"/>
        <v>44.560805040227507</v>
      </c>
      <c r="M29" s="11">
        <f t="shared" si="6"/>
        <v>-54.646535435016062</v>
      </c>
      <c r="N29" s="11">
        <f>BSCall(E29,$B$3, $B$6 - D29,$B$8,$B$5) - BSPut(E29,$B$4, $B$7 - D29,$B$8, $B$5)</f>
        <v>-9.431953826105131</v>
      </c>
      <c r="O29" s="20">
        <f t="shared" si="7"/>
        <v>-0.65377405144900358</v>
      </c>
    </row>
    <row r="30" spans="1:15" x14ac:dyDescent="0.25">
      <c r="D30" s="22">
        <v>7.7777777777777779E-2</v>
      </c>
      <c r="E30" s="11">
        <v>44.525936355579489</v>
      </c>
      <c r="F30" s="11">
        <f t="shared" si="8"/>
        <v>-10.123066543250339</v>
      </c>
      <c r="G30" s="11">
        <f t="shared" si="0"/>
        <v>8.4834664867865636E-7</v>
      </c>
      <c r="H30" s="11">
        <f t="shared" si="1"/>
        <v>2.4022616067579308E-4</v>
      </c>
      <c r="I30" s="11">
        <f t="shared" si="2"/>
        <v>3.5314498899375779E-3</v>
      </c>
      <c r="J30" s="11">
        <f t="shared" si="3"/>
        <v>1.9698525259396128E-6</v>
      </c>
      <c r="K30" s="11">
        <f t="shared" si="4"/>
        <v>0.99999926737470701</v>
      </c>
      <c r="L30" s="11">
        <f t="shared" si="5"/>
        <v>44.525903734752319</v>
      </c>
      <c r="M30" s="11">
        <f t="shared" si="6"/>
        <v>-54.648972247855184</v>
      </c>
      <c r="N30" s="11">
        <f>BSCall(E30,$B$3, $B$6 - D30,$B$8,$B$5) - BSPut(E30,$B$4, $B$7 - D30,$B$8, $B$5)</f>
        <v>-9.4692634240031044</v>
      </c>
      <c r="O30" s="20">
        <f t="shared" si="7"/>
        <v>-0.65380311924723422</v>
      </c>
    </row>
    <row r="31" spans="1:15" x14ac:dyDescent="0.25">
      <c r="D31" s="22">
        <v>8.0555555555555561E-2</v>
      </c>
      <c r="E31" s="11">
        <v>44.279310862206458</v>
      </c>
      <c r="F31" s="11">
        <f t="shared" si="8"/>
        <v>-10.372121143639859</v>
      </c>
      <c r="G31" s="11">
        <f t="shared" ref="G31:G62" si="9">BSGreeks(E31,$B$3,$B$6 - D31,$B$8, $B$5,$G$1)</f>
        <v>5.058357094982264E-7</v>
      </c>
      <c r="H31" s="11">
        <f t="shared" si="1"/>
        <v>2.0127118611052187E-4</v>
      </c>
      <c r="I31" s="11">
        <f t="shared" si="2"/>
        <v>2.5132047923663663E-3</v>
      </c>
      <c r="J31" s="11">
        <f t="shared" si="3"/>
        <v>1.1239576189031166E-6</v>
      </c>
      <c r="K31" s="11">
        <f t="shared" ref="K31:K62" si="10">BSGreeks(E31,$B$3,$B$6 - D31,$B$8, $B$5,$K$1) - I31 *BSGreeks(E31,$B$13,$B$14 - D31,$B$8, $B$5,$K$1)</f>
        <v>-4.309733177621817E-7</v>
      </c>
      <c r="L31" s="11">
        <f t="shared" si="5"/>
        <v>-1.9083201510508126E-5</v>
      </c>
      <c r="M31" s="11">
        <f t="shared" si="6"/>
        <v>-10.372103184395968</v>
      </c>
      <c r="N31" s="11">
        <f t="shared" ref="N31:N62" si="11">BSCall(E31,$B$3, $B$6 - D31,$B$8,$B$5)</f>
        <v>2.4191583661443661E-7</v>
      </c>
      <c r="O31" s="20">
        <f t="shared" si="7"/>
        <v>-10.372121385555696</v>
      </c>
    </row>
    <row r="32" spans="1:15" x14ac:dyDescent="0.25">
      <c r="D32" s="22">
        <v>8.3333333333333343E-2</v>
      </c>
      <c r="E32" s="11">
        <v>44.427169762984754</v>
      </c>
      <c r="F32" s="11">
        <f t="shared" si="8"/>
        <v>-10.372582138411518</v>
      </c>
      <c r="G32" s="11">
        <f t="shared" si="9"/>
        <v>5.0449173943340484E-7</v>
      </c>
      <c r="H32" s="11">
        <f t="shared" si="1"/>
        <v>2.1087951405012283E-4</v>
      </c>
      <c r="I32" s="11">
        <f t="shared" si="2"/>
        <v>2.3923221831471733E-3</v>
      </c>
      <c r="J32" s="11">
        <f t="shared" si="3"/>
        <v>1.128494980174679E-6</v>
      </c>
      <c r="K32" s="11">
        <f t="shared" si="10"/>
        <v>-4.344630174444586E-7</v>
      </c>
      <c r="L32" s="11">
        <f t="shared" si="5"/>
        <v>-1.9301962231743568E-5</v>
      </c>
      <c r="M32" s="11">
        <f t="shared" si="6"/>
        <v>-10.372563964944268</v>
      </c>
      <c r="N32" s="11">
        <f t="shared" si="11"/>
        <v>2.3880205219143344E-7</v>
      </c>
      <c r="O32" s="20">
        <f t="shared" si="7"/>
        <v>-10.37258237721357</v>
      </c>
    </row>
    <row r="33" spans="4:15" x14ac:dyDescent="0.25">
      <c r="D33" s="22">
        <v>8.611111111111111E-2</v>
      </c>
      <c r="E33" s="11">
        <v>44.606839604445717</v>
      </c>
      <c r="F33" s="11">
        <f t="shared" si="8"/>
        <v>-10.373043141453136</v>
      </c>
      <c r="G33" s="11">
        <f t="shared" si="9"/>
        <v>5.2398503383270571E-7</v>
      </c>
      <c r="H33" s="11">
        <f t="shared" si="1"/>
        <v>2.2491748094756274E-4</v>
      </c>
      <c r="I33" s="11">
        <f t="shared" si="2"/>
        <v>2.3296767846820565E-3</v>
      </c>
      <c r="J33" s="11">
        <f t="shared" si="3"/>
        <v>1.1847428758704632E-6</v>
      </c>
      <c r="K33" s="11">
        <f t="shared" si="10"/>
        <v>-4.5702460332555343E-7</v>
      </c>
      <c r="L33" s="11">
        <f t="shared" si="5"/>
        <v>-2.0386423175828392E-5</v>
      </c>
      <c r="M33" s="11">
        <f t="shared" si="6"/>
        <v>-10.373023939772837</v>
      </c>
      <c r="N33" s="11">
        <f t="shared" si="11"/>
        <v>2.4650584283821486E-7</v>
      </c>
      <c r="O33" s="20">
        <f t="shared" si="7"/>
        <v>-10.37304338795898</v>
      </c>
    </row>
    <row r="34" spans="4:15" x14ac:dyDescent="0.25">
      <c r="D34" s="22">
        <v>8.8888888888888892E-2</v>
      </c>
      <c r="E34" s="11">
        <v>44.311800561408361</v>
      </c>
      <c r="F34" s="11">
        <f t="shared" si="8"/>
        <v>-10.373504310637905</v>
      </c>
      <c r="G34" s="11">
        <f t="shared" si="9"/>
        <v>2.8222788803399167E-7</v>
      </c>
      <c r="H34" s="11">
        <f t="shared" ref="H34:H65" si="12">BSGreeks(E34,$B$13,$B$14 - D34,$B$8, $B$5,$G$1)</f>
        <v>1.825706469220164E-4</v>
      </c>
      <c r="I34" s="11">
        <f t="shared" ref="I34:I65" si="13">G34/H34</f>
        <v>1.5458557703119881E-3</v>
      </c>
      <c r="J34" s="11">
        <f t="shared" ref="J34:J65" si="14">I34*BSCall(E34,$B$13,$B$14 - D34,$B$8,$B$5)</f>
        <v>6.0664964905716461E-7</v>
      </c>
      <c r="K34" s="11">
        <f t="shared" si="10"/>
        <v>-2.4211696573542746E-7</v>
      </c>
      <c r="L34" s="11">
        <f t="shared" ref="L34:L65" si="15">K34 * E34</f>
        <v>-1.0728638698201604E-5</v>
      </c>
      <c r="M34" s="11">
        <f t="shared" ref="M34:M65" si="16">F34 - L34 - J34</f>
        <v>-10.373494188648857</v>
      </c>
      <c r="N34" s="11">
        <f t="shared" si="11"/>
        <v>1.2310835192547055E-7</v>
      </c>
      <c r="O34" s="20">
        <f t="shared" ref="O34:O65" si="17">F34 - N34</f>
        <v>-10.373504433746257</v>
      </c>
    </row>
    <row r="35" spans="4:15" x14ac:dyDescent="0.25">
      <c r="D35" s="22">
        <v>9.1666666666666674E-2</v>
      </c>
      <c r="E35" s="11">
        <v>44.040618593155259</v>
      </c>
      <c r="F35" s="11">
        <f t="shared" ref="F35:F66" si="18">E35 * K34 + I34*BSCall(E35,$B$13,$B$14-D35,$B$8,$B$5) +  M34 * EXP($B$8*(D35 - D34))</f>
        <v>-10.37396543302108</v>
      </c>
      <c r="G35" s="11">
        <f t="shared" si="9"/>
        <v>1.5243557823350399E-7</v>
      </c>
      <c r="H35" s="11">
        <f t="shared" si="12"/>
        <v>1.4930459635565857E-4</v>
      </c>
      <c r="I35" s="11">
        <f t="shared" si="13"/>
        <v>1.0209704319509836E-3</v>
      </c>
      <c r="J35" s="11">
        <f t="shared" si="14"/>
        <v>3.124226284742306E-7</v>
      </c>
      <c r="K35" s="11">
        <f t="shared" si="10"/>
        <v>-1.2880177736007066E-7</v>
      </c>
      <c r="L35" s="11">
        <f t="shared" si="15"/>
        <v>-5.6725099508353721E-6</v>
      </c>
      <c r="M35" s="11">
        <f t="shared" si="16"/>
        <v>-10.373960072933757</v>
      </c>
      <c r="N35" s="11">
        <f t="shared" si="11"/>
        <v>6.1831691477339645E-8</v>
      </c>
      <c r="O35" s="20">
        <f t="shared" si="17"/>
        <v>-10.373965494852772</v>
      </c>
    </row>
    <row r="36" spans="4:15" x14ac:dyDescent="0.25">
      <c r="D36" s="22">
        <v>9.4444444444444442E-2</v>
      </c>
      <c r="E36" s="11">
        <v>44.485163226256965</v>
      </c>
      <c r="F36" s="11">
        <f t="shared" si="18"/>
        <v>-10.374426469476914</v>
      </c>
      <c r="G36" s="11">
        <f t="shared" si="9"/>
        <v>2.2986935777088437E-7</v>
      </c>
      <c r="H36" s="11">
        <f t="shared" si="12"/>
        <v>1.8662832026874096E-4</v>
      </c>
      <c r="I36" s="11">
        <f t="shared" si="13"/>
        <v>1.2316960118372024E-3</v>
      </c>
      <c r="J36" s="11">
        <f t="shared" si="14"/>
        <v>4.9264815751260977E-7</v>
      </c>
      <c r="K36" s="11">
        <f t="shared" si="10"/>
        <v>-1.9998146845950902E-7</v>
      </c>
      <c r="L36" s="11">
        <f t="shared" si="15"/>
        <v>-8.8962082666478182E-6</v>
      </c>
      <c r="M36" s="11">
        <f t="shared" si="16"/>
        <v>-10.374418065916805</v>
      </c>
      <c r="N36" s="11">
        <f t="shared" si="11"/>
        <v>9.6124762248273409E-8</v>
      </c>
      <c r="O36" s="20">
        <f t="shared" si="17"/>
        <v>-10.374426565601675</v>
      </c>
    </row>
    <row r="37" spans="4:15" x14ac:dyDescent="0.25">
      <c r="D37" s="22">
        <v>9.7222222222222224E-2</v>
      </c>
      <c r="E37" s="11">
        <v>44.924659845615885</v>
      </c>
      <c r="F37" s="11">
        <f t="shared" si="18"/>
        <v>-10.374887507363566</v>
      </c>
      <c r="G37" s="11">
        <f t="shared" si="9"/>
        <v>3.41643309892609E-7</v>
      </c>
      <c r="H37" s="11">
        <f t="shared" si="12"/>
        <v>2.3133521618635267E-4</v>
      </c>
      <c r="I37" s="11">
        <f t="shared" si="13"/>
        <v>1.4768322589388957E-3</v>
      </c>
      <c r="J37" s="11">
        <f t="shared" si="14"/>
        <v>7.6515260477304432E-7</v>
      </c>
      <c r="K37" s="11">
        <f t="shared" si="10"/>
        <v>-3.0594639330993005E-7</v>
      </c>
      <c r="L37" s="11">
        <f t="shared" si="15"/>
        <v>-1.374453765044162E-5</v>
      </c>
      <c r="M37" s="11">
        <f t="shared" si="16"/>
        <v>-10.37487452797852</v>
      </c>
      <c r="N37" s="11">
        <f t="shared" si="11"/>
        <v>1.4714041417977202E-7</v>
      </c>
      <c r="O37" s="20">
        <f t="shared" si="17"/>
        <v>-10.374887654503979</v>
      </c>
    </row>
    <row r="38" spans="4:15" x14ac:dyDescent="0.25">
      <c r="D38" s="22">
        <v>0.1</v>
      </c>
      <c r="E38" s="11">
        <v>45.033390524171665</v>
      </c>
      <c r="F38" s="11">
        <f t="shared" si="18"/>
        <v>-10.37534863738564</v>
      </c>
      <c r="G38" s="11">
        <f t="shared" si="9"/>
        <v>3.1635919467600233E-7</v>
      </c>
      <c r="H38" s="11">
        <f t="shared" si="12"/>
        <v>2.3679927932629031E-4</v>
      </c>
      <c r="I38" s="11">
        <f t="shared" si="13"/>
        <v>1.3359803947717462E-3</v>
      </c>
      <c r="J38" s="11">
        <f t="shared" si="14"/>
        <v>7.0938738528102924E-7</v>
      </c>
      <c r="K38" s="11">
        <f t="shared" si="10"/>
        <v>-2.857104637068397E-7</v>
      </c>
      <c r="L38" s="11">
        <f t="shared" si="15"/>
        <v>-1.2866510888952288E-5</v>
      </c>
      <c r="M38" s="11">
        <f t="shared" si="16"/>
        <v>-10.375336480262137</v>
      </c>
      <c r="N38" s="11">
        <f t="shared" si="11"/>
        <v>1.3364758664760535E-7</v>
      </c>
      <c r="O38" s="20">
        <f t="shared" si="17"/>
        <v>-10.375348771033227</v>
      </c>
    </row>
    <row r="39" spans="4:15" x14ac:dyDescent="0.25">
      <c r="D39" s="22">
        <v>0.10277777777777779</v>
      </c>
      <c r="E39" s="11">
        <v>46.079672619347754</v>
      </c>
      <c r="F39" s="11">
        <f t="shared" si="18"/>
        <v>-10.375809407984024</v>
      </c>
      <c r="G39" s="11">
        <f t="shared" si="9"/>
        <v>1.0740181298187802E-6</v>
      </c>
      <c r="H39" s="11">
        <f t="shared" si="12"/>
        <v>4.0569068787710608E-4</v>
      </c>
      <c r="I39" s="11">
        <f t="shared" si="13"/>
        <v>2.6473817662389315E-3</v>
      </c>
      <c r="J39" s="11">
        <f t="shared" si="14"/>
        <v>2.722792701156002E-6</v>
      </c>
      <c r="K39" s="11">
        <f t="shared" si="10"/>
        <v>-1.0369256993464826E-6</v>
      </c>
      <c r="L39" s="11">
        <f t="shared" si="15"/>
        <v>-4.7781196756474132E-5</v>
      </c>
      <c r="M39" s="11">
        <f t="shared" si="16"/>
        <v>-10.375764349579969</v>
      </c>
      <c r="N39" s="11">
        <f t="shared" si="11"/>
        <v>5.1077236531821161E-7</v>
      </c>
      <c r="O39" s="20">
        <f t="shared" si="17"/>
        <v>-10.375809918756389</v>
      </c>
    </row>
    <row r="40" spans="4:15" x14ac:dyDescent="0.25">
      <c r="D40" s="22">
        <v>0.10555555555555556</v>
      </c>
      <c r="E40" s="11">
        <v>46.735851238194272</v>
      </c>
      <c r="F40" s="11">
        <f t="shared" si="18"/>
        <v>-10.376269990128225</v>
      </c>
      <c r="G40" s="11">
        <f t="shared" si="9"/>
        <v>2.0628381969415957E-6</v>
      </c>
      <c r="H40" s="11">
        <f t="shared" si="12"/>
        <v>5.5109766000977997E-4</v>
      </c>
      <c r="I40" s="11">
        <f t="shared" si="13"/>
        <v>3.7431445397626763E-3</v>
      </c>
      <c r="J40" s="11">
        <f t="shared" si="14"/>
        <v>5.6222307888307407E-6</v>
      </c>
      <c r="K40" s="11">
        <f t="shared" si="10"/>
        <v>-2.0783460031083217E-6</v>
      </c>
      <c r="L40" s="11">
        <f t="shared" si="15"/>
        <v>-9.7133269622766178E-5</v>
      </c>
      <c r="M40" s="11">
        <f t="shared" si="16"/>
        <v>-10.376178479089392</v>
      </c>
      <c r="N40" s="11">
        <f t="shared" si="11"/>
        <v>1.0432183598502744E-6</v>
      </c>
      <c r="O40" s="20">
        <f t="shared" si="17"/>
        <v>-10.376271033346585</v>
      </c>
    </row>
    <row r="41" spans="4:15" x14ac:dyDescent="0.25">
      <c r="D41" s="22">
        <v>0.10833333333333334</v>
      </c>
      <c r="E41" s="11">
        <v>46.368839346959902</v>
      </c>
      <c r="F41" s="11">
        <f t="shared" si="18"/>
        <v>-10.376731791888375</v>
      </c>
      <c r="G41" s="11">
        <f t="shared" si="9"/>
        <v>1.0223358433921697E-6</v>
      </c>
      <c r="H41" s="11">
        <f t="shared" si="12"/>
        <v>4.4076436425484488E-4</v>
      </c>
      <c r="I41" s="11">
        <f t="shared" si="13"/>
        <v>2.3194612049014626E-3</v>
      </c>
      <c r="J41" s="11">
        <f t="shared" si="14"/>
        <v>2.6220295803824529E-6</v>
      </c>
      <c r="K41" s="11">
        <f t="shared" si="10"/>
        <v>-1.0087031289897839E-6</v>
      </c>
      <c r="L41" s="11">
        <f t="shared" si="15"/>
        <v>-4.6772393336903066E-5</v>
      </c>
      <c r="M41" s="11">
        <f t="shared" si="16"/>
        <v>-10.376687641524619</v>
      </c>
      <c r="N41" s="11">
        <f t="shared" si="11"/>
        <v>4.7159666772687915E-7</v>
      </c>
      <c r="O41" s="20">
        <f t="shared" si="17"/>
        <v>-10.376732263485042</v>
      </c>
    </row>
    <row r="42" spans="4:15" x14ac:dyDescent="0.25">
      <c r="D42" s="22">
        <v>0.11111111111111112</v>
      </c>
      <c r="E42" s="11">
        <v>46.620370222750459</v>
      </c>
      <c r="F42" s="11">
        <f t="shared" si="18"/>
        <v>-10.377192917716949</v>
      </c>
      <c r="G42" s="11">
        <f t="shared" si="9"/>
        <v>1.1485164848435245E-6</v>
      </c>
      <c r="H42" s="11">
        <f t="shared" si="12"/>
        <v>4.8563786917974865E-4</v>
      </c>
      <c r="I42" s="11">
        <f t="shared" si="13"/>
        <v>2.3649648384780828E-3</v>
      </c>
      <c r="J42" s="11">
        <f t="shared" si="14"/>
        <v>3.0040879471835819E-6</v>
      </c>
      <c r="K42" s="11">
        <f t="shared" si="10"/>
        <v>-1.1533141829306588E-6</v>
      </c>
      <c r="L42" s="11">
        <f t="shared" si="15"/>
        <v>-5.3767934191376263E-5</v>
      </c>
      <c r="M42" s="11">
        <f t="shared" si="16"/>
        <v>-10.377142153870704</v>
      </c>
      <c r="N42" s="11">
        <f t="shared" si="11"/>
        <v>5.2969094865202582E-7</v>
      </c>
      <c r="O42" s="20">
        <f t="shared" si="17"/>
        <v>-10.377193447407898</v>
      </c>
    </row>
    <row r="43" spans="4:15" x14ac:dyDescent="0.25">
      <c r="D43" s="22">
        <v>0.11388888888888889</v>
      </c>
      <c r="E43" s="11">
        <v>47.631732193783542</v>
      </c>
      <c r="F43" s="11">
        <f t="shared" si="18"/>
        <v>-10.377652866331237</v>
      </c>
      <c r="G43" s="11">
        <f t="shared" si="9"/>
        <v>3.502704647499757E-6</v>
      </c>
      <c r="H43" s="11">
        <f t="shared" si="12"/>
        <v>7.8056216993452462E-4</v>
      </c>
      <c r="I43" s="11">
        <f t="shared" si="13"/>
        <v>4.4874127678946728E-3</v>
      </c>
      <c r="J43" s="11">
        <f t="shared" si="14"/>
        <v>1.0319227362904864E-5</v>
      </c>
      <c r="K43" s="11">
        <f t="shared" si="10"/>
        <v>-3.7540383102069528E-6</v>
      </c>
      <c r="L43" s="11">
        <f t="shared" si="15"/>
        <v>-1.7881134743698128E-4</v>
      </c>
      <c r="M43" s="11">
        <f t="shared" si="16"/>
        <v>-10.377484374211162</v>
      </c>
      <c r="N43" s="11">
        <f t="shared" si="11"/>
        <v>1.8110466427049992E-6</v>
      </c>
      <c r="O43" s="20">
        <f t="shared" si="17"/>
        <v>-10.37765467737788</v>
      </c>
    </row>
    <row r="44" spans="4:15" x14ac:dyDescent="0.25">
      <c r="D44" s="22">
        <v>0.11666666666666667</v>
      </c>
      <c r="E44" s="11">
        <v>47.28554836891643</v>
      </c>
      <c r="F44" s="11">
        <f t="shared" si="18"/>
        <v>-10.378115166606714</v>
      </c>
      <c r="G44" s="11">
        <f t="shared" si="9"/>
        <v>1.7920817381678857E-6</v>
      </c>
      <c r="H44" s="11">
        <f t="shared" si="12"/>
        <v>6.3770078268902822E-4</v>
      </c>
      <c r="I44" s="11">
        <f t="shared" si="13"/>
        <v>2.8102235198945742E-3</v>
      </c>
      <c r="J44" s="11">
        <f t="shared" si="14"/>
        <v>4.9793693765942521E-6</v>
      </c>
      <c r="K44" s="11">
        <f t="shared" si="10"/>
        <v>-1.8834083713928116E-6</v>
      </c>
      <c r="L44" s="11">
        <f t="shared" si="15"/>
        <v>-8.9057997643916912E-5</v>
      </c>
      <c r="M44" s="11">
        <f t="shared" si="16"/>
        <v>-10.378031087978448</v>
      </c>
      <c r="N44" s="11">
        <f t="shared" si="11"/>
        <v>8.4522215021908323E-7</v>
      </c>
      <c r="O44" s="20">
        <f t="shared" si="17"/>
        <v>-10.378116011828864</v>
      </c>
    </row>
    <row r="45" spans="4:15" x14ac:dyDescent="0.25">
      <c r="D45" s="22">
        <v>0.11944444444444445</v>
      </c>
      <c r="E45" s="11">
        <v>47.330021527067331</v>
      </c>
      <c r="F45" s="11">
        <f t="shared" si="18"/>
        <v>-10.378576595548079</v>
      </c>
      <c r="G45" s="11">
        <f t="shared" si="9"/>
        <v>1.5106959643676328E-6</v>
      </c>
      <c r="H45" s="11">
        <f t="shared" si="12"/>
        <v>6.3101702141297924E-4</v>
      </c>
      <c r="I45" s="11">
        <f t="shared" si="13"/>
        <v>2.3940653153616495E-3</v>
      </c>
      <c r="J45" s="11">
        <f t="shared" si="14"/>
        <v>4.1660794974916529E-6</v>
      </c>
      <c r="K45" s="11">
        <f t="shared" si="10"/>
        <v>-1.595357619726802E-6</v>
      </c>
      <c r="L45" s="11">
        <f t="shared" si="15"/>
        <v>-7.5508310485040438E-5</v>
      </c>
      <c r="M45" s="11">
        <f t="shared" si="16"/>
        <v>-10.378505253317092</v>
      </c>
      <c r="N45" s="11">
        <f t="shared" si="11"/>
        <v>6.890965275908833E-7</v>
      </c>
      <c r="O45" s="20">
        <f t="shared" si="17"/>
        <v>-10.378577284644606</v>
      </c>
    </row>
    <row r="46" spans="4:15" x14ac:dyDescent="0.25">
      <c r="D46" s="22">
        <v>0.12222222222222223</v>
      </c>
      <c r="E46" s="11">
        <v>46.710458863485428</v>
      </c>
      <c r="F46" s="11">
        <f t="shared" si="18"/>
        <v>-10.379038393388187</v>
      </c>
      <c r="G46" s="11">
        <f t="shared" si="9"/>
        <v>4.8870878766091512E-7</v>
      </c>
      <c r="H46" s="11">
        <f t="shared" si="12"/>
        <v>4.4234445452017731E-4</v>
      </c>
      <c r="I46" s="11">
        <f t="shared" si="13"/>
        <v>1.1048149980562782E-3</v>
      </c>
      <c r="J46" s="11">
        <f t="shared" si="14"/>
        <v>1.2261386186500473E-6</v>
      </c>
      <c r="K46" s="11">
        <f t="shared" si="10"/>
        <v>-4.9737270735305105E-7</v>
      </c>
      <c r="L46" s="11">
        <f t="shared" si="15"/>
        <v>-2.3232507386635067E-5</v>
      </c>
      <c r="M46" s="11">
        <f t="shared" si="16"/>
        <v>-10.379016387019419</v>
      </c>
      <c r="N46" s="11">
        <f t="shared" si="11"/>
        <v>1.9478126639806815E-7</v>
      </c>
      <c r="O46" s="20">
        <f t="shared" si="17"/>
        <v>-10.379038588169454</v>
      </c>
    </row>
    <row r="47" spans="4:15" x14ac:dyDescent="0.25">
      <c r="D47" s="22">
        <v>0.125</v>
      </c>
      <c r="E47" s="11">
        <v>48.31071456646594</v>
      </c>
      <c r="F47" s="11">
        <f t="shared" si="18"/>
        <v>-10.37949849136233</v>
      </c>
      <c r="G47" s="11">
        <f t="shared" si="9"/>
        <v>3.5428113591142779E-6</v>
      </c>
      <c r="H47" s="11">
        <f t="shared" si="12"/>
        <v>9.5559170682109622E-4</v>
      </c>
      <c r="I47" s="11">
        <f t="shared" si="13"/>
        <v>3.7074530197629221E-3</v>
      </c>
      <c r="J47" s="11">
        <f t="shared" si="14"/>
        <v>1.0818703804558231E-5</v>
      </c>
      <c r="K47" s="11">
        <f t="shared" si="10"/>
        <v>-3.9962472013145723E-6</v>
      </c>
      <c r="L47" s="11">
        <f t="shared" si="15"/>
        <v>-1.9306155787974664E-4</v>
      </c>
      <c r="M47" s="11">
        <f t="shared" si="16"/>
        <v>-10.379316248508255</v>
      </c>
      <c r="N47" s="11">
        <f t="shared" si="11"/>
        <v>1.7290705259578136E-6</v>
      </c>
      <c r="O47" s="20">
        <f t="shared" si="17"/>
        <v>-10.379500220432856</v>
      </c>
    </row>
    <row r="48" spans="4:15" x14ac:dyDescent="0.25">
      <c r="D48" s="22">
        <v>0.1277777777777778</v>
      </c>
      <c r="E48" s="11">
        <v>48.545600402049274</v>
      </c>
      <c r="F48" s="11">
        <f t="shared" si="18"/>
        <v>-10.379959631691197</v>
      </c>
      <c r="G48" s="11">
        <f t="shared" si="9"/>
        <v>3.841846708780334E-6</v>
      </c>
      <c r="H48" s="11">
        <f t="shared" si="12"/>
        <v>1.0355452013180914E-3</v>
      </c>
      <c r="I48" s="11">
        <f t="shared" si="13"/>
        <v>3.7099749039349009E-3</v>
      </c>
      <c r="J48" s="11">
        <f t="shared" si="14"/>
        <v>1.1938347691795829E-5</v>
      </c>
      <c r="K48" s="11">
        <f t="shared" si="10"/>
        <v>-4.4080360535126889E-6</v>
      </c>
      <c r="L48" s="11">
        <f t="shared" si="15"/>
        <v>-2.1399075681165328E-4</v>
      </c>
      <c r="M48" s="11">
        <f t="shared" si="16"/>
        <v>-10.379757579282076</v>
      </c>
      <c r="N48" s="11">
        <f t="shared" si="11"/>
        <v>1.8633211505393938E-6</v>
      </c>
      <c r="O48" s="20">
        <f t="shared" si="17"/>
        <v>-10.379961495012347</v>
      </c>
    </row>
    <row r="49" spans="4:15" x14ac:dyDescent="0.25">
      <c r="D49" s="22">
        <v>0.13055555555555556</v>
      </c>
      <c r="E49" s="11">
        <v>47.446614173392049</v>
      </c>
      <c r="F49" s="11">
        <f t="shared" si="18"/>
        <v>-10.380422304516291</v>
      </c>
      <c r="G49" s="11">
        <f t="shared" si="9"/>
        <v>6.4087560568245518E-7</v>
      </c>
      <c r="H49" s="11">
        <f t="shared" si="12"/>
        <v>5.8482228004809282E-4</v>
      </c>
      <c r="I49" s="11">
        <f t="shared" si="13"/>
        <v>1.0958467684058699E-3</v>
      </c>
      <c r="J49" s="11">
        <f t="shared" si="14"/>
        <v>1.6995967355396537E-6</v>
      </c>
      <c r="K49" s="11">
        <f t="shared" si="10"/>
        <v>-6.8740839750002287E-7</v>
      </c>
      <c r="L49" s="11">
        <f t="shared" si="15"/>
        <v>-3.26152010157333E-5</v>
      </c>
      <c r="M49" s="11">
        <f t="shared" si="16"/>
        <v>-10.38039138891201</v>
      </c>
      <c r="N49" s="11">
        <f t="shared" si="11"/>
        <v>2.5106306703386298E-7</v>
      </c>
      <c r="O49" s="20">
        <f t="shared" si="17"/>
        <v>-10.380422555579358</v>
      </c>
    </row>
    <row r="50" spans="4:15" x14ac:dyDescent="0.25">
      <c r="D50" s="22">
        <v>0.13333333333333333</v>
      </c>
      <c r="E50" s="11">
        <v>47.543541541228443</v>
      </c>
      <c r="F50" s="11">
        <f t="shared" si="18"/>
        <v>-10.380883708103971</v>
      </c>
      <c r="G50" s="11">
        <f t="shared" si="9"/>
        <v>5.5808339969066794E-7</v>
      </c>
      <c r="H50" s="11">
        <f t="shared" si="12"/>
        <v>5.9374743080009692E-4</v>
      </c>
      <c r="I50" s="11">
        <f t="shared" si="13"/>
        <v>9.3993400348466288E-4</v>
      </c>
      <c r="J50" s="11">
        <f t="shared" si="14"/>
        <v>1.4783888667557956E-6</v>
      </c>
      <c r="K50" s="11">
        <f t="shared" si="10"/>
        <v>-6.0354954133422126E-7</v>
      </c>
      <c r="L50" s="11">
        <f t="shared" si="15"/>
        <v>-2.8694882690612921E-5</v>
      </c>
      <c r="M50" s="11">
        <f t="shared" si="16"/>
        <v>-10.380856491610148</v>
      </c>
      <c r="N50" s="11">
        <f t="shared" si="11"/>
        <v>2.1213118523445569E-7</v>
      </c>
      <c r="O50" s="20">
        <f t="shared" si="17"/>
        <v>-10.380883920235156</v>
      </c>
    </row>
    <row r="51" spans="4:15" x14ac:dyDescent="0.25">
      <c r="D51" s="22">
        <v>0.13611111111111113</v>
      </c>
      <c r="E51" s="11">
        <v>46.903550405176716</v>
      </c>
      <c r="F51" s="11">
        <f t="shared" si="18"/>
        <v>-10.381345261540819</v>
      </c>
      <c r="G51" s="11">
        <f t="shared" si="9"/>
        <v>1.5052288487604068E-7</v>
      </c>
      <c r="H51" s="11">
        <f t="shared" si="12"/>
        <v>4.07729574707483E-4</v>
      </c>
      <c r="I51" s="11">
        <f t="shared" si="13"/>
        <v>3.6917333010250765E-4</v>
      </c>
      <c r="J51" s="11">
        <f t="shared" si="14"/>
        <v>3.6147675756518916E-7</v>
      </c>
      <c r="K51" s="11">
        <f t="shared" si="10"/>
        <v>-1.5661127331018075E-7</v>
      </c>
      <c r="L51" s="11">
        <f t="shared" si="15"/>
        <v>-7.3456247517229699E-6</v>
      </c>
      <c r="M51" s="11">
        <f t="shared" si="16"/>
        <v>-10.381338277392825</v>
      </c>
      <c r="N51" s="11">
        <f t="shared" si="11"/>
        <v>4.9537629043152273E-8</v>
      </c>
      <c r="O51" s="20">
        <f t="shared" si="17"/>
        <v>-10.381345311078448</v>
      </c>
    </row>
    <row r="52" spans="4:15" x14ac:dyDescent="0.25">
      <c r="D52" s="22">
        <v>0.1388888888888889</v>
      </c>
      <c r="E52" s="11">
        <v>46.28045019304907</v>
      </c>
      <c r="F52" s="11">
        <f t="shared" si="18"/>
        <v>-10.381806706136899</v>
      </c>
      <c r="G52" s="11">
        <f t="shared" si="9"/>
        <v>3.6959846958067352E-8</v>
      </c>
      <c r="H52" s="11">
        <f t="shared" si="12"/>
        <v>2.7605889884752742E-4</v>
      </c>
      <c r="I52" s="11">
        <f t="shared" si="13"/>
        <v>1.3388391793332834E-4</v>
      </c>
      <c r="J52" s="11">
        <f t="shared" si="14"/>
        <v>8.0641444430236658E-8</v>
      </c>
      <c r="K52" s="11">
        <f t="shared" si="10"/>
        <v>-3.7029204687818486E-8</v>
      </c>
      <c r="L52" s="11">
        <f t="shared" si="15"/>
        <v>-1.7137282632428026E-6</v>
      </c>
      <c r="M52" s="11">
        <f t="shared" si="16"/>
        <v>-10.38180507305008</v>
      </c>
      <c r="N52" s="11">
        <f t="shared" si="11"/>
        <v>1.0553152822294007E-8</v>
      </c>
      <c r="O52" s="20">
        <f t="shared" si="17"/>
        <v>-10.381806716690052</v>
      </c>
    </row>
    <row r="53" spans="4:15" x14ac:dyDescent="0.25">
      <c r="D53" s="22">
        <v>0.14166666666666666</v>
      </c>
      <c r="E53" s="11">
        <v>46.691141856675792</v>
      </c>
      <c r="F53" s="11">
        <f t="shared" si="18"/>
        <v>-10.382268123988929</v>
      </c>
      <c r="G53" s="11">
        <f t="shared" si="9"/>
        <v>5.2258433275798533E-8</v>
      </c>
      <c r="H53" s="11">
        <f t="shared" si="12"/>
        <v>3.3499443672647478E-4</v>
      </c>
      <c r="I53" s="11">
        <f t="shared" si="13"/>
        <v>1.5599791383541064E-4</v>
      </c>
      <c r="J53" s="11">
        <f t="shared" si="14"/>
        <v>1.1862577373688358E-7</v>
      </c>
      <c r="K53" s="11">
        <f t="shared" si="10"/>
        <v>-5.3852653953627939E-8</v>
      </c>
      <c r="L53" s="11">
        <f t="shared" si="15"/>
        <v>-2.5144419051073143E-6</v>
      </c>
      <c r="M53" s="11">
        <f t="shared" si="16"/>
        <v>-10.382265728172799</v>
      </c>
      <c r="N53" s="11">
        <f t="shared" si="11"/>
        <v>1.5123839323576785E-8</v>
      </c>
      <c r="O53" s="20">
        <f t="shared" si="17"/>
        <v>-10.382268139112769</v>
      </c>
    </row>
    <row r="54" spans="4:15" x14ac:dyDescent="0.25">
      <c r="D54" s="22">
        <v>0.14444444444444446</v>
      </c>
      <c r="E54" s="11">
        <v>46.412886568263318</v>
      </c>
      <c r="F54" s="11">
        <f t="shared" si="18"/>
        <v>-10.382729579695784</v>
      </c>
      <c r="G54" s="11">
        <f t="shared" si="9"/>
        <v>2.1522294121055454E-8</v>
      </c>
      <c r="H54" s="11">
        <f t="shared" si="12"/>
        <v>2.7403991783434928E-4</v>
      </c>
      <c r="I54" s="11">
        <f t="shared" si="13"/>
        <v>7.8537076974549304E-5</v>
      </c>
      <c r="J54" s="11">
        <f t="shared" si="14"/>
        <v>4.6428487719486935E-8</v>
      </c>
      <c r="K54" s="11">
        <f t="shared" si="10"/>
        <v>-2.1829593890459622E-8</v>
      </c>
      <c r="L54" s="11">
        <f t="shared" si="15"/>
        <v>-1.0131744650691563E-6</v>
      </c>
      <c r="M54" s="11">
        <f t="shared" si="16"/>
        <v>-10.382728612949807</v>
      </c>
      <c r="N54" s="11">
        <f t="shared" si="11"/>
        <v>5.6791068316991171E-9</v>
      </c>
      <c r="O54" s="20">
        <f t="shared" si="17"/>
        <v>-10.382729585374891</v>
      </c>
    </row>
    <row r="55" spans="4:15" x14ac:dyDescent="0.25">
      <c r="D55" s="22">
        <v>0.14722222222222223</v>
      </c>
      <c r="E55" s="11">
        <v>45.588833203637044</v>
      </c>
      <c r="F55" s="11">
        <f t="shared" si="18"/>
        <v>-10.383191049104433</v>
      </c>
      <c r="G55" s="11">
        <f t="shared" si="9"/>
        <v>2.847381652569873E-9</v>
      </c>
      <c r="H55" s="11">
        <f t="shared" si="12"/>
        <v>1.594124807215327E-4</v>
      </c>
      <c r="I55" s="11">
        <f t="shared" si="13"/>
        <v>1.7861723496692702E-5</v>
      </c>
      <c r="J55" s="11">
        <f t="shared" si="14"/>
        <v>5.4334972795026674E-9</v>
      </c>
      <c r="K55" s="11">
        <f t="shared" si="10"/>
        <v>-2.7444328399508411E-9</v>
      </c>
      <c r="L55" s="11">
        <f t="shared" si="15"/>
        <v>-1.2511549097910282E-7</v>
      </c>
      <c r="M55" s="11">
        <f t="shared" si="16"/>
        <v>-10.383190929422438</v>
      </c>
      <c r="N55" s="11">
        <f t="shared" si="11"/>
        <v>6.3011456685625066E-10</v>
      </c>
      <c r="O55" s="20">
        <f t="shared" si="17"/>
        <v>-10.383191049734547</v>
      </c>
    </row>
    <row r="56" spans="4:15" x14ac:dyDescent="0.25">
      <c r="D56" s="22">
        <v>0.15</v>
      </c>
      <c r="E56" s="11">
        <v>45.332998273054685</v>
      </c>
      <c r="F56" s="11">
        <f t="shared" si="18"/>
        <v>-10.38365253504878</v>
      </c>
      <c r="G56" s="11">
        <f t="shared" si="9"/>
        <v>1.0246410944791063E-9</v>
      </c>
      <c r="H56" s="11">
        <f t="shared" si="12"/>
        <v>1.2914827335815723E-4</v>
      </c>
      <c r="I56" s="11">
        <f t="shared" si="13"/>
        <v>7.9338350241628541E-6</v>
      </c>
      <c r="J56" s="11">
        <f t="shared" si="14"/>
        <v>1.8631611912526428E-9</v>
      </c>
      <c r="K56" s="11">
        <f t="shared" si="10"/>
        <v>-9.7323711191906522E-10</v>
      </c>
      <c r="L56" s="11">
        <f t="shared" si="15"/>
        <v>-4.4119756313899712E-8</v>
      </c>
      <c r="M56" s="11">
        <f t="shared" si="16"/>
        <v>-10.383652492792185</v>
      </c>
      <c r="N56" s="11">
        <f t="shared" si="11"/>
        <v>2.0692271624529445E-10</v>
      </c>
      <c r="O56" s="20">
        <f t="shared" si="17"/>
        <v>-10.383652535255703</v>
      </c>
    </row>
    <row r="57" spans="4:15" x14ac:dyDescent="0.25">
      <c r="D57" s="22">
        <v>0.15277777777777779</v>
      </c>
      <c r="E57" s="11">
        <v>45.1915599648257</v>
      </c>
      <c r="F57" s="11">
        <f t="shared" si="18"/>
        <v>-10.384114041132939</v>
      </c>
      <c r="G57" s="11">
        <f t="shared" si="9"/>
        <v>4.4228537275586877E-10</v>
      </c>
      <c r="H57" s="11">
        <f t="shared" si="12"/>
        <v>1.1204455108103946E-4</v>
      </c>
      <c r="I57" s="11">
        <f t="shared" si="13"/>
        <v>3.9474063529958997E-6</v>
      </c>
      <c r="J57" s="11">
        <f t="shared" si="14"/>
        <v>7.7780815998679313E-10</v>
      </c>
      <c r="K57" s="11">
        <f t="shared" si="10"/>
        <v>-4.1702789518720595E-10</v>
      </c>
      <c r="L57" s="11">
        <f t="shared" si="15"/>
        <v>-1.8846141132357664E-8</v>
      </c>
      <c r="M57" s="11">
        <f t="shared" si="16"/>
        <v>-10.384114023064607</v>
      </c>
      <c r="N57" s="11">
        <f t="shared" si="11"/>
        <v>8.2791499284491606E-11</v>
      </c>
      <c r="O57" s="20">
        <f t="shared" si="17"/>
        <v>-10.38411404121573</v>
      </c>
    </row>
    <row r="58" spans="4:15" x14ac:dyDescent="0.25">
      <c r="D58" s="22">
        <v>0.15555555555555556</v>
      </c>
      <c r="E58" s="11">
        <v>44.945093263734272</v>
      </c>
      <c r="F58" s="11">
        <f t="shared" si="18"/>
        <v>-10.384575567645031</v>
      </c>
      <c r="G58" s="11">
        <f t="shared" si="9"/>
        <v>1.4209630767656066E-10</v>
      </c>
      <c r="H58" s="11">
        <f t="shared" si="12"/>
        <v>9.0286081634799082E-5</v>
      </c>
      <c r="I58" s="11">
        <f t="shared" si="13"/>
        <v>1.5738451055095108E-6</v>
      </c>
      <c r="J58" s="11">
        <f t="shared" si="14"/>
        <v>2.3834556642260854E-10</v>
      </c>
      <c r="K58" s="11">
        <f t="shared" si="10"/>
        <v>-1.3209927398888773E-10</v>
      </c>
      <c r="L58" s="11">
        <f t="shared" si="15"/>
        <v>-5.9372141895021459E-9</v>
      </c>
      <c r="M58" s="11">
        <f t="shared" si="16"/>
        <v>-10.384575561946164</v>
      </c>
      <c r="N58" s="11">
        <f t="shared" si="11"/>
        <v>2.4231495610905156E-11</v>
      </c>
      <c r="O58" s="20">
        <f t="shared" si="17"/>
        <v>-10.384575567669263</v>
      </c>
    </row>
    <row r="59" spans="4:15" x14ac:dyDescent="0.25">
      <c r="D59" s="22">
        <v>0.15833333333333333</v>
      </c>
      <c r="E59" s="11">
        <v>45.719871043579033</v>
      </c>
      <c r="F59" s="11">
        <f t="shared" si="18"/>
        <v>-10.38503711452341</v>
      </c>
      <c r="G59" s="11">
        <f t="shared" si="9"/>
        <v>4.5526791972382669E-10</v>
      </c>
      <c r="H59" s="11">
        <f t="shared" si="12"/>
        <v>1.4260511364192776E-4</v>
      </c>
      <c r="I59" s="11">
        <f t="shared" si="13"/>
        <v>3.1925076744931816E-6</v>
      </c>
      <c r="J59" s="11">
        <f t="shared" si="14"/>
        <v>8.326495348543182E-10</v>
      </c>
      <c r="K59" s="11">
        <f t="shared" si="10"/>
        <v>-4.4578183503417697E-10</v>
      </c>
      <c r="L59" s="11">
        <f t="shared" si="15"/>
        <v>-2.0381088011332593E-8</v>
      </c>
      <c r="M59" s="11">
        <f t="shared" si="16"/>
        <v>-10.385037094974971</v>
      </c>
      <c r="N59" s="11">
        <f t="shared" si="11"/>
        <v>8.2307127717219022E-11</v>
      </c>
      <c r="O59" s="20">
        <f t="shared" si="17"/>
        <v>-10.385037114605717</v>
      </c>
    </row>
    <row r="60" spans="4:15" x14ac:dyDescent="0.25">
      <c r="D60" s="22">
        <v>0.16111111111111112</v>
      </c>
      <c r="E60" s="11">
        <v>46.709973506993158</v>
      </c>
      <c r="F60" s="11">
        <f t="shared" si="18"/>
        <v>-10.385498681614203</v>
      </c>
      <c r="G60" s="11">
        <f t="shared" si="9"/>
        <v>2.2338514362662791E-9</v>
      </c>
      <c r="H60" s="11">
        <f t="shared" si="12"/>
        <v>2.5098527063413827E-4</v>
      </c>
      <c r="I60" s="11">
        <f t="shared" si="13"/>
        <v>8.9003288146042994E-6</v>
      </c>
      <c r="J60" s="11">
        <f t="shared" si="14"/>
        <v>4.5844594044649571E-9</v>
      </c>
      <c r="K60" s="11">
        <f t="shared" si="10"/>
        <v>-2.3368933822436438E-9</v>
      </c>
      <c r="L60" s="11">
        <f t="shared" si="15"/>
        <v>-1.0915622797326824E-7</v>
      </c>
      <c r="M60" s="11">
        <f t="shared" si="16"/>
        <v>-10.385498577042435</v>
      </c>
      <c r="N60" s="11">
        <f t="shared" si="11"/>
        <v>4.4241008606213583E-10</v>
      </c>
      <c r="O60" s="20">
        <f t="shared" si="17"/>
        <v>-10.385498682056614</v>
      </c>
    </row>
    <row r="61" spans="4:15" x14ac:dyDescent="0.25">
      <c r="D61" s="22">
        <v>0.16388888888888889</v>
      </c>
      <c r="E61" s="11">
        <v>46.589060631274307</v>
      </c>
      <c r="F61" s="11">
        <f t="shared" si="18"/>
        <v>-10.385960269943292</v>
      </c>
      <c r="G61" s="11">
        <f t="shared" si="9"/>
        <v>9.6255606635230297E-10</v>
      </c>
      <c r="H61" s="11">
        <f t="shared" si="12"/>
        <v>2.2281729833932608E-4</v>
      </c>
      <c r="I61" s="11">
        <f t="shared" si="13"/>
        <v>4.3199341950840667E-6</v>
      </c>
      <c r="J61" s="11">
        <f t="shared" si="14"/>
        <v>1.9146695809025638E-9</v>
      </c>
      <c r="K61" s="11">
        <f t="shared" si="10"/>
        <v>-1.0010435140135515E-9</v>
      </c>
      <c r="L61" s="11">
        <f t="shared" si="15"/>
        <v>-4.663767696892124E-8</v>
      </c>
      <c r="M61" s="11">
        <f t="shared" si="16"/>
        <v>-10.385960225220284</v>
      </c>
      <c r="N61" s="11">
        <f t="shared" si="11"/>
        <v>1.759542222437078E-10</v>
      </c>
      <c r="O61" s="20">
        <f t="shared" si="17"/>
        <v>-10.385960270119245</v>
      </c>
    </row>
    <row r="62" spans="4:15" x14ac:dyDescent="0.25">
      <c r="D62" s="22">
        <v>0.16666666666666669</v>
      </c>
      <c r="E62" s="11">
        <v>46.302389479980263</v>
      </c>
      <c r="F62" s="11">
        <f t="shared" si="18"/>
        <v>-10.386421878612026</v>
      </c>
      <c r="G62" s="11">
        <f t="shared" si="9"/>
        <v>2.6521666481167147E-10</v>
      </c>
      <c r="H62" s="11">
        <f t="shared" si="12"/>
        <v>1.778621416913041E-4</v>
      </c>
      <c r="I62" s="11">
        <f t="shared" si="13"/>
        <v>1.491136125370508E-6</v>
      </c>
      <c r="J62" s="11">
        <f t="shared" si="14"/>
        <v>5.0018923621037794E-10</v>
      </c>
      <c r="K62" s="11">
        <f t="shared" si="10"/>
        <v>-2.7124299842093833E-10</v>
      </c>
      <c r="L62" s="11">
        <f t="shared" si="15"/>
        <v>-1.2559198956603958E-8</v>
      </c>
      <c r="M62" s="11">
        <f t="shared" si="16"/>
        <v>-10.386421866553018</v>
      </c>
      <c r="N62" s="11">
        <f t="shared" si="11"/>
        <v>4.3534825762904689E-11</v>
      </c>
      <c r="O62" s="20">
        <f t="shared" si="17"/>
        <v>-10.386421878655561</v>
      </c>
    </row>
    <row r="63" spans="4:15" x14ac:dyDescent="0.25">
      <c r="D63" s="22">
        <v>0.16944444444444445</v>
      </c>
      <c r="E63" s="11">
        <v>45.81996712850831</v>
      </c>
      <c r="F63" s="11">
        <f t="shared" si="18"/>
        <v>-10.38688350766734</v>
      </c>
      <c r="G63" s="11">
        <f t="shared" ref="G63:G91" si="19">BSGreeks(E63,$B$3,$B$6 - D63,$B$8, $B$5,$G$1)</f>
        <v>4.0173301125315324E-11</v>
      </c>
      <c r="H63" s="11">
        <f t="shared" si="12"/>
        <v>1.2393720918741513E-4</v>
      </c>
      <c r="I63" s="11">
        <f t="shared" si="13"/>
        <v>3.2414237329296437E-7</v>
      </c>
      <c r="J63" s="11">
        <f t="shared" si="14"/>
        <v>6.9994804372275843E-11</v>
      </c>
      <c r="K63" s="11">
        <f t="shared" ref="K63:K91" si="20">BSGreeks(E63,$B$3,$B$6 - D63,$B$8, $B$5,$K$1) - I63 *BSGreeks(E63,$B$13,$B$14 - D63,$B$8, $B$5,$K$1)</f>
        <v>-3.988794558138622E-11</v>
      </c>
      <c r="L63" s="11">
        <f t="shared" si="15"/>
        <v>-1.827664355362845E-9</v>
      </c>
      <c r="M63" s="11">
        <f t="shared" si="16"/>
        <v>-10.386883505909671</v>
      </c>
      <c r="N63" s="11">
        <f t="shared" ref="N63:N91" si="21">BSCall(E63,$B$3, $B$6 - D63,$B$8,$B$5)</f>
        <v>5.7352752292747691E-12</v>
      </c>
      <c r="O63" s="20">
        <f t="shared" si="17"/>
        <v>-10.386883507673076</v>
      </c>
    </row>
    <row r="64" spans="4:15" x14ac:dyDescent="0.25">
      <c r="D64" s="22">
        <v>0.17222222222222222</v>
      </c>
      <c r="E64" s="11">
        <v>45.347264527671548</v>
      </c>
      <c r="F64" s="11">
        <f t="shared" si="18"/>
        <v>-10.38734515719962</v>
      </c>
      <c r="G64" s="11">
        <f t="shared" si="19"/>
        <v>5.1889909752222178E-12</v>
      </c>
      <c r="H64" s="11">
        <f t="shared" si="12"/>
        <v>8.5362721818252508E-5</v>
      </c>
      <c r="I64" s="11">
        <f t="shared" si="13"/>
        <v>6.0787552982087458E-8</v>
      </c>
      <c r="J64" s="11">
        <f t="shared" si="14"/>
        <v>8.362122222089735E-12</v>
      </c>
      <c r="K64" s="11">
        <f t="shared" si="20"/>
        <v>-5.0045645980273492E-12</v>
      </c>
      <c r="L64" s="11">
        <f t="shared" si="15"/>
        <v>-2.2694331467256642E-10</v>
      </c>
      <c r="M64" s="11">
        <f t="shared" si="16"/>
        <v>-10.387345156981038</v>
      </c>
      <c r="N64" s="11">
        <f t="shared" si="21"/>
        <v>6.4392557346386233E-13</v>
      </c>
      <c r="O64" s="20">
        <f t="shared" si="17"/>
        <v>-10.387345157200263</v>
      </c>
    </row>
    <row r="65" spans="4:15" x14ac:dyDescent="0.25">
      <c r="D65" s="22">
        <v>0.17500000000000002</v>
      </c>
      <c r="E65" s="11">
        <v>45.529067381859434</v>
      </c>
      <c r="F65" s="11">
        <f t="shared" si="18"/>
        <v>-10.387806827243878</v>
      </c>
      <c r="G65" s="11">
        <f t="shared" si="19"/>
        <v>3.5542711370559351E-12</v>
      </c>
      <c r="H65" s="11">
        <f t="shared" si="12"/>
        <v>9.1393776351896138E-5</v>
      </c>
      <c r="I65" s="11">
        <f t="shared" si="13"/>
        <v>3.8889640836929866E-8</v>
      </c>
      <c r="J65" s="11">
        <f t="shared" si="14"/>
        <v>5.7738758701399695E-12</v>
      </c>
      <c r="K65" s="11">
        <f t="shared" si="20"/>
        <v>-3.4753040733244874E-12</v>
      </c>
      <c r="L65" s="11">
        <f t="shared" si="15"/>
        <v>-1.5822735332684116E-10</v>
      </c>
      <c r="M65" s="11">
        <f t="shared" si="16"/>
        <v>-10.387806827091424</v>
      </c>
      <c r="N65" s="11">
        <f t="shared" si="21"/>
        <v>4.2231834565588635E-13</v>
      </c>
      <c r="O65" s="20">
        <f t="shared" si="17"/>
        <v>-10.387806827244301</v>
      </c>
    </row>
    <row r="66" spans="4:15" x14ac:dyDescent="0.25">
      <c r="D66" s="22">
        <v>0.17777777777777778</v>
      </c>
      <c r="E66" s="11">
        <v>45.421978241102032</v>
      </c>
      <c r="F66" s="11">
        <f t="shared" si="18"/>
        <v>-10.388268517807507</v>
      </c>
      <c r="G66" s="11">
        <f t="shared" si="19"/>
        <v>1.019038478462908E-12</v>
      </c>
      <c r="H66" s="11">
        <f t="shared" ref="H66:H91" si="22">BSGreeks(E66,$B$13,$B$14 - D66,$B$8, $B$5,$G$1)</f>
        <v>8.0144880690444925E-5</v>
      </c>
      <c r="I66" s="11">
        <f t="shared" ref="I66:I91" si="23">G66/H66</f>
        <v>1.2714954089193627E-8</v>
      </c>
      <c r="J66" s="11">
        <f t="shared" ref="J66:J91" si="24">I66*BSCall(E66,$B$13,$B$14 - D66,$B$8,$B$5)</f>
        <v>1.6061856445308027E-12</v>
      </c>
      <c r="K66" s="11">
        <f t="shared" si="20"/>
        <v>-9.9122827931058299E-13</v>
      </c>
      <c r="L66" s="11">
        <f t="shared" ref="L66:L91" si="25">K66 * E66</f>
        <v>-4.5023549334810307E-11</v>
      </c>
      <c r="M66" s="11">
        <f t="shared" ref="M66:M91" si="26">F66 - L66 - J66</f>
        <v>-10.388268517764089</v>
      </c>
      <c r="N66" s="11">
        <f t="shared" si="21"/>
        <v>1.1066191718253608E-13</v>
      </c>
      <c r="O66" s="20">
        <f t="shared" ref="O66:O91" si="27">F66 - N66</f>
        <v>-10.388268517807617</v>
      </c>
    </row>
    <row r="67" spans="4:15" x14ac:dyDescent="0.25">
      <c r="D67" s="22">
        <v>0.18055555555555555</v>
      </c>
      <c r="E67" s="11">
        <v>45.318455751981347</v>
      </c>
      <c r="F67" s="11">
        <f t="shared" ref="F67:F92" si="28">E67 * K66 + I66*BSCall(E67,$B$13,$B$14-D67,$B$8,$B$5) +  M66 * EXP($B$8*(D67 - D66))</f>
        <v>-10.388730228890825</v>
      </c>
      <c r="G67" s="11">
        <f t="shared" si="19"/>
        <v>2.6624348554453178E-13</v>
      </c>
      <c r="H67" s="11">
        <f t="shared" si="22"/>
        <v>7.0246501049320894E-5</v>
      </c>
      <c r="I67" s="11">
        <f t="shared" si="23"/>
        <v>3.7901316302942849E-9</v>
      </c>
      <c r="J67" s="11">
        <f t="shared" si="24"/>
        <v>4.0729360786839107E-13</v>
      </c>
      <c r="K67" s="11">
        <f t="shared" si="20"/>
        <v>-2.5768793290951435E-13</v>
      </c>
      <c r="L67" s="11">
        <f t="shared" si="25"/>
        <v>-1.1678019185379364E-11</v>
      </c>
      <c r="M67" s="11">
        <f t="shared" si="26"/>
        <v>-10.388730228879554</v>
      </c>
      <c r="N67" s="11">
        <f t="shared" si="21"/>
        <v>2.6360328436294107E-14</v>
      </c>
      <c r="O67" s="20">
        <f t="shared" si="27"/>
        <v>-10.388730228890852</v>
      </c>
    </row>
    <row r="68" spans="4:15" x14ac:dyDescent="0.25">
      <c r="D68" s="22">
        <v>0.18333333333333335</v>
      </c>
      <c r="E68" s="11">
        <v>45.588639885622968</v>
      </c>
      <c r="F68" s="11">
        <f t="shared" si="28"/>
        <v>-10.38919196049496</v>
      </c>
      <c r="G68" s="11">
        <f t="shared" si="19"/>
        <v>2.0275289063419685E-13</v>
      </c>
      <c r="H68" s="11">
        <f t="shared" si="22"/>
        <v>8.0068389673369276E-5</v>
      </c>
      <c r="I68" s="11">
        <f t="shared" si="23"/>
        <v>2.5322463891344176E-9</v>
      </c>
      <c r="J68" s="11">
        <f t="shared" si="24"/>
        <v>3.1621182570534627E-13</v>
      </c>
      <c r="K68" s="11">
        <f t="shared" si="20"/>
        <v>-2.0012719898352344E-13</v>
      </c>
      <c r="L68" s="11">
        <f t="shared" si="25"/>
        <v>-9.1235268057782606E-12</v>
      </c>
      <c r="M68" s="11">
        <f t="shared" si="26"/>
        <v>-10.389191960486153</v>
      </c>
      <c r="N68" s="11">
        <f t="shared" si="21"/>
        <v>1.9311090974914922E-14</v>
      </c>
      <c r="O68" s="20">
        <f t="shared" si="27"/>
        <v>-10.38919196049498</v>
      </c>
    </row>
    <row r="69" spans="4:15" x14ac:dyDescent="0.25">
      <c r="D69" s="22">
        <v>0.18611111111111112</v>
      </c>
      <c r="E69" s="11">
        <v>45.374221503241735</v>
      </c>
      <c r="F69" s="11">
        <f t="shared" si="28"/>
        <v>-10.389653712620982</v>
      </c>
      <c r="G69" s="11">
        <f t="shared" si="19"/>
        <v>3.0540409113848479E-14</v>
      </c>
      <c r="H69" s="11">
        <f t="shared" si="22"/>
        <v>6.4724567396212167E-5</v>
      </c>
      <c r="I69" s="11">
        <f t="shared" si="23"/>
        <v>4.7185188472400323E-10</v>
      </c>
      <c r="J69" s="11">
        <f t="shared" si="24"/>
        <v>4.5541771507647231E-14</v>
      </c>
      <c r="K69" s="11">
        <f t="shared" si="20"/>
        <v>-2.9775669636337039E-14</v>
      </c>
      <c r="L69" s="11">
        <f t="shared" si="25"/>
        <v>-1.351047829486506E-12</v>
      </c>
      <c r="M69" s="11">
        <f t="shared" si="26"/>
        <v>-10.389653712619676</v>
      </c>
      <c r="N69" s="11">
        <f t="shared" si="21"/>
        <v>2.5901448751388464E-15</v>
      </c>
      <c r="O69" s="20">
        <f t="shared" si="27"/>
        <v>-10.389653712620984</v>
      </c>
    </row>
    <row r="70" spans="4:15" x14ac:dyDescent="0.25">
      <c r="D70" s="22">
        <v>0.18888888888888888</v>
      </c>
      <c r="E70" s="11">
        <v>45.538991589653605</v>
      </c>
      <c r="F70" s="11">
        <f t="shared" si="28"/>
        <v>-10.390115485269749</v>
      </c>
      <c r="G70" s="11">
        <f t="shared" si="19"/>
        <v>1.4278680769894715E-14</v>
      </c>
      <c r="H70" s="11">
        <f t="shared" si="22"/>
        <v>6.8488438500241365E-5</v>
      </c>
      <c r="I70" s="11">
        <f t="shared" si="23"/>
        <v>2.0848308243798541E-10</v>
      </c>
      <c r="J70" s="11">
        <f t="shared" si="24"/>
        <v>2.140140244981199E-14</v>
      </c>
      <c r="K70" s="11">
        <f t="shared" si="20"/>
        <v>-1.4099522923291473E-14</v>
      </c>
      <c r="L70" s="11">
        <f t="shared" si="25"/>
        <v>-6.4207805582189861E-13</v>
      </c>
      <c r="M70" s="11">
        <f t="shared" si="26"/>
        <v>-10.39011548526913</v>
      </c>
      <c r="N70" s="11">
        <f t="shared" si="21"/>
        <v>1.1382030556711515E-15</v>
      </c>
      <c r="O70" s="20">
        <f t="shared" si="27"/>
        <v>-10.390115485269751</v>
      </c>
    </row>
    <row r="71" spans="4:15" x14ac:dyDescent="0.25">
      <c r="D71" s="22">
        <v>0.19166666666666668</v>
      </c>
      <c r="E71" s="11">
        <v>45.149838598224626</v>
      </c>
      <c r="F71" s="11">
        <f t="shared" si="28"/>
        <v>-10.390577278442201</v>
      </c>
      <c r="G71" s="11">
        <f t="shared" si="19"/>
        <v>8.2713081875360731E-16</v>
      </c>
      <c r="H71" s="11">
        <f t="shared" si="22"/>
        <v>4.8348874904906842E-5</v>
      </c>
      <c r="I71" s="11">
        <f t="shared" si="23"/>
        <v>1.7107550493789532E-11</v>
      </c>
      <c r="J71" s="11">
        <f t="shared" si="24"/>
        <v>1.1578912070783228E-15</v>
      </c>
      <c r="K71" s="11">
        <f t="shared" si="20"/>
        <v>-7.9740747763483332E-16</v>
      </c>
      <c r="L71" s="11">
        <f t="shared" si="25"/>
        <v>-3.6002818912230138E-14</v>
      </c>
      <c r="M71" s="11">
        <f t="shared" si="26"/>
        <v>-10.390577278442167</v>
      </c>
      <c r="N71" s="11">
        <f t="shared" si="21"/>
        <v>5.6713853520180497E-17</v>
      </c>
      <c r="O71" s="20">
        <f t="shared" si="27"/>
        <v>-10.390577278442201</v>
      </c>
    </row>
    <row r="72" spans="4:15" x14ac:dyDescent="0.25">
      <c r="D72" s="22">
        <v>0.19444444444444445</v>
      </c>
      <c r="E72" s="11">
        <v>44.726998667987274</v>
      </c>
      <c r="F72" s="11">
        <f t="shared" si="28"/>
        <v>-10.39103909213925</v>
      </c>
      <c r="G72" s="11">
        <f t="shared" si="19"/>
        <v>2.996045367718276E-17</v>
      </c>
      <c r="H72" s="11">
        <f t="shared" si="22"/>
        <v>3.2746972826146233E-5</v>
      </c>
      <c r="I72" s="11">
        <f t="shared" si="23"/>
        <v>9.1490758050348323E-13</v>
      </c>
      <c r="J72" s="11">
        <f t="shared" si="24"/>
        <v>3.8992594084410151E-17</v>
      </c>
      <c r="K72" s="11">
        <f t="shared" si="20"/>
        <v>-2.8134769198970451E-17</v>
      </c>
      <c r="L72" s="11">
        <f t="shared" si="25"/>
        <v>-1.2583837844864808E-15</v>
      </c>
      <c r="M72" s="11">
        <f t="shared" si="26"/>
        <v>-10.391039092139248</v>
      </c>
      <c r="N72" s="11">
        <f t="shared" si="21"/>
        <v>1.7504285863613448E-18</v>
      </c>
      <c r="O72" s="20">
        <f t="shared" si="27"/>
        <v>-10.39103909213925</v>
      </c>
    </row>
    <row r="73" spans="4:15" x14ac:dyDescent="0.25">
      <c r="D73" s="22">
        <v>0.19722222222222224</v>
      </c>
      <c r="E73" s="11">
        <v>44.828226954581794</v>
      </c>
      <c r="F73" s="11">
        <f t="shared" si="28"/>
        <v>-10.391500926361807</v>
      </c>
      <c r="G73" s="11">
        <f t="shared" si="19"/>
        <v>6.8133777302246191E-18</v>
      </c>
      <c r="H73" s="11">
        <f t="shared" si="22"/>
        <v>3.3023709706422088E-5</v>
      </c>
      <c r="I73" s="11">
        <f t="shared" si="23"/>
        <v>2.0631775747773209E-13</v>
      </c>
      <c r="J73" s="11">
        <f t="shared" si="24"/>
        <v>8.8334517222929849E-18</v>
      </c>
      <c r="K73" s="11">
        <f t="shared" si="20"/>
        <v>-6.4526235094026434E-18</v>
      </c>
      <c r="L73" s="11">
        <f t="shared" si="25"/>
        <v>-2.8925967113197177E-16</v>
      </c>
      <c r="M73" s="11">
        <f t="shared" si="26"/>
        <v>-10.391500926361807</v>
      </c>
      <c r="N73" s="11">
        <f t="shared" si="21"/>
        <v>3.6542702947690516E-19</v>
      </c>
      <c r="O73" s="20">
        <f t="shared" si="27"/>
        <v>-10.391500926361807</v>
      </c>
    </row>
    <row r="74" spans="4:15" x14ac:dyDescent="0.25">
      <c r="D74" s="22">
        <v>0.2</v>
      </c>
      <c r="E74" s="11">
        <v>44.168543290428708</v>
      </c>
      <c r="F74" s="11">
        <f t="shared" si="28"/>
        <v>-10.391962781110786</v>
      </c>
      <c r="G74" s="11">
        <f t="shared" si="19"/>
        <v>4.1402154358811866E-20</v>
      </c>
      <c r="H74" s="11">
        <f t="shared" si="22"/>
        <v>1.8072463358878026E-5</v>
      </c>
      <c r="I74" s="11">
        <f t="shared" si="23"/>
        <v>2.2908971254587285E-15</v>
      </c>
      <c r="J74" s="11">
        <f t="shared" si="24"/>
        <v>4.8349100848719918E-20</v>
      </c>
      <c r="K74" s="11">
        <f t="shared" si="20"/>
        <v>-3.7591825907388304E-20</v>
      </c>
      <c r="L74" s="11">
        <f t="shared" si="25"/>
        <v>-1.6603761899567397E-18</v>
      </c>
      <c r="M74" s="11">
        <f t="shared" si="26"/>
        <v>-10.391962781110786</v>
      </c>
      <c r="N74" s="11">
        <f t="shared" si="21"/>
        <v>1.8066645328264353E-21</v>
      </c>
      <c r="O74" s="20">
        <f t="shared" si="27"/>
        <v>-10.391962781110786</v>
      </c>
    </row>
    <row r="75" spans="4:15" x14ac:dyDescent="0.25">
      <c r="D75" s="22">
        <v>0.20277777777777778</v>
      </c>
      <c r="E75" s="11">
        <v>44.12136670967859</v>
      </c>
      <c r="F75" s="11">
        <f t="shared" si="28"/>
        <v>-10.392424656387098</v>
      </c>
      <c r="G75" s="11">
        <f t="shared" si="19"/>
        <v>2.6239364780000963E-21</v>
      </c>
      <c r="H75" s="11">
        <f t="shared" si="22"/>
        <v>1.6072413026168369E-5</v>
      </c>
      <c r="I75" s="11">
        <f t="shared" si="23"/>
        <v>1.6325715832015532E-16</v>
      </c>
      <c r="J75" s="11">
        <f t="shared" si="24"/>
        <v>2.992060592924554E-21</v>
      </c>
      <c r="K75" s="11">
        <f t="shared" si="20"/>
        <v>-2.3789573855333367E-21</v>
      </c>
      <c r="L75" s="11">
        <f t="shared" si="25"/>
        <v>-1.0496285119381458E-19</v>
      </c>
      <c r="M75" s="11">
        <f t="shared" si="26"/>
        <v>-10.392424656387098</v>
      </c>
      <c r="N75" s="11">
        <f t="shared" si="21"/>
        <v>1.0156842721912176E-22</v>
      </c>
      <c r="O75" s="20">
        <f t="shared" si="27"/>
        <v>-10.392424656387098</v>
      </c>
    </row>
    <row r="76" spans="4:15" x14ac:dyDescent="0.25">
      <c r="D76" s="22">
        <v>0.20555555555555557</v>
      </c>
      <c r="E76" s="11">
        <v>44.734865795899864</v>
      </c>
      <c r="F76" s="11">
        <f t="shared" si="28"/>
        <v>-10.392886552191657</v>
      </c>
      <c r="G76" s="11">
        <f t="shared" si="19"/>
        <v>3.5711247478125297E-21</v>
      </c>
      <c r="H76" s="11">
        <f t="shared" si="22"/>
        <v>2.4634386023073876E-5</v>
      </c>
      <c r="I76" s="11">
        <f t="shared" si="23"/>
        <v>1.4496503969969554E-16</v>
      </c>
      <c r="J76" s="11">
        <f t="shared" si="24"/>
        <v>4.3385797188715228E-21</v>
      </c>
      <c r="K76" s="11">
        <f t="shared" si="20"/>
        <v>-3.3787734213393246E-21</v>
      </c>
      <c r="L76" s="11">
        <f t="shared" si="25"/>
        <v>-1.5114897555836812E-19</v>
      </c>
      <c r="M76" s="11">
        <f t="shared" si="26"/>
        <v>-10.392886552191657</v>
      </c>
      <c r="N76" s="11">
        <f t="shared" si="21"/>
        <v>1.3459100750196417E-22</v>
      </c>
      <c r="O76" s="20">
        <f t="shared" si="27"/>
        <v>-10.392886552191657</v>
      </c>
    </row>
    <row r="77" spans="4:15" x14ac:dyDescent="0.25">
      <c r="D77" s="22">
        <v>0.20833333333333334</v>
      </c>
      <c r="E77" s="11">
        <v>44.435472932632472</v>
      </c>
      <c r="F77" s="11">
        <f t="shared" si="28"/>
        <v>-10.393348468525375</v>
      </c>
      <c r="G77" s="11">
        <f t="shared" si="19"/>
        <v>3.3964024203408759E-23</v>
      </c>
      <c r="H77" s="11">
        <f t="shared" si="22"/>
        <v>1.7831892712952066E-5</v>
      </c>
      <c r="I77" s="11">
        <f t="shared" si="23"/>
        <v>1.9046785862915851E-18</v>
      </c>
      <c r="J77" s="11">
        <f t="shared" si="24"/>
        <v>3.8955599040967314E-23</v>
      </c>
      <c r="K77" s="11">
        <f t="shared" si="20"/>
        <v>-3.1552083219527823E-23</v>
      </c>
      <c r="L77" s="11">
        <f t="shared" si="25"/>
        <v>-1.4020317398694959E-21</v>
      </c>
      <c r="M77" s="11">
        <f t="shared" si="26"/>
        <v>-10.393348468525375</v>
      </c>
      <c r="N77" s="11">
        <f t="shared" si="21"/>
        <v>1.0768096132774363E-24</v>
      </c>
      <c r="O77" s="20">
        <f t="shared" si="27"/>
        <v>-10.393348468525375</v>
      </c>
    </row>
    <row r="78" spans="4:15" x14ac:dyDescent="0.25">
      <c r="D78" s="22">
        <v>0.21111111111111111</v>
      </c>
      <c r="E78" s="11">
        <v>44.807438410368938</v>
      </c>
      <c r="F78" s="11">
        <f t="shared" si="28"/>
        <v>-10.393810405389162</v>
      </c>
      <c r="G78" s="11">
        <f t="shared" si="19"/>
        <v>8.2373061048843124E-24</v>
      </c>
      <c r="H78" s="11">
        <f t="shared" si="22"/>
        <v>2.2414434124224507E-5</v>
      </c>
      <c r="I78" s="11">
        <f t="shared" si="23"/>
        <v>3.6750006978680779E-19</v>
      </c>
      <c r="J78" s="11">
        <f t="shared" si="24"/>
        <v>9.7473015764036038E-24</v>
      </c>
      <c r="K78" s="11">
        <f t="shared" si="20"/>
        <v>-7.8591795963899514E-24</v>
      </c>
      <c r="L78" s="11">
        <f t="shared" si="25"/>
        <v>-3.5214970572127097E-22</v>
      </c>
      <c r="M78" s="11">
        <f t="shared" si="26"/>
        <v>-10.393810405389162</v>
      </c>
      <c r="N78" s="11">
        <f t="shared" si="21"/>
        <v>2.4115785243924666E-25</v>
      </c>
      <c r="O78" s="20">
        <f t="shared" si="27"/>
        <v>-10.393810405389162</v>
      </c>
    </row>
    <row r="79" spans="4:15" x14ac:dyDescent="0.25">
      <c r="D79" s="22">
        <v>0.21388888888888891</v>
      </c>
      <c r="E79" s="11">
        <v>44.663785710858342</v>
      </c>
      <c r="F79" s="11">
        <f t="shared" si="28"/>
        <v>-10.394272362783934</v>
      </c>
      <c r="G79" s="11">
        <f t="shared" si="19"/>
        <v>6.4047621137301676E-26</v>
      </c>
      <c r="H79" s="11">
        <f t="shared" si="22"/>
        <v>1.8383407650236131E-5</v>
      </c>
      <c r="I79" s="11">
        <f t="shared" si="23"/>
        <v>3.4839906918170855E-21</v>
      </c>
      <c r="J79" s="11">
        <f t="shared" si="24"/>
        <v>7.3012687364820994E-26</v>
      </c>
      <c r="K79" s="11">
        <f t="shared" si="20"/>
        <v>-6.0626945834365704E-26</v>
      </c>
      <c r="L79" s="11">
        <f t="shared" si="25"/>
        <v>-2.7078289170499257E-24</v>
      </c>
      <c r="M79" s="11">
        <f t="shared" si="26"/>
        <v>-10.394272362783934</v>
      </c>
      <c r="N79" s="11">
        <f t="shared" si="21"/>
        <v>1.5844148568088764E-27</v>
      </c>
      <c r="O79" s="20">
        <f t="shared" si="27"/>
        <v>-10.394272362783934</v>
      </c>
    </row>
    <row r="80" spans="4:15" x14ac:dyDescent="0.25">
      <c r="D80" s="22">
        <v>0.21666666666666667</v>
      </c>
      <c r="E80" s="11">
        <v>44.404777731433263</v>
      </c>
      <c r="F80" s="11">
        <f t="shared" si="28"/>
        <v>-10.394734340710601</v>
      </c>
      <c r="G80" s="11">
        <f t="shared" si="19"/>
        <v>9.879425676724193E-29</v>
      </c>
      <c r="H80" s="11">
        <f t="shared" si="22"/>
        <v>1.3583642565637502E-5</v>
      </c>
      <c r="I80" s="11">
        <f t="shared" si="23"/>
        <v>7.2730312425300002E-24</v>
      </c>
      <c r="J80" s="11">
        <f t="shared" si="24"/>
        <v>1.0682949598076634E-28</v>
      </c>
      <c r="K80" s="11">
        <f t="shared" si="20"/>
        <v>-9.2061951581854839E-29</v>
      </c>
      <c r="L80" s="11">
        <f t="shared" si="25"/>
        <v>-4.0879904975142351E-27</v>
      </c>
      <c r="M80" s="11">
        <f t="shared" si="26"/>
        <v>-10.394734340710601</v>
      </c>
      <c r="N80" s="11">
        <f t="shared" si="21"/>
        <v>2.0052125854712648E-30</v>
      </c>
      <c r="O80" s="20">
        <f t="shared" si="27"/>
        <v>-10.394734340710601</v>
      </c>
    </row>
    <row r="81" spans="4:15" x14ac:dyDescent="0.25">
      <c r="D81" s="22">
        <v>0.21944444444444444</v>
      </c>
      <c r="E81" s="11">
        <v>45.062464089299098</v>
      </c>
      <c r="F81" s="11">
        <f t="shared" si="28"/>
        <v>-10.395196339170077</v>
      </c>
      <c r="G81" s="11">
        <f t="shared" si="19"/>
        <v>4.0450907805225535E-29</v>
      </c>
      <c r="H81" s="11">
        <f t="shared" si="22"/>
        <v>2.1803810080931793E-5</v>
      </c>
      <c r="I81" s="11">
        <f t="shared" si="23"/>
        <v>1.8552219843724145E-24</v>
      </c>
      <c r="J81" s="11">
        <f t="shared" si="24"/>
        <v>4.6852125920970975E-29</v>
      </c>
      <c r="K81" s="11">
        <f t="shared" si="20"/>
        <v>-3.9473828612630574E-29</v>
      </c>
      <c r="L81" s="11">
        <f t="shared" si="25"/>
        <v>-1.7787879843238124E-27</v>
      </c>
      <c r="M81" s="11">
        <f t="shared" si="26"/>
        <v>-10.395196339170077</v>
      </c>
      <c r="N81" s="11">
        <f t="shared" si="21"/>
        <v>7.6427161646769212E-31</v>
      </c>
      <c r="O81" s="20">
        <f t="shared" si="27"/>
        <v>-10.395196339170077</v>
      </c>
    </row>
    <row r="82" spans="4:15" x14ac:dyDescent="0.25">
      <c r="D82" s="22">
        <v>0.22222222222222224</v>
      </c>
      <c r="E82" s="11">
        <v>45.224290964805832</v>
      </c>
      <c r="F82" s="11">
        <f t="shared" si="28"/>
        <v>-10.395658358163274</v>
      </c>
      <c r="G82" s="11">
        <f t="shared" si="19"/>
        <v>2.4142882951858243E-31</v>
      </c>
      <c r="H82" s="11">
        <f t="shared" si="22"/>
        <v>2.299743476615193E-5</v>
      </c>
      <c r="I82" s="11">
        <f t="shared" si="23"/>
        <v>1.0498076501728882E-26</v>
      </c>
      <c r="J82" s="11">
        <f t="shared" si="24"/>
        <v>2.8040452585699879E-31</v>
      </c>
      <c r="K82" s="11">
        <f t="shared" si="20"/>
        <v>-2.3862722079239427E-31</v>
      </c>
      <c r="L82" s="11">
        <f t="shared" si="25"/>
        <v>-1.0791746865238203E-29</v>
      </c>
      <c r="M82" s="11">
        <f t="shared" si="26"/>
        <v>-10.395658358163274</v>
      </c>
      <c r="N82" s="11">
        <f t="shared" si="21"/>
        <v>3.872150820961532E-33</v>
      </c>
      <c r="O82" s="20">
        <f t="shared" si="27"/>
        <v>-10.395658358163274</v>
      </c>
    </row>
    <row r="83" spans="4:15" x14ac:dyDescent="0.25">
      <c r="D83" s="22">
        <v>0.22500000000000001</v>
      </c>
      <c r="E83" s="11">
        <v>45.381523351185002</v>
      </c>
      <c r="F83" s="11">
        <f t="shared" si="28"/>
        <v>-10.396120397691105</v>
      </c>
      <c r="G83" s="11">
        <f t="shared" si="19"/>
        <v>4.3436411688655931E-34</v>
      </c>
      <c r="H83" s="11">
        <f t="shared" si="22"/>
        <v>2.4152780024239151E-5</v>
      </c>
      <c r="I83" s="11">
        <f t="shared" si="23"/>
        <v>1.79840215681442E-29</v>
      </c>
      <c r="J83" s="11">
        <f t="shared" si="24"/>
        <v>5.054899918940344E-34</v>
      </c>
      <c r="K83" s="11">
        <f t="shared" si="20"/>
        <v>-4.3473451016231069E-34</v>
      </c>
      <c r="L83" s="11">
        <f t="shared" si="25"/>
        <v>-1.9728914324496875E-32</v>
      </c>
      <c r="M83" s="11">
        <f t="shared" si="26"/>
        <v>-10.396120397691105</v>
      </c>
      <c r="N83" s="11">
        <f t="shared" si="21"/>
        <v>5.7927355125189807E-36</v>
      </c>
      <c r="O83" s="20">
        <f t="shared" si="27"/>
        <v>-10.396120397691105</v>
      </c>
    </row>
    <row r="84" spans="4:15" x14ac:dyDescent="0.25">
      <c r="D84" s="22">
        <v>0.22777777777777777</v>
      </c>
      <c r="E84" s="11">
        <v>45.297288777699329</v>
      </c>
      <c r="F84" s="11">
        <f t="shared" si="28"/>
        <v>-10.396582457754482</v>
      </c>
      <c r="G84" s="11">
        <f t="shared" si="19"/>
        <v>1.5513821614354975E-38</v>
      </c>
      <c r="H84" s="11">
        <f t="shared" si="22"/>
        <v>2.073511394350487E-5</v>
      </c>
      <c r="I84" s="11">
        <f t="shared" si="23"/>
        <v>7.4819080602229201E-34</v>
      </c>
      <c r="J84" s="11">
        <f t="shared" si="24"/>
        <v>1.7513428632950176E-38</v>
      </c>
      <c r="K84" s="11">
        <f t="shared" si="20"/>
        <v>-1.5466867659851256E-38</v>
      </c>
      <c r="L84" s="11">
        <f t="shared" si="25"/>
        <v>-7.0060717087474103E-37</v>
      </c>
      <c r="M84" s="11">
        <f t="shared" si="26"/>
        <v>-10.396582457754482</v>
      </c>
      <c r="N84" s="11">
        <f t="shared" si="21"/>
        <v>1.6165239914740214E-40</v>
      </c>
      <c r="O84" s="20">
        <f t="shared" si="27"/>
        <v>-10.396582457754482</v>
      </c>
    </row>
    <row r="85" spans="4:15" x14ac:dyDescent="0.25">
      <c r="D85" s="22">
        <v>0.23055555555555557</v>
      </c>
      <c r="E85" s="11">
        <v>44.681838812661823</v>
      </c>
      <c r="F85" s="11">
        <f t="shared" si="28"/>
        <v>-10.397044538354319</v>
      </c>
      <c r="G85" s="11">
        <f t="shared" si="19"/>
        <v>6.9367171718919882E-47</v>
      </c>
      <c r="H85" s="11">
        <f t="shared" si="22"/>
        <v>1.1158264807430228E-5</v>
      </c>
      <c r="I85" s="11">
        <f t="shared" si="23"/>
        <v>6.216662977269428E-42</v>
      </c>
      <c r="J85" s="11">
        <f t="shared" si="24"/>
        <v>7.0753379694118107E-47</v>
      </c>
      <c r="K85" s="11">
        <f t="shared" si="20"/>
        <v>-6.6438830973605471E-47</v>
      </c>
      <c r="L85" s="11">
        <f t="shared" si="25"/>
        <v>-2.9686091364643235E-45</v>
      </c>
      <c r="M85" s="11">
        <f t="shared" si="26"/>
        <v>-10.397044538354319</v>
      </c>
      <c r="N85" s="11">
        <f t="shared" si="21"/>
        <v>5.0411728405077868E-49</v>
      </c>
      <c r="O85" s="20">
        <f t="shared" si="27"/>
        <v>-10.397044538354319</v>
      </c>
    </row>
    <row r="86" spans="4:15" x14ac:dyDescent="0.25">
      <c r="D86" s="22">
        <v>0.23333333333333334</v>
      </c>
      <c r="E86" s="11">
        <v>44.756171610941301</v>
      </c>
      <c r="F86" s="11">
        <f t="shared" si="28"/>
        <v>-10.397506639491528</v>
      </c>
      <c r="G86" s="11">
        <f t="shared" si="19"/>
        <v>4.7205529416216349E-54</v>
      </c>
      <c r="H86" s="11">
        <f t="shared" si="22"/>
        <v>1.0877375767583298E-5</v>
      </c>
      <c r="I86" s="11">
        <f t="shared" si="23"/>
        <v>4.3397902605238695E-49</v>
      </c>
      <c r="J86" s="11">
        <f t="shared" si="24"/>
        <v>4.7682256686552151E-54</v>
      </c>
      <c r="K86" s="11">
        <f t="shared" si="20"/>
        <v>-4.5522794416976924E-54</v>
      </c>
      <c r="L86" s="11">
        <f t="shared" si="25"/>
        <v>-2.0374259991358199E-52</v>
      </c>
      <c r="M86" s="11">
        <f t="shared" si="26"/>
        <v>-10.397506639491528</v>
      </c>
      <c r="N86" s="11">
        <f t="shared" si="21"/>
        <v>2.5539625433714869E-56</v>
      </c>
      <c r="O86" s="20">
        <f t="shared" si="27"/>
        <v>-10.397506639491528</v>
      </c>
    </row>
    <row r="87" spans="4:15" x14ac:dyDescent="0.25">
      <c r="D87" s="22">
        <v>0.23611111111111113</v>
      </c>
      <c r="E87" s="11">
        <v>44.998105926754974</v>
      </c>
      <c r="F87" s="11">
        <f t="shared" si="28"/>
        <v>-10.397968761167022</v>
      </c>
      <c r="G87" s="11">
        <f t="shared" si="19"/>
        <v>6.2199947501623374E-63</v>
      </c>
      <c r="H87" s="11">
        <f t="shared" si="22"/>
        <v>1.2305807085226865E-5</v>
      </c>
      <c r="I87" s="11">
        <f t="shared" si="23"/>
        <v>5.0545199571911439E-58</v>
      </c>
      <c r="J87" s="11">
        <f t="shared" si="24"/>
        <v>6.3614369194985429E-63</v>
      </c>
      <c r="K87" s="11">
        <f t="shared" si="20"/>
        <v>-6.1091980011190639E-63</v>
      </c>
      <c r="L87" s="11">
        <f t="shared" si="25"/>
        <v>-2.7490233878187539E-61</v>
      </c>
      <c r="M87" s="11">
        <f t="shared" si="26"/>
        <v>-10.397968761167022</v>
      </c>
      <c r="N87" s="11">
        <f t="shared" si="21"/>
        <v>2.4303955008524056E-65</v>
      </c>
      <c r="O87" s="20">
        <f t="shared" si="27"/>
        <v>-10.397968761167022</v>
      </c>
    </row>
    <row r="88" spans="4:15" x14ac:dyDescent="0.25">
      <c r="D88" s="22">
        <v>0.2388888888888889</v>
      </c>
      <c r="E88" s="11">
        <v>45.647084690595548</v>
      </c>
      <c r="F88" s="11">
        <f t="shared" si="28"/>
        <v>-10.398430903381712</v>
      </c>
      <c r="G88" s="11">
        <f t="shared" si="19"/>
        <v>6.5457747994685132E-73</v>
      </c>
      <c r="H88" s="11">
        <f t="shared" si="22"/>
        <v>1.9802408555871261E-5</v>
      </c>
      <c r="I88" s="11">
        <f t="shared" si="23"/>
        <v>3.3055447679508366E-68</v>
      </c>
      <c r="J88" s="11">
        <f t="shared" si="24"/>
        <v>7.1571475525637923E-73</v>
      </c>
      <c r="K88" s="11">
        <f t="shared" si="20"/>
        <v>-6.7346542141297854E-73</v>
      </c>
      <c r="L88" s="11">
        <f t="shared" si="25"/>
        <v>-3.0741733127425851E-71</v>
      </c>
      <c r="M88" s="11">
        <f t="shared" si="26"/>
        <v>-10.398430903381712</v>
      </c>
      <c r="N88" s="11">
        <f t="shared" si="21"/>
        <v>1.8147907283816649E-75</v>
      </c>
      <c r="O88" s="20">
        <f t="shared" si="27"/>
        <v>-10.398430903381712</v>
      </c>
    </row>
    <row r="89" spans="4:15" x14ac:dyDescent="0.25">
      <c r="D89" s="22">
        <v>0.24166666666666667</v>
      </c>
      <c r="E89" s="11">
        <v>46.11746627888536</v>
      </c>
      <c r="F89" s="11">
        <f t="shared" si="28"/>
        <v>-10.398893066136514</v>
      </c>
      <c r="G89" s="11">
        <f t="shared" si="19"/>
        <v>8.7806966267472876E-92</v>
      </c>
      <c r="H89" s="11">
        <f t="shared" si="22"/>
        <v>2.7023940050177358E-5</v>
      </c>
      <c r="I89" s="11">
        <f t="shared" si="23"/>
        <v>3.2492288727859505E-87</v>
      </c>
      <c r="J89" s="11">
        <f t="shared" si="24"/>
        <v>1.0022366559634016E-91</v>
      </c>
      <c r="K89" s="11">
        <f t="shared" si="20"/>
        <v>-9.3506723283284731E-92</v>
      </c>
      <c r="L89" s="11">
        <f t="shared" si="25"/>
        <v>-4.3122931578659477E-90</v>
      </c>
      <c r="M89" s="11">
        <f t="shared" si="26"/>
        <v>-10.398893066136514</v>
      </c>
      <c r="N89" s="11">
        <f t="shared" si="21"/>
        <v>1.4779325815680901E-94</v>
      </c>
      <c r="O89" s="20">
        <f t="shared" si="27"/>
        <v>-10.398893066136514</v>
      </c>
    </row>
    <row r="90" spans="4:15" x14ac:dyDescent="0.25">
      <c r="D90" s="22">
        <v>0.24444444444444446</v>
      </c>
      <c r="E90" s="11">
        <v>45.1461831138785</v>
      </c>
      <c r="F90" s="11">
        <f t="shared" si="28"/>
        <v>-10.39935524943234</v>
      </c>
      <c r="G90" s="11">
        <f t="shared" si="19"/>
        <v>4.2642926415231291E-153</v>
      </c>
      <c r="H90" s="11">
        <f t="shared" si="22"/>
        <v>1.0589920134839591E-5</v>
      </c>
      <c r="I90" s="11">
        <f t="shared" si="23"/>
        <v>4.0267467433433309E-148</v>
      </c>
      <c r="J90" s="11">
        <f t="shared" si="24"/>
        <v>4.1860520857390919E-153</v>
      </c>
      <c r="K90" s="11">
        <f t="shared" si="20"/>
        <v>-4.254411462935193E-153</v>
      </c>
      <c r="L90" s="11">
        <f t="shared" si="25"/>
        <v>-1.9207043894745595E-151</v>
      </c>
      <c r="M90" s="11">
        <f t="shared" si="26"/>
        <v>-10.39935524943234</v>
      </c>
      <c r="N90" s="11">
        <f t="shared" si="21"/>
        <v>2.7433735104029859E-156</v>
      </c>
      <c r="O90" s="20">
        <f t="shared" si="27"/>
        <v>-10.39935524943234</v>
      </c>
    </row>
    <row r="91" spans="4:15" x14ac:dyDescent="0.25">
      <c r="D91" s="23">
        <v>0.24722222222222223</v>
      </c>
      <c r="E91" s="13">
        <v>45.200015014115841</v>
      </c>
      <c r="F91" s="13">
        <f t="shared" si="28"/>
        <v>-10.399817453270101</v>
      </c>
      <c r="G91" s="13">
        <f t="shared" si="19"/>
        <v>2.080503425997006E-303</v>
      </c>
      <c r="H91" s="13">
        <f t="shared" si="22"/>
        <v>1.0088278373371521E-5</v>
      </c>
      <c r="I91" s="13">
        <f t="shared" si="23"/>
        <v>2.0622977965086602E-298</v>
      </c>
      <c r="J91" s="13">
        <f t="shared" si="24"/>
        <v>2.0149313321339875E-303</v>
      </c>
      <c r="K91" s="13">
        <f t="shared" si="20"/>
        <v>-2.0872625162076981E-303</v>
      </c>
      <c r="L91" s="13">
        <f t="shared" si="25"/>
        <v>-9.4344297070989171E-302</v>
      </c>
      <c r="M91" s="13">
        <f t="shared" si="26"/>
        <v>-10.399817453270101</v>
      </c>
      <c r="N91" s="13">
        <f t="shared" si="21"/>
        <v>3.380856521197415E-307</v>
      </c>
      <c r="O91" s="21">
        <f t="shared" si="27"/>
        <v>-10.399817453270101</v>
      </c>
    </row>
    <row r="92" spans="4:15" x14ac:dyDescent="0.25">
      <c r="F92" t="e">
        <f t="shared" si="28"/>
        <v>#VALUE!</v>
      </c>
    </row>
  </sheetData>
  <mergeCells count="3">
    <mergeCell ref="A1:B1"/>
    <mergeCell ref="A11:B11"/>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rket_Crash">
                <anchor moveWithCells="1" sizeWithCells="1">
                  <from>
                    <xdr:col>0</xdr:col>
                    <xdr:colOff>28575</xdr:colOff>
                    <xdr:row>20</xdr:row>
                    <xdr:rowOff>47625</xdr:rowOff>
                  </from>
                  <to>
                    <xdr:col>2</xdr:col>
                    <xdr:colOff>0</xdr:colOff>
                    <xdr:row>23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448B2-03E9-40A4-9573-DC6D66758E52}">
  <sheetPr codeName="Feuil7"/>
  <dimension ref="A1:O722"/>
  <sheetViews>
    <sheetView showGridLines="0" zoomScale="50" zoomScaleNormal="85" workbookViewId="0">
      <selection sqref="A1:B1"/>
    </sheetView>
  </sheetViews>
  <sheetFormatPr baseColWidth="10" defaultRowHeight="15" x14ac:dyDescent="0.25"/>
  <cols>
    <col min="7" max="7" width="13.42578125" customWidth="1"/>
  </cols>
  <sheetData>
    <row r="1" spans="1:15" ht="27.6" customHeight="1" x14ac:dyDescent="0.25">
      <c r="A1" s="61" t="s">
        <v>68</v>
      </c>
      <c r="B1" s="61"/>
      <c r="D1" s="19" t="s">
        <v>46</v>
      </c>
      <c r="E1" s="19" t="s">
        <v>25</v>
      </c>
      <c r="F1" s="19" t="s">
        <v>0</v>
      </c>
      <c r="G1" s="19" t="s">
        <v>26</v>
      </c>
      <c r="H1" s="19" t="s">
        <v>7</v>
      </c>
      <c r="I1" s="19" t="s">
        <v>27</v>
      </c>
      <c r="J1" s="19" t="s">
        <v>28</v>
      </c>
      <c r="K1" s="19" t="s">
        <v>47</v>
      </c>
      <c r="L1" s="19" t="s">
        <v>29</v>
      </c>
    </row>
    <row r="2" spans="1:15" x14ac:dyDescent="0.25">
      <c r="A2" s="1" t="s">
        <v>0</v>
      </c>
      <c r="B2" s="1">
        <v>60.57</v>
      </c>
      <c r="D2" s="22">
        <f>$B$8</f>
        <v>0.02</v>
      </c>
      <c r="E2" s="11">
        <f t="array" ref="E2:E721">TimePath($B$6,$B$9)</f>
        <v>0</v>
      </c>
      <c r="F2" s="11">
        <f>$B$2</f>
        <v>60.57</v>
      </c>
      <c r="G2" s="11">
        <f>BSCall(B2,$B$3, $B$6 - E2,D2, $B$5)</f>
        <v>5.2853269135765775</v>
      </c>
      <c r="H2" s="11">
        <f t="shared" ref="H2:H65" si="0">BSGreeks(F2,$B$3,$B$6 - E2,D2, $B$5,$H$1)</f>
        <v>0.47055788804601228</v>
      </c>
      <c r="I2" s="11">
        <f t="shared" ref="I2:I65" si="1">F2*H2</f>
        <v>28.501691278946964</v>
      </c>
      <c r="J2" s="11">
        <f t="shared" ref="J2:J65" si="2">G2 - I2</f>
        <v>-23.216364365370389</v>
      </c>
      <c r="K2" s="11">
        <f t="shared" ref="K2:K65" si="3">BSCall(F2,$B$3, $B$6 - E2,D2,$B$5)</f>
        <v>5.2853269135765775</v>
      </c>
      <c r="L2" s="20">
        <f t="shared" ref="L2:L65" si="4">G2 - K2</f>
        <v>0</v>
      </c>
    </row>
    <row r="3" spans="1:15" x14ac:dyDescent="0.25">
      <c r="A3" s="1" t="s">
        <v>1</v>
      </c>
      <c r="B3" s="1">
        <v>67</v>
      </c>
      <c r="D3" s="22">
        <f ca="1">D2*1.002 + $B$5*D2*SQRT(E3-E2)*_xlfn.NORM.S.INV(RAND())</f>
        <v>2.0141130782936133E-2</v>
      </c>
      <c r="E3" s="11">
        <v>2.7777777777777779E-3</v>
      </c>
      <c r="F3" s="11">
        <f ca="1">F2 + D2*F2*(E3-E2) + $B$5*F2*SQRT(E3-E2)*_xlfn.NORM.S.INV(RAND())</f>
        <v>61.608091915060697</v>
      </c>
      <c r="G3" s="11">
        <f t="shared" ref="G3:G66" ca="1" si="5" xml:space="preserve"> H2*F3 + J2* EXP(D3*(E3 - E2))</f>
        <v>5.7725103168588312</v>
      </c>
      <c r="H3" s="11">
        <f t="shared" ca="1" si="0"/>
        <v>0.49473735154355719</v>
      </c>
      <c r="I3" s="11">
        <f t="shared" ca="1" si="1"/>
        <v>30.47982422770917</v>
      </c>
      <c r="J3" s="11">
        <f t="shared" ca="1" si="2"/>
        <v>-24.707313910850338</v>
      </c>
      <c r="K3" s="11">
        <f t="shared" ca="1" si="3"/>
        <v>5.7870240780176525</v>
      </c>
      <c r="L3" s="20">
        <f t="shared" ca="1" si="4"/>
        <v>-1.4513761158821303E-2</v>
      </c>
    </row>
    <row r="4" spans="1:15" x14ac:dyDescent="0.25">
      <c r="A4" s="1"/>
      <c r="B4" s="1"/>
      <c r="D4" s="22">
        <f t="shared" ref="D4:D67" ca="1" si="6">D3*1.002 + $B$5*D3*SQRT(E4-E3)*_xlfn.NORM.S.INV(RAND())</f>
        <v>2.0180625744651692E-2</v>
      </c>
      <c r="E4" s="11">
        <v>5.5555555555555558E-3</v>
      </c>
      <c r="F4" s="11">
        <f t="shared" ref="F4:F67" ca="1" si="7">F3 + D3*F3*(E4-E3) + $B$5*F3*SQRT(E4-E3)*_xlfn.NORM.S.INV(RAND())</f>
        <v>61.710872604678926</v>
      </c>
      <c r="G4" s="11">
        <f t="shared" ca="1" si="5"/>
        <v>5.8219746990559607</v>
      </c>
      <c r="H4" s="11">
        <f t="shared" ca="1" si="0"/>
        <v>0.49704173287339798</v>
      </c>
      <c r="I4" s="11">
        <f t="shared" ca="1" si="1"/>
        <v>30.672879056559115</v>
      </c>
      <c r="J4" s="11">
        <f t="shared" ca="1" si="2"/>
        <v>-24.850904357503154</v>
      </c>
      <c r="K4" s="11">
        <f t="shared" ca="1" si="3"/>
        <v>5.8337207891994094</v>
      </c>
      <c r="L4" s="20">
        <f t="shared" ca="1" si="4"/>
        <v>-1.174609014344874E-2</v>
      </c>
    </row>
    <row r="5" spans="1:15" x14ac:dyDescent="0.25">
      <c r="A5" s="1" t="s">
        <v>3</v>
      </c>
      <c r="B5" s="1">
        <v>0.2</v>
      </c>
      <c r="D5" s="22">
        <f ca="1">D4*1.001 + $B$5*D4*SQRT(E5-E4)*_xlfn.NORM.S.INV(RAND())</f>
        <v>1.9947885229514736E-2</v>
      </c>
      <c r="E5" s="11">
        <v>8.3333333333333332E-3</v>
      </c>
      <c r="F5" s="11">
        <f t="shared" ca="1" si="7"/>
        <v>62.145082590123401</v>
      </c>
      <c r="G5" s="11">
        <f t="shared" ca="1" si="5"/>
        <v>6.0364181362010285</v>
      </c>
      <c r="H5" s="11">
        <f t="shared" ca="1" si="0"/>
        <v>0.50613675737654362</v>
      </c>
      <c r="I5" s="11">
        <f t="shared" ca="1" si="1"/>
        <v>31.453910589062552</v>
      </c>
      <c r="J5" s="11">
        <f t="shared" ca="1" si="2"/>
        <v>-25.417492452861524</v>
      </c>
      <c r="K5" s="11">
        <f t="shared" ca="1" si="3"/>
        <v>6.0335996231402955</v>
      </c>
      <c r="L5" s="20">
        <f t="shared" ca="1" si="4"/>
        <v>2.8185130607329967E-3</v>
      </c>
    </row>
    <row r="6" spans="1:15" x14ac:dyDescent="0.25">
      <c r="A6" s="1" t="s">
        <v>4</v>
      </c>
      <c r="B6" s="1">
        <v>2</v>
      </c>
      <c r="D6" s="22">
        <f t="shared" ca="1" si="6"/>
        <v>1.9740936047353559E-2</v>
      </c>
      <c r="E6" s="11">
        <v>1.1111111111111112E-2</v>
      </c>
      <c r="F6" s="11">
        <f t="shared" ca="1" si="7"/>
        <v>62.15616503283514</v>
      </c>
      <c r="G6" s="11">
        <f t="shared" ca="1" si="5"/>
        <v>6.0406335376783318</v>
      </c>
      <c r="H6" s="11">
        <f t="shared" ca="1" si="0"/>
        <v>0.50565418499519477</v>
      </c>
      <c r="I6" s="11">
        <f t="shared" ca="1" si="1"/>
        <v>31.429524972105078</v>
      </c>
      <c r="J6" s="11">
        <f t="shared" ca="1" si="2"/>
        <v>-25.388891434426746</v>
      </c>
      <c r="K6" s="11">
        <f t="shared" ca="1" si="3"/>
        <v>6.0224562897796137</v>
      </c>
      <c r="L6" s="20">
        <f t="shared" ca="1" si="4"/>
        <v>1.8177247898718107E-2</v>
      </c>
    </row>
    <row r="7" spans="1:15" x14ac:dyDescent="0.25">
      <c r="A7" s="1"/>
      <c r="B7" s="1"/>
      <c r="D7" s="22">
        <f t="shared" ca="1" si="6"/>
        <v>1.9702552081967504E-2</v>
      </c>
      <c r="E7" s="11">
        <v>1.388888888888889E-2</v>
      </c>
      <c r="F7" s="11">
        <f t="shared" ca="1" si="7"/>
        <v>61.439544752988965</v>
      </c>
      <c r="G7" s="11">
        <f t="shared" ca="1" si="5"/>
        <v>5.6768819395534891</v>
      </c>
      <c r="H7" s="11">
        <f t="shared" ca="1" si="0"/>
        <v>0.48898216608122336</v>
      </c>
      <c r="I7" s="11">
        <f t="shared" ca="1" si="1"/>
        <v>30.042841676360805</v>
      </c>
      <c r="J7" s="11">
        <f t="shared" ca="1" si="2"/>
        <v>-24.365959736807316</v>
      </c>
      <c r="K7" s="11">
        <f t="shared" ca="1" si="3"/>
        <v>5.6579351780704359</v>
      </c>
      <c r="L7" s="20">
        <f t="shared" ca="1" si="4"/>
        <v>1.8946761483053187E-2</v>
      </c>
    </row>
    <row r="8" spans="1:15" x14ac:dyDescent="0.25">
      <c r="A8" s="1" t="s">
        <v>6</v>
      </c>
      <c r="B8" s="1">
        <v>0.02</v>
      </c>
      <c r="D8" s="22">
        <f t="shared" ca="1" si="6"/>
        <v>1.9848689906033706E-2</v>
      </c>
      <c r="E8" s="11">
        <v>1.6666666666666666E-2</v>
      </c>
      <c r="F8" s="11">
        <f t="shared" ca="1" si="7"/>
        <v>61.324257953461867</v>
      </c>
      <c r="G8" s="11">
        <f t="shared" ca="1" si="5"/>
        <v>5.6191652902892706</v>
      </c>
      <c r="H8" s="11">
        <f t="shared" ca="1" si="0"/>
        <v>0.48656966410683145</v>
      </c>
      <c r="I8" s="11">
        <f t="shared" ca="1" si="1"/>
        <v>29.838523594016628</v>
      </c>
      <c r="J8" s="11">
        <f t="shared" ca="1" si="2"/>
        <v>-24.219358303727358</v>
      </c>
      <c r="K8" s="11">
        <f t="shared" ca="1" si="3"/>
        <v>5.6025905532043607</v>
      </c>
      <c r="L8" s="20">
        <f t="shared" ca="1" si="4"/>
        <v>1.6574737084909863E-2</v>
      </c>
    </row>
    <row r="9" spans="1:15" x14ac:dyDescent="0.25">
      <c r="A9" s="25" t="s">
        <v>30</v>
      </c>
      <c r="B9" s="1">
        <f>360*B6</f>
        <v>720</v>
      </c>
      <c r="D9" s="22">
        <f t="shared" ca="1" si="6"/>
        <v>2.0258249520270798E-2</v>
      </c>
      <c r="E9" s="11">
        <v>1.9444444444444445E-2</v>
      </c>
      <c r="F9" s="11">
        <f t="shared" ca="1" si="7"/>
        <v>62.116672256341552</v>
      </c>
      <c r="G9" s="11">
        <f t="shared" ca="1" si="5"/>
        <v>6.0033671192278888</v>
      </c>
      <c r="H9" s="11">
        <f t="shared" ca="1" si="0"/>
        <v>0.50574799984806962</v>
      </c>
      <c r="I9" s="11">
        <f t="shared" ca="1" si="1"/>
        <v>31.415382750862818</v>
      </c>
      <c r="J9" s="11">
        <f t="shared" ca="1" si="2"/>
        <v>-25.412015631634929</v>
      </c>
      <c r="K9" s="11">
        <f t="shared" ca="1" si="3"/>
        <v>6.0096741858605629</v>
      </c>
      <c r="L9" s="20">
        <f t="shared" ca="1" si="4"/>
        <v>-6.3070666326741076E-3</v>
      </c>
    </row>
    <row r="10" spans="1:15" x14ac:dyDescent="0.25">
      <c r="D10" s="22">
        <f t="shared" ca="1" si="6"/>
        <v>2.0460271510324753E-2</v>
      </c>
      <c r="E10" s="11">
        <v>2.2222222222222223E-2</v>
      </c>
      <c r="F10" s="11">
        <f t="shared" ca="1" si="7"/>
        <v>62.811609807908077</v>
      </c>
      <c r="G10" s="11">
        <f t="shared" ca="1" si="5"/>
        <v>6.3533860861886566</v>
      </c>
      <c r="H10" s="11">
        <f t="shared" ca="1" si="0"/>
        <v>0.52192942099932982</v>
      </c>
      <c r="I10" s="11">
        <f t="shared" ca="1" si="1"/>
        <v>32.78322713907729</v>
      </c>
      <c r="J10" s="11">
        <f t="shared" ca="1" si="2"/>
        <v>-26.429841052888634</v>
      </c>
      <c r="K10" s="11">
        <f t="shared" ca="1" si="3"/>
        <v>6.370747224759068</v>
      </c>
      <c r="L10" s="20">
        <f t="shared" ca="1" si="4"/>
        <v>-1.7361138570411327E-2</v>
      </c>
    </row>
    <row r="11" spans="1:15" x14ac:dyDescent="0.25">
      <c r="D11" s="22">
        <f t="shared" ca="1" si="6"/>
        <v>2.0200716908119521E-2</v>
      </c>
      <c r="E11" s="11">
        <v>2.5000000000000001E-2</v>
      </c>
      <c r="F11" s="11">
        <f t="shared" ca="1" si="7"/>
        <v>62.640954635525389</v>
      </c>
      <c r="G11" s="11">
        <f t="shared" ca="1" si="5"/>
        <v>6.2628330288854244</v>
      </c>
      <c r="H11" s="11">
        <f t="shared" ca="1" si="0"/>
        <v>0.51720184935465352</v>
      </c>
      <c r="I11" s="11">
        <f t="shared" ca="1" si="1"/>
        <v>32.39801758283469</v>
      </c>
      <c r="J11" s="11">
        <f t="shared" ca="1" si="2"/>
        <v>-26.135184553949266</v>
      </c>
      <c r="K11" s="11">
        <f t="shared" ca="1" si="3"/>
        <v>6.2621799096574833</v>
      </c>
      <c r="L11" s="20">
        <f t="shared" ca="1" si="4"/>
        <v>6.5311922794109023E-4</v>
      </c>
    </row>
    <row r="12" spans="1:15" x14ac:dyDescent="0.25">
      <c r="D12" s="22">
        <f t="shared" ca="1" si="6"/>
        <v>2.0561746717967771E-2</v>
      </c>
      <c r="E12" s="11">
        <v>2.777777777777778E-2</v>
      </c>
      <c r="F12" s="11">
        <f t="shared" ca="1" si="7"/>
        <v>62.266617038678838</v>
      </c>
      <c r="G12" s="11">
        <f t="shared" ca="1" si="5"/>
        <v>6.0677321526463253</v>
      </c>
      <c r="H12" s="11">
        <f t="shared" ca="1" si="0"/>
        <v>0.50955762043834341</v>
      </c>
      <c r="I12" s="11">
        <f t="shared" ca="1" si="1"/>
        <v>31.728429210974799</v>
      </c>
      <c r="J12" s="11">
        <f t="shared" ca="1" si="2"/>
        <v>-25.660697058328473</v>
      </c>
      <c r="K12" s="11">
        <f t="shared" ca="1" si="3"/>
        <v>6.082059372621802</v>
      </c>
      <c r="L12" s="20">
        <f t="shared" ca="1" si="4"/>
        <v>-1.4327219975476702E-2</v>
      </c>
    </row>
    <row r="13" spans="1:15" x14ac:dyDescent="0.25">
      <c r="D13" s="22">
        <f t="shared" ca="1" si="6"/>
        <v>2.0573818174062584E-2</v>
      </c>
      <c r="E13" s="11">
        <v>3.0555555555555558E-2</v>
      </c>
      <c r="F13" s="11">
        <f t="shared" ca="1" si="7"/>
        <v>62.996667935175203</v>
      </c>
      <c r="G13" s="11">
        <f t="shared" ca="1" si="5"/>
        <v>6.4382686124819628</v>
      </c>
      <c r="H13" s="11">
        <f t="shared" ca="1" si="0"/>
        <v>0.52598859869043668</v>
      </c>
      <c r="I13" s="11">
        <f t="shared" ca="1" si="1"/>
        <v>33.135529089389571</v>
      </c>
      <c r="J13" s="11">
        <f t="shared" ca="1" si="2"/>
        <v>-26.697260476907609</v>
      </c>
      <c r="K13" s="11">
        <f t="shared" ca="1" si="3"/>
        <v>6.4542611982535769</v>
      </c>
      <c r="L13" s="20">
        <f t="shared" ca="1" si="4"/>
        <v>-1.599258577161411E-2</v>
      </c>
    </row>
    <row r="14" spans="1:15" x14ac:dyDescent="0.25">
      <c r="D14" s="22">
        <f t="shared" ca="1" si="6"/>
        <v>2.09405266526708E-2</v>
      </c>
      <c r="E14" s="11">
        <v>3.3333333333333333E-2</v>
      </c>
      <c r="F14" s="11">
        <f t="shared" ca="1" si="7"/>
        <v>62.619989411516457</v>
      </c>
      <c r="G14" s="11">
        <f t="shared" ca="1" si="5"/>
        <v>6.2385870287923879</v>
      </c>
      <c r="H14" s="11">
        <f t="shared" ca="1" si="0"/>
        <v>0.51835398330733451</v>
      </c>
      <c r="I14" s="11">
        <f t="shared" ca="1" si="1"/>
        <v>32.459320946122666</v>
      </c>
      <c r="J14" s="11">
        <f t="shared" ca="1" si="2"/>
        <v>-26.220733917330278</v>
      </c>
      <c r="K14" s="11">
        <f t="shared" ca="1" si="3"/>
        <v>6.2701688227724235</v>
      </c>
      <c r="L14" s="20">
        <f t="shared" ca="1" si="4"/>
        <v>-3.1581793980035577E-2</v>
      </c>
    </row>
    <row r="15" spans="1:15" x14ac:dyDescent="0.25">
      <c r="D15" s="22">
        <f t="shared" ca="1" si="6"/>
        <v>2.0856977076568136E-2</v>
      </c>
      <c r="E15" s="11">
        <v>3.6111111111111115E-2</v>
      </c>
      <c r="F15" s="11">
        <f t="shared" ca="1" si="7"/>
        <v>62.337418697377295</v>
      </c>
      <c r="G15" s="11">
        <f t="shared" ca="1" si="5"/>
        <v>6.0905962038614234</v>
      </c>
      <c r="H15" s="11">
        <f t="shared" ca="1" si="0"/>
        <v>0.51153890609707031</v>
      </c>
      <c r="I15" s="11">
        <f t="shared" ca="1" si="1"/>
        <v>31.88801496937144</v>
      </c>
      <c r="J15" s="11">
        <f t="shared" ca="1" si="2"/>
        <v>-25.797418765510017</v>
      </c>
      <c r="K15" s="11">
        <f t="shared" ca="1" si="3"/>
        <v>6.1139492497729693</v>
      </c>
      <c r="L15" s="20">
        <f t="shared" ca="1" si="4"/>
        <v>-2.3353045911545856E-2</v>
      </c>
    </row>
    <row r="16" spans="1:15" ht="15.75" x14ac:dyDescent="0.25">
      <c r="D16" s="22">
        <f t="shared" ca="1" si="6"/>
        <v>2.1490515342606441E-2</v>
      </c>
      <c r="E16" s="11">
        <v>3.888888888888889E-2</v>
      </c>
      <c r="F16" s="11">
        <f t="shared" ca="1" si="7"/>
        <v>62.016758152279706</v>
      </c>
      <c r="G16" s="11">
        <f t="shared" ca="1" si="5"/>
        <v>5.9250258139164842</v>
      </c>
      <c r="H16" s="11">
        <f t="shared" ca="1" si="0"/>
        <v>0.50581064063489101</v>
      </c>
      <c r="I16" s="11">
        <f t="shared" ca="1" si="1"/>
        <v>31.368736171103698</v>
      </c>
      <c r="J16" s="11">
        <f t="shared" ca="1" si="2"/>
        <v>-25.443710357187214</v>
      </c>
      <c r="K16" s="11">
        <f t="shared" ca="1" si="3"/>
        <v>5.9762222962985492</v>
      </c>
      <c r="L16" s="20">
        <f t="shared" ca="1" si="4"/>
        <v>-5.1196482382064978E-2</v>
      </c>
      <c r="N16" s="69" t="s">
        <v>67</v>
      </c>
      <c r="O16" s="70"/>
    </row>
    <row r="17" spans="4:15" x14ac:dyDescent="0.25">
      <c r="D17" s="22">
        <f t="shared" ca="1" si="6"/>
        <v>2.183107823145226E-2</v>
      </c>
      <c r="E17" s="11">
        <v>4.1666666666666671E-2</v>
      </c>
      <c r="F17" s="11">
        <f t="shared" ca="1" si="7"/>
        <v>61.914599995810988</v>
      </c>
      <c r="G17" s="11">
        <f t="shared" ca="1" si="5"/>
        <v>5.8718101300307772</v>
      </c>
      <c r="H17" s="11">
        <f t="shared" ca="1" si="0"/>
        <v>0.50425130565697418</v>
      </c>
      <c r="I17" s="11">
        <f t="shared" ca="1" si="1"/>
        <v>31.22051788711698</v>
      </c>
      <c r="J17" s="11">
        <f t="shared" ca="1" si="2"/>
        <v>-25.348707757086203</v>
      </c>
      <c r="K17" s="11">
        <f t="shared" ca="1" si="3"/>
        <v>5.9351111828120793</v>
      </c>
      <c r="L17" s="20">
        <f t="shared" ca="1" si="4"/>
        <v>-6.3301052781302047E-2</v>
      </c>
      <c r="N17" s="1" t="s">
        <v>50</v>
      </c>
      <c r="O17" s="1">
        <v>-4.6136070547934871</v>
      </c>
    </row>
    <row r="18" spans="4:15" x14ac:dyDescent="0.25">
      <c r="D18" s="22">
        <f t="shared" ca="1" si="6"/>
        <v>2.1942057633434514E-2</v>
      </c>
      <c r="E18" s="11">
        <v>4.4444444444444446E-2</v>
      </c>
      <c r="F18" s="11">
        <f t="shared" ca="1" si="7"/>
        <v>62.961792733286508</v>
      </c>
      <c r="G18" s="11">
        <f t="shared" ca="1" si="5"/>
        <v>6.3983133802961731</v>
      </c>
      <c r="H18" s="11">
        <f t="shared" ca="1" si="0"/>
        <v>0.52829832607739702</v>
      </c>
      <c r="I18" s="11">
        <f t="shared" ca="1" si="1"/>
        <v>33.262609707827281</v>
      </c>
      <c r="J18" s="11">
        <f t="shared" ca="1" si="2"/>
        <v>-26.864296327531108</v>
      </c>
      <c r="K18" s="11">
        <f t="shared" ca="1" si="3"/>
        <v>6.4749180439836946</v>
      </c>
      <c r="L18" s="20">
        <f t="shared" ca="1" si="4"/>
        <v>-7.6604663687521501E-2</v>
      </c>
      <c r="N18" s="1" t="s">
        <v>51</v>
      </c>
      <c r="O18" s="1">
        <v>-0.13167051083748088</v>
      </c>
    </row>
    <row r="19" spans="4:15" x14ac:dyDescent="0.25">
      <c r="D19" s="22">
        <f t="shared" ca="1" si="6"/>
        <v>2.1826321797824448E-2</v>
      </c>
      <c r="E19" s="11">
        <v>4.7222222222222221E-2</v>
      </c>
      <c r="F19" s="11">
        <f t="shared" ca="1" si="7"/>
        <v>62.305602632179564</v>
      </c>
      <c r="G19" s="11">
        <f t="shared" ca="1" si="5"/>
        <v>6.0500204523160157</v>
      </c>
      <c r="H19" s="11">
        <f t="shared" ca="1" si="0"/>
        <v>0.51289632432923771</v>
      </c>
      <c r="I19" s="11">
        <f t="shared" ca="1" si="1"/>
        <v>31.956314575162978</v>
      </c>
      <c r="J19" s="11">
        <f t="shared" ca="1" si="2"/>
        <v>-25.906294122846962</v>
      </c>
      <c r="K19" s="11">
        <f t="shared" ca="1" si="3"/>
        <v>6.1207872061385231</v>
      </c>
      <c r="L19" s="20">
        <f t="shared" ca="1" si="4"/>
        <v>-7.0766753822507411E-2</v>
      </c>
      <c r="N19" s="1" t="s">
        <v>52</v>
      </c>
      <c r="O19" s="1">
        <v>-1.4750967717303525</v>
      </c>
    </row>
    <row r="20" spans="4:15" x14ac:dyDescent="0.25">
      <c r="D20" s="22">
        <f t="shared" ca="1" si="6"/>
        <v>2.1951970638485672E-2</v>
      </c>
      <c r="E20" s="11">
        <v>0.05</v>
      </c>
      <c r="F20" s="11">
        <f t="shared" ca="1" si="7"/>
        <v>61.911534714089434</v>
      </c>
      <c r="G20" s="11">
        <f t="shared" ca="1" si="5"/>
        <v>5.8463247112939563</v>
      </c>
      <c r="H20" s="11">
        <f t="shared" ca="1" si="0"/>
        <v>0.50402846796232936</v>
      </c>
      <c r="I20" s="11">
        <f t="shared" ca="1" si="1"/>
        <v>31.205175991139068</v>
      </c>
      <c r="J20" s="11">
        <f t="shared" ca="1" si="2"/>
        <v>-25.358851279845112</v>
      </c>
      <c r="K20" s="11">
        <f t="shared" ca="1" si="3"/>
        <v>5.9202031939508375</v>
      </c>
      <c r="L20" s="20">
        <f t="shared" ca="1" si="4"/>
        <v>-7.3878482656881239E-2</v>
      </c>
      <c r="N20" s="1" t="s">
        <v>53</v>
      </c>
      <c r="O20" s="1">
        <v>1.124519984410481</v>
      </c>
    </row>
    <row r="21" spans="4:15" x14ac:dyDescent="0.25">
      <c r="D21" s="22">
        <f t="shared" ca="1" si="6"/>
        <v>2.2326097282807843E-2</v>
      </c>
      <c r="E21" s="11">
        <v>5.2777777777777778E-2</v>
      </c>
      <c r="F21" s="11">
        <f t="shared" ca="1" si="7"/>
        <v>61.323904783720103</v>
      </c>
      <c r="G21" s="11">
        <f t="shared" ca="1" si="5"/>
        <v>5.5485697707141455</v>
      </c>
      <c r="H21" s="11">
        <f t="shared" ca="1" si="0"/>
        <v>0.4912744490283622</v>
      </c>
      <c r="I21" s="11">
        <f t="shared" ca="1" si="1"/>
        <v>30.12686753488984</v>
      </c>
      <c r="J21" s="11">
        <f t="shared" ca="1" si="2"/>
        <v>-24.578297764175694</v>
      </c>
      <c r="K21" s="11">
        <f t="shared" ca="1" si="3"/>
        <v>5.6394821901721972</v>
      </c>
      <c r="L21" s="20">
        <f t="shared" ca="1" si="4"/>
        <v>-9.091241945805173E-2</v>
      </c>
    </row>
    <row r="22" spans="4:15" x14ac:dyDescent="0.25">
      <c r="D22" s="22">
        <f t="shared" ca="1" si="6"/>
        <v>2.2332655512171434E-2</v>
      </c>
      <c r="E22" s="11">
        <v>5.5555555555555559E-2</v>
      </c>
      <c r="F22" s="11">
        <f t="shared" ca="1" si="7"/>
        <v>61.659721083093835</v>
      </c>
      <c r="G22" s="11">
        <f t="shared" ca="1" si="5"/>
        <v>5.7120229723778841</v>
      </c>
      <c r="H22" s="11">
        <f t="shared" ca="1" si="0"/>
        <v>0.49892968115972403</v>
      </c>
      <c r="I22" s="11">
        <f t="shared" ca="1" si="1"/>
        <v>30.76386498038552</v>
      </c>
      <c r="J22" s="11">
        <f t="shared" ca="1" si="2"/>
        <v>-25.051842008007636</v>
      </c>
      <c r="K22" s="11">
        <f t="shared" ca="1" si="3"/>
        <v>5.7996436176953843</v>
      </c>
      <c r="L22" s="20">
        <f t="shared" ca="1" si="4"/>
        <v>-8.7620645317500134E-2</v>
      </c>
    </row>
    <row r="23" spans="4:15" x14ac:dyDescent="0.25">
      <c r="D23" s="22">
        <f t="shared" ca="1" si="6"/>
        <v>2.2623787696872878E-2</v>
      </c>
      <c r="E23" s="11">
        <v>5.8333333333333334E-2</v>
      </c>
      <c r="F23" s="11">
        <f t="shared" ca="1" si="7"/>
        <v>61.660739432976946</v>
      </c>
      <c r="G23" s="11">
        <f t="shared" ca="1" si="5"/>
        <v>5.7109566535706335</v>
      </c>
      <c r="H23" s="11">
        <f t="shared" ca="1" si="0"/>
        <v>0.49959342826331887</v>
      </c>
      <c r="I23" s="11">
        <f t="shared" ca="1" si="1"/>
        <v>30.805300202572166</v>
      </c>
      <c r="J23" s="11">
        <f t="shared" ca="1" si="2"/>
        <v>-25.094343549001533</v>
      </c>
      <c r="K23" s="11">
        <f t="shared" ca="1" si="3"/>
        <v>5.8078216089188466</v>
      </c>
      <c r="L23" s="20">
        <f t="shared" ca="1" si="4"/>
        <v>-9.6864955348213044E-2</v>
      </c>
    </row>
    <row r="24" spans="4:15" x14ac:dyDescent="0.25">
      <c r="D24" s="22">
        <f t="shared" ca="1" si="6"/>
        <v>2.2764685141359837E-2</v>
      </c>
      <c r="E24" s="11">
        <v>6.1111111111111116E-2</v>
      </c>
      <c r="F24" s="11">
        <f t="shared" ca="1" si="7"/>
        <v>62.186478631976144</v>
      </c>
      <c r="G24" s="11">
        <f t="shared" ca="1" si="5"/>
        <v>5.9720256054484544</v>
      </c>
      <c r="H24" s="11">
        <f t="shared" ca="1" si="0"/>
        <v>0.51197550117794743</v>
      </c>
      <c r="I24" s="11">
        <f t="shared" ca="1" si="1"/>
        <v>31.837953564097706</v>
      </c>
      <c r="J24" s="11">
        <f t="shared" ca="1" si="2"/>
        <v>-25.865927958649252</v>
      </c>
      <c r="K24" s="11">
        <f t="shared" ca="1" si="3"/>
        <v>6.0741491754984951</v>
      </c>
      <c r="L24" s="20">
        <f t="shared" ca="1" si="4"/>
        <v>-0.10212357005004069</v>
      </c>
    </row>
    <row r="25" spans="4:15" x14ac:dyDescent="0.25">
      <c r="D25" s="22">
        <f t="shared" ca="1" si="6"/>
        <v>2.267041004496188E-2</v>
      </c>
      <c r="E25" s="11">
        <v>6.3888888888888898E-2</v>
      </c>
      <c r="F25" s="11">
        <f t="shared" ca="1" si="7"/>
        <v>61.908236842862514</v>
      </c>
      <c r="G25" s="11">
        <f t="shared" ca="1" si="5"/>
        <v>5.8279437103047016</v>
      </c>
      <c r="H25" s="11">
        <f t="shared" ca="1" si="0"/>
        <v>0.50512521678483502</v>
      </c>
      <c r="I25" s="11">
        <f t="shared" ca="1" si="1"/>
        <v>31.271411556017839</v>
      </c>
      <c r="J25" s="11">
        <f t="shared" ca="1" si="2"/>
        <v>-25.443467845713137</v>
      </c>
      <c r="K25" s="11">
        <f t="shared" ca="1" si="3"/>
        <v>5.9214287136081625</v>
      </c>
      <c r="L25" s="20">
        <f t="shared" ca="1" si="4"/>
        <v>-9.3485003303460878E-2</v>
      </c>
    </row>
    <row r="26" spans="4:15" x14ac:dyDescent="0.25">
      <c r="D26" s="22">
        <f t="shared" ca="1" si="6"/>
        <v>2.3031817721970327E-2</v>
      </c>
      <c r="E26" s="11">
        <v>6.6666666666666666E-2</v>
      </c>
      <c r="F26" s="11">
        <f t="shared" ca="1" si="7"/>
        <v>62.180953194549168</v>
      </c>
      <c r="G26" s="11">
        <f t="shared" ca="1" si="5"/>
        <v>5.964071760849869</v>
      </c>
      <c r="H26" s="11">
        <f t="shared" ca="1" si="0"/>
        <v>0.51226516118172816</v>
      </c>
      <c r="I26" s="11">
        <f t="shared" ca="1" si="1"/>
        <v>31.853136010639226</v>
      </c>
      <c r="J26" s="11">
        <f t="shared" ca="1" si="2"/>
        <v>-25.889064249789357</v>
      </c>
      <c r="K26" s="11">
        <f t="shared" ca="1" si="3"/>
        <v>6.0714701793341534</v>
      </c>
      <c r="L26" s="20">
        <f t="shared" ca="1" si="4"/>
        <v>-0.10739841848428444</v>
      </c>
    </row>
    <row r="27" spans="4:15" x14ac:dyDescent="0.25">
      <c r="D27" s="22">
        <f t="shared" ca="1" si="6"/>
        <v>2.2725247601165781E-2</v>
      </c>
      <c r="E27" s="11">
        <v>6.9444444444444448E-2</v>
      </c>
      <c r="F27" s="11">
        <f t="shared" ca="1" si="7"/>
        <v>62.908339153799908</v>
      </c>
      <c r="G27" s="11">
        <f t="shared" ca="1" si="5"/>
        <v>6.3350519299368599</v>
      </c>
      <c r="H27" s="11">
        <f t="shared" ca="1" si="0"/>
        <v>0.52792802709051523</v>
      </c>
      <c r="I27" s="11">
        <f t="shared" ca="1" si="1"/>
        <v>33.211075377006594</v>
      </c>
      <c r="J27" s="11">
        <f t="shared" ca="1" si="2"/>
        <v>-26.876023447069734</v>
      </c>
      <c r="K27" s="11">
        <f t="shared" ca="1" si="3"/>
        <v>6.4275766373145986</v>
      </c>
      <c r="L27" s="20">
        <f t="shared" ca="1" si="4"/>
        <v>-9.2524707377738657E-2</v>
      </c>
    </row>
    <row r="28" spans="4:15" x14ac:dyDescent="0.25">
      <c r="D28" s="22">
        <f t="shared" ca="1" si="6"/>
        <v>2.2459520871030942E-2</v>
      </c>
      <c r="E28" s="11">
        <v>7.2222222222222229E-2</v>
      </c>
      <c r="F28" s="11">
        <f t="shared" ca="1" si="7"/>
        <v>62.371262890251813</v>
      </c>
      <c r="G28" s="11">
        <f t="shared" ca="1" si="5"/>
        <v>6.0498375359492158</v>
      </c>
      <c r="H28" s="11">
        <f t="shared" ca="1" si="0"/>
        <v>0.51474321469787321</v>
      </c>
      <c r="I28" s="11">
        <f t="shared" ca="1" si="1"/>
        <v>32.105184364894384</v>
      </c>
      <c r="J28" s="11">
        <f t="shared" ca="1" si="2"/>
        <v>-26.055346828945169</v>
      </c>
      <c r="K28" s="11">
        <f t="shared" ca="1" si="3"/>
        <v>6.1274034715725296</v>
      </c>
      <c r="L28" s="20">
        <f t="shared" ca="1" si="4"/>
        <v>-7.756593562331382E-2</v>
      </c>
    </row>
    <row r="29" spans="4:15" x14ac:dyDescent="0.25">
      <c r="D29" s="22">
        <f t="shared" ca="1" si="6"/>
        <v>2.2624963026933793E-2</v>
      </c>
      <c r="E29" s="11">
        <v>7.4999999999999997E-2</v>
      </c>
      <c r="F29" s="11">
        <f t="shared" ca="1" si="7"/>
        <v>62.057661817818484</v>
      </c>
      <c r="G29" s="11">
        <f t="shared" ca="1" si="5"/>
        <v>5.8867759568386404</v>
      </c>
      <c r="H29" s="11">
        <f t="shared" ca="1" si="0"/>
        <v>0.50779812297810412</v>
      </c>
      <c r="I29" s="11">
        <f t="shared" ca="1" si="1"/>
        <v>31.512764187498188</v>
      </c>
      <c r="J29" s="11">
        <f t="shared" ca="1" si="2"/>
        <v>-25.625988230659548</v>
      </c>
      <c r="K29" s="11">
        <f t="shared" ca="1" si="3"/>
        <v>5.9686989069936116</v>
      </c>
      <c r="L29" s="20">
        <f t="shared" ca="1" si="4"/>
        <v>-8.1922950154971197E-2</v>
      </c>
    </row>
    <row r="30" spans="4:15" x14ac:dyDescent="0.25">
      <c r="D30" s="22">
        <f t="shared" ca="1" si="6"/>
        <v>2.2431405155937341E-2</v>
      </c>
      <c r="E30" s="11">
        <v>7.7777777777777779E-2</v>
      </c>
      <c r="F30" s="11">
        <f t="shared" ca="1" si="7"/>
        <v>60.683778597486388</v>
      </c>
      <c r="G30" s="11">
        <f t="shared" ca="1" si="5"/>
        <v>5.1875238451587968</v>
      </c>
      <c r="H30" s="11">
        <f t="shared" ca="1" si="0"/>
        <v>0.474905604165269</v>
      </c>
      <c r="I30" s="11">
        <f t="shared" ca="1" si="1"/>
        <v>28.819066537870693</v>
      </c>
      <c r="J30" s="11">
        <f t="shared" ca="1" si="2"/>
        <v>-23.631542692711896</v>
      </c>
      <c r="K30" s="11">
        <f t="shared" ca="1" si="3"/>
        <v>5.2779828571437841</v>
      </c>
      <c r="L30" s="20">
        <f t="shared" ca="1" si="4"/>
        <v>-9.0459011984987292E-2</v>
      </c>
    </row>
    <row r="31" spans="4:15" x14ac:dyDescent="0.25">
      <c r="D31" s="22">
        <f t="shared" ca="1" si="6"/>
        <v>2.2644063357892923E-2</v>
      </c>
      <c r="E31" s="11">
        <v>8.0555555555555561E-2</v>
      </c>
      <c r="F31" s="11">
        <f t="shared" ca="1" si="7"/>
        <v>59.633701784709935</v>
      </c>
      <c r="G31" s="11">
        <f t="shared" ca="1" si="5"/>
        <v>4.6873500070235892</v>
      </c>
      <c r="H31" s="11">
        <f t="shared" ca="1" si="0"/>
        <v>0.45028631171800093</v>
      </c>
      <c r="I31" s="11">
        <f t="shared" ca="1" si="1"/>
        <v>26.852239630728207</v>
      </c>
      <c r="J31" s="11">
        <f t="shared" ca="1" si="2"/>
        <v>-22.164889623704617</v>
      </c>
      <c r="K31" s="11">
        <f t="shared" ca="1" si="3"/>
        <v>4.7952899210496422</v>
      </c>
      <c r="L31" s="20">
        <f t="shared" ca="1" si="4"/>
        <v>-0.10793991402605307</v>
      </c>
    </row>
    <row r="32" spans="4:15" x14ac:dyDescent="0.25">
      <c r="D32" s="22">
        <f t="shared" ca="1" si="6"/>
        <v>2.2263449527253312E-2</v>
      </c>
      <c r="E32" s="11">
        <v>8.3333333333333343E-2</v>
      </c>
      <c r="F32" s="11">
        <f t="shared" ca="1" si="7"/>
        <v>60.068619126416799</v>
      </c>
      <c r="G32" s="11">
        <f t="shared" ca="1" si="5"/>
        <v>4.8818165489439558</v>
      </c>
      <c r="H32" s="11">
        <f t="shared" ca="1" si="0"/>
        <v>0.45943912219191607</v>
      </c>
      <c r="I32" s="11">
        <f t="shared" ca="1" si="1"/>
        <v>27.597873642721474</v>
      </c>
      <c r="J32" s="11">
        <f t="shared" ca="1" si="2"/>
        <v>-22.716057093777518</v>
      </c>
      <c r="K32" s="11">
        <f t="shared" ca="1" si="3"/>
        <v>4.9706567734249552</v>
      </c>
      <c r="L32" s="20">
        <f t="shared" ca="1" si="4"/>
        <v>-8.8840224480999375E-2</v>
      </c>
    </row>
    <row r="33" spans="4:12" x14ac:dyDescent="0.25">
      <c r="D33" s="22">
        <f t="shared" ca="1" si="6"/>
        <v>2.1993193316844489E-2</v>
      </c>
      <c r="E33" s="11">
        <v>8.611111111111111E-2</v>
      </c>
      <c r="F33" s="11">
        <f t="shared" ca="1" si="7"/>
        <v>60.009933082758145</v>
      </c>
      <c r="G33" s="11">
        <f t="shared" ca="1" si="5"/>
        <v>4.8534660681822785</v>
      </c>
      <c r="H33" s="11">
        <f t="shared" ca="1" si="0"/>
        <v>0.45709812622560486</v>
      </c>
      <c r="I33" s="11">
        <f t="shared" ca="1" si="1"/>
        <v>27.430427967052683</v>
      </c>
      <c r="J33" s="11">
        <f t="shared" ca="1" si="2"/>
        <v>-22.576961898870405</v>
      </c>
      <c r="K33" s="11">
        <f t="shared" ca="1" si="3"/>
        <v>4.9259140093519127</v>
      </c>
      <c r="L33" s="20">
        <f t="shared" ca="1" si="4"/>
        <v>-7.2447941169634156E-2</v>
      </c>
    </row>
    <row r="34" spans="4:12" x14ac:dyDescent="0.25">
      <c r="D34" s="22">
        <f t="shared" ca="1" si="6"/>
        <v>2.2086633409377995E-2</v>
      </c>
      <c r="E34" s="11">
        <v>8.8888888888888892E-2</v>
      </c>
      <c r="F34" s="11">
        <f t="shared" ca="1" si="7"/>
        <v>59.302946389997047</v>
      </c>
      <c r="G34" s="11">
        <f t="shared" ca="1" si="5"/>
        <v>4.5289185968276051</v>
      </c>
      <c r="H34" s="11">
        <f t="shared" ca="1" si="0"/>
        <v>0.44019895665965064</v>
      </c>
      <c r="I34" s="11">
        <f t="shared" ca="1" si="1"/>
        <v>26.105095127719895</v>
      </c>
      <c r="J34" s="11">
        <f t="shared" ca="1" si="2"/>
        <v>-21.57617653089229</v>
      </c>
      <c r="K34" s="11">
        <f t="shared" ca="1" si="3"/>
        <v>4.606561995450992</v>
      </c>
      <c r="L34" s="20">
        <f t="shared" ca="1" si="4"/>
        <v>-7.7643398623386872E-2</v>
      </c>
    </row>
    <row r="35" spans="4:12" x14ac:dyDescent="0.25">
      <c r="D35" s="22">
        <f t="shared" ca="1" si="6"/>
        <v>2.2195496796986316E-2</v>
      </c>
      <c r="E35" s="11">
        <v>9.1666666666666674E-2</v>
      </c>
      <c r="F35" s="11">
        <f t="shared" ca="1" si="7"/>
        <v>58.950715265942371</v>
      </c>
      <c r="G35" s="11">
        <f t="shared" ca="1" si="5"/>
        <v>4.3725365215148777</v>
      </c>
      <c r="H35" s="11">
        <f t="shared" ca="1" si="0"/>
        <v>0.431794474417451</v>
      </c>
      <c r="I35" s="11">
        <f t="shared" ca="1" si="1"/>
        <v>25.454593114790391</v>
      </c>
      <c r="J35" s="11">
        <f t="shared" ca="1" si="2"/>
        <v>-21.082056593275514</v>
      </c>
      <c r="K35" s="11">
        <f t="shared" ca="1" si="3"/>
        <v>4.4514202345572329</v>
      </c>
      <c r="L35" s="20">
        <f t="shared" ca="1" si="4"/>
        <v>-7.8883713042355197E-2</v>
      </c>
    </row>
    <row r="36" spans="4:12" x14ac:dyDescent="0.25">
      <c r="D36" s="22">
        <f t="shared" ca="1" si="6"/>
        <v>2.2079054791198992E-2</v>
      </c>
      <c r="E36" s="11">
        <v>9.4444444444444442E-2</v>
      </c>
      <c r="F36" s="11">
        <f t="shared" ca="1" si="7"/>
        <v>58.407687627412045</v>
      </c>
      <c r="G36" s="11">
        <f t="shared" ca="1" si="5"/>
        <v>4.1367671706393416</v>
      </c>
      <c r="H36" s="11">
        <f t="shared" ca="1" si="0"/>
        <v>0.41812969058319877</v>
      </c>
      <c r="I36" s="11">
        <f t="shared" ca="1" si="1"/>
        <v>24.421988355329926</v>
      </c>
      <c r="J36" s="11">
        <f t="shared" ca="1" si="2"/>
        <v>-20.285221184690585</v>
      </c>
      <c r="K36" s="11">
        <f t="shared" ca="1" si="3"/>
        <v>4.2101836056220012</v>
      </c>
      <c r="L36" s="20">
        <f t="shared" ca="1" si="4"/>
        <v>-7.3416434982659595E-2</v>
      </c>
    </row>
    <row r="37" spans="4:12" x14ac:dyDescent="0.25">
      <c r="D37" s="22">
        <f t="shared" ca="1" si="6"/>
        <v>2.1860276224193776E-2</v>
      </c>
      <c r="E37" s="11">
        <v>9.7222222222222224E-2</v>
      </c>
      <c r="F37" s="11">
        <f t="shared" ca="1" si="7"/>
        <v>58.023051923751495</v>
      </c>
      <c r="G37" s="11">
        <f t="shared" ca="1" si="5"/>
        <v>3.9747077462078515</v>
      </c>
      <c r="H37" s="11">
        <f t="shared" ca="1" si="0"/>
        <v>0.40799212105227989</v>
      </c>
      <c r="I37" s="11">
        <f t="shared" ca="1" si="1"/>
        <v>23.672948024297941</v>
      </c>
      <c r="J37" s="11">
        <f t="shared" ca="1" si="2"/>
        <v>-19.69824027809009</v>
      </c>
      <c r="K37" s="11">
        <f t="shared" ca="1" si="3"/>
        <v>4.0372256499843706</v>
      </c>
      <c r="L37" s="20">
        <f t="shared" ca="1" si="4"/>
        <v>-6.2517903776519113E-2</v>
      </c>
    </row>
    <row r="38" spans="4:12" x14ac:dyDescent="0.25">
      <c r="D38" s="22">
        <f t="shared" ca="1" si="6"/>
        <v>2.1910437385894859E-2</v>
      </c>
      <c r="E38" s="11">
        <v>0.1</v>
      </c>
      <c r="F38" s="11">
        <f t="shared" ca="1" si="7"/>
        <v>58.512873514592478</v>
      </c>
      <c r="G38" s="11">
        <f t="shared" ca="1" si="5"/>
        <v>4.1733521787853434</v>
      </c>
      <c r="H38" s="11">
        <f t="shared" ca="1" si="0"/>
        <v>0.4197762549354207</v>
      </c>
      <c r="I38" s="11">
        <f t="shared" ca="1" si="1"/>
        <v>24.562314909465599</v>
      </c>
      <c r="J38" s="11">
        <f t="shared" ca="1" si="2"/>
        <v>-20.388962730680255</v>
      </c>
      <c r="K38" s="11">
        <f t="shared" ca="1" si="3"/>
        <v>4.2360731745539457</v>
      </c>
      <c r="L38" s="20">
        <f t="shared" ca="1" si="4"/>
        <v>-6.272099576860235E-2</v>
      </c>
    </row>
    <row r="39" spans="4:12" x14ac:dyDescent="0.25">
      <c r="D39" s="22">
        <f t="shared" ca="1" si="6"/>
        <v>2.1874886792543957E-2</v>
      </c>
      <c r="E39" s="11">
        <v>0.10277777777777779</v>
      </c>
      <c r="F39" s="11">
        <f t="shared" ca="1" si="7"/>
        <v>57.478607839401491</v>
      </c>
      <c r="G39" s="11">
        <f t="shared" ca="1" si="5"/>
        <v>3.7379530631501581</v>
      </c>
      <c r="H39" s="11">
        <f t="shared" ca="1" si="0"/>
        <v>0.394342200696505</v>
      </c>
      <c r="I39" s="11">
        <f t="shared" ca="1" si="1"/>
        <v>22.666240708360966</v>
      </c>
      <c r="J39" s="11">
        <f t="shared" ca="1" si="2"/>
        <v>-18.928287645210808</v>
      </c>
      <c r="K39" s="11">
        <f t="shared" ca="1" si="3"/>
        <v>3.8080076846551552</v>
      </c>
      <c r="L39" s="20">
        <f t="shared" ca="1" si="4"/>
        <v>-7.0054621504997083E-2</v>
      </c>
    </row>
    <row r="40" spans="4:12" x14ac:dyDescent="0.25">
      <c r="D40" s="22">
        <f t="shared" ca="1" si="6"/>
        <v>2.226300380501206E-2</v>
      </c>
      <c r="E40" s="11">
        <v>0.10555555555555556</v>
      </c>
      <c r="F40" s="11">
        <f t="shared" ca="1" si="7"/>
        <v>57.13853024828083</v>
      </c>
      <c r="G40" s="11">
        <f t="shared" ca="1" si="5"/>
        <v>3.6026755242095305</v>
      </c>
      <c r="H40" s="11">
        <f t="shared" ca="1" si="0"/>
        <v>0.38685541854831046</v>
      </c>
      <c r="I40" s="11">
        <f t="shared" ca="1" si="1"/>
        <v>22.104350034433978</v>
      </c>
      <c r="J40" s="11">
        <f t="shared" ca="1" si="2"/>
        <v>-18.501674510224447</v>
      </c>
      <c r="K40" s="11">
        <f t="shared" ca="1" si="3"/>
        <v>3.6833078074702978</v>
      </c>
      <c r="L40" s="20">
        <f t="shared" ca="1" si="4"/>
        <v>-8.0632283260767323E-2</v>
      </c>
    </row>
    <row r="41" spans="4:12" x14ac:dyDescent="0.25">
      <c r="D41" s="22">
        <f t="shared" ca="1" si="6"/>
        <v>2.2698646920214931E-2</v>
      </c>
      <c r="E41" s="11">
        <v>0.10833333333333334</v>
      </c>
      <c r="F41" s="11">
        <f t="shared" ca="1" si="7"/>
        <v>56.547671146137148</v>
      </c>
      <c r="G41" s="11">
        <f t="shared" ca="1" si="5"/>
        <v>3.3729318783435218</v>
      </c>
      <c r="H41" s="11">
        <f t="shared" ca="1" si="0"/>
        <v>0.37336479203565032</v>
      </c>
      <c r="I41" s="11">
        <f t="shared" ca="1" si="1"/>
        <v>21.112909477577841</v>
      </c>
      <c r="J41" s="11">
        <f t="shared" ca="1" si="2"/>
        <v>-17.739977599234319</v>
      </c>
      <c r="K41" s="11">
        <f t="shared" ca="1" si="3"/>
        <v>3.4680905010583709</v>
      </c>
      <c r="L41" s="20">
        <f t="shared" ca="1" si="4"/>
        <v>-9.5158622714849095E-2</v>
      </c>
    </row>
    <row r="42" spans="4:12" x14ac:dyDescent="0.25">
      <c r="D42" s="22">
        <f t="shared" ca="1" si="6"/>
        <v>2.2669008755379756E-2</v>
      </c>
      <c r="E42" s="11">
        <v>0.11111111111111112</v>
      </c>
      <c r="F42" s="11">
        <f t="shared" ca="1" si="7"/>
        <v>56.971480015292357</v>
      </c>
      <c r="G42" s="11">
        <f t="shared" ca="1" si="5"/>
        <v>3.5300500765015848</v>
      </c>
      <c r="H42" s="11">
        <f t="shared" ca="1" si="0"/>
        <v>0.38336197065510358</v>
      </c>
      <c r="I42" s="11">
        <f t="shared" ca="1" si="1"/>
        <v>21.840698849800329</v>
      </c>
      <c r="J42" s="11">
        <f t="shared" ca="1" si="2"/>
        <v>-18.310648773298745</v>
      </c>
      <c r="K42" s="11">
        <f t="shared" ca="1" si="3"/>
        <v>3.6219486457053098</v>
      </c>
      <c r="L42" s="20">
        <f t="shared" ca="1" si="4"/>
        <v>-9.1898569203725078E-2</v>
      </c>
    </row>
    <row r="43" spans="4:12" x14ac:dyDescent="0.25">
      <c r="D43" s="22">
        <f t="shared" ca="1" si="6"/>
        <v>2.2323627221640472E-2</v>
      </c>
      <c r="E43" s="11">
        <v>0.11388888888888889</v>
      </c>
      <c r="F43" s="11">
        <f t="shared" ca="1" si="7"/>
        <v>55.381226105913171</v>
      </c>
      <c r="G43" s="11">
        <f t="shared" ca="1" si="5"/>
        <v>2.9192717240397599</v>
      </c>
      <c r="H43" s="11">
        <f t="shared" ca="1" si="0"/>
        <v>0.34356481012874424</v>
      </c>
      <c r="I43" s="11">
        <f t="shared" ca="1" si="1"/>
        <v>19.027040431775113</v>
      </c>
      <c r="J43" s="11">
        <f t="shared" ca="1" si="2"/>
        <v>-16.107768707735353</v>
      </c>
      <c r="K43" s="11">
        <f t="shared" ca="1" si="3"/>
        <v>3.0275129167581336</v>
      </c>
      <c r="L43" s="20">
        <f t="shared" ca="1" si="4"/>
        <v>-0.10824119271837374</v>
      </c>
    </row>
    <row r="44" spans="4:12" x14ac:dyDescent="0.25">
      <c r="D44" s="22">
        <f t="shared" ca="1" si="6"/>
        <v>2.2558959372279301E-2</v>
      </c>
      <c r="E44" s="11">
        <v>0.11666666666666667</v>
      </c>
      <c r="F44" s="11">
        <f t="shared" ca="1" si="7"/>
        <v>55.374813218921673</v>
      </c>
      <c r="G44" s="11">
        <f t="shared" ca="1" si="5"/>
        <v>2.9160590765011953</v>
      </c>
      <c r="H44" s="11">
        <f t="shared" ca="1" si="0"/>
        <v>0.34373684966619089</v>
      </c>
      <c r="I44" s="11">
        <f t="shared" ca="1" si="1"/>
        <v>19.034363846725878</v>
      </c>
      <c r="J44" s="11">
        <f t="shared" ca="1" si="2"/>
        <v>-16.118304770224682</v>
      </c>
      <c r="K44" s="11">
        <f t="shared" ca="1" si="3"/>
        <v>3.0272872708445653</v>
      </c>
      <c r="L44" s="20">
        <f t="shared" ca="1" si="4"/>
        <v>-0.11122819434336995</v>
      </c>
    </row>
    <row r="45" spans="4:12" x14ac:dyDescent="0.25">
      <c r="D45" s="22">
        <f t="shared" ca="1" si="6"/>
        <v>2.2652962422203726E-2</v>
      </c>
      <c r="E45" s="11">
        <v>0.11944444444444445</v>
      </c>
      <c r="F45" s="11">
        <f t="shared" ca="1" si="7"/>
        <v>55.286139880832771</v>
      </c>
      <c r="G45" s="11">
        <f t="shared" ca="1" si="5"/>
        <v>2.8845645080607127</v>
      </c>
      <c r="H45" s="11">
        <f t="shared" ca="1" si="0"/>
        <v>0.34155881319344383</v>
      </c>
      <c r="I45" s="11">
        <f t="shared" ca="1" si="1"/>
        <v>18.883468323743966</v>
      </c>
      <c r="J45" s="11">
        <f t="shared" ca="1" si="2"/>
        <v>-15.998903815683253</v>
      </c>
      <c r="K45" s="11">
        <f t="shared" ca="1" si="3"/>
        <v>2.9946061738143777</v>
      </c>
      <c r="L45" s="20">
        <f t="shared" ca="1" si="4"/>
        <v>-0.11004166575366492</v>
      </c>
    </row>
    <row r="46" spans="4:12" x14ac:dyDescent="0.25">
      <c r="D46" s="22">
        <f t="shared" ca="1" si="6"/>
        <v>2.2503745653374155E-2</v>
      </c>
      <c r="E46" s="11">
        <v>0.12222222222222223</v>
      </c>
      <c r="F46" s="11">
        <f t="shared" ca="1" si="7"/>
        <v>56.298659247774502</v>
      </c>
      <c r="G46" s="11">
        <f t="shared" ca="1" si="5"/>
        <v>3.2293992921592345</v>
      </c>
      <c r="H46" s="11">
        <f t="shared" ca="1" si="0"/>
        <v>0.36551744367164041</v>
      </c>
      <c r="I46" s="11">
        <f t="shared" ca="1" si="1"/>
        <v>20.578142010387293</v>
      </c>
      <c r="J46" s="11">
        <f t="shared" ca="1" si="2"/>
        <v>-17.34874271822806</v>
      </c>
      <c r="K46" s="11">
        <f t="shared" ca="1" si="3"/>
        <v>3.3426720920309005</v>
      </c>
      <c r="L46" s="20">
        <f t="shared" ca="1" si="4"/>
        <v>-0.11327279987166605</v>
      </c>
    </row>
    <row r="47" spans="4:12" x14ac:dyDescent="0.25">
      <c r="D47" s="22">
        <f t="shared" ca="1" si="6"/>
        <v>2.2650742935075692E-2</v>
      </c>
      <c r="E47" s="11">
        <v>0.125</v>
      </c>
      <c r="F47" s="11">
        <f t="shared" ca="1" si="7"/>
        <v>55.37277569506977</v>
      </c>
      <c r="G47" s="11">
        <f t="shared" ca="1" si="5"/>
        <v>2.889881107631016</v>
      </c>
      <c r="H47" s="11">
        <f t="shared" ca="1" si="0"/>
        <v>0.34311379713354506</v>
      </c>
      <c r="I47" s="11">
        <f t="shared" ca="1" si="1"/>
        <v>18.999163326559465</v>
      </c>
      <c r="J47" s="11">
        <f t="shared" ca="1" si="2"/>
        <v>-16.109282218928449</v>
      </c>
      <c r="K47" s="11">
        <f t="shared" ca="1" si="3"/>
        <v>3.0139520936754876</v>
      </c>
      <c r="L47" s="20">
        <f t="shared" ca="1" si="4"/>
        <v>-0.12407098604447153</v>
      </c>
    </row>
    <row r="48" spans="4:12" x14ac:dyDescent="0.25">
      <c r="D48" s="22">
        <f t="shared" ca="1" si="6"/>
        <v>2.2873053408772458E-2</v>
      </c>
      <c r="E48" s="11">
        <v>0.1277777777777778</v>
      </c>
      <c r="F48" s="11">
        <f t="shared" ca="1" si="7"/>
        <v>55.196040704834708</v>
      </c>
      <c r="G48" s="11">
        <f t="shared" ca="1" si="5"/>
        <v>2.8282173379940687</v>
      </c>
      <c r="H48" s="11">
        <f t="shared" ca="1" si="0"/>
        <v>0.33911736607721543</v>
      </c>
      <c r="I48" s="11">
        <f t="shared" ca="1" si="1"/>
        <v>18.717935941714316</v>
      </c>
      <c r="J48" s="11">
        <f t="shared" ca="1" si="2"/>
        <v>-15.889718603720247</v>
      </c>
      <c r="K48" s="11">
        <f t="shared" ca="1" si="3"/>
        <v>2.9551572608705068</v>
      </c>
      <c r="L48" s="20">
        <f t="shared" ca="1" si="4"/>
        <v>-0.12693992287643807</v>
      </c>
    </row>
    <row r="49" spans="4:12" x14ac:dyDescent="0.25">
      <c r="D49" s="22">
        <f t="shared" ca="1" si="6"/>
        <v>2.2615379739471204E-2</v>
      </c>
      <c r="E49" s="11">
        <v>0.13055555555555556</v>
      </c>
      <c r="F49" s="11">
        <f t="shared" ca="1" si="7"/>
        <v>55.304404265116844</v>
      </c>
      <c r="G49" s="11">
        <f t="shared" ca="1" si="5"/>
        <v>2.8639670717252823</v>
      </c>
      <c r="H49" s="11">
        <f t="shared" ca="1" si="0"/>
        <v>0.34082742168313673</v>
      </c>
      <c r="I49" s="11">
        <f t="shared" ca="1" si="1"/>
        <v>18.849257513401643</v>
      </c>
      <c r="J49" s="11">
        <f t="shared" ca="1" si="2"/>
        <v>-15.98529044167636</v>
      </c>
      <c r="K49" s="11">
        <f t="shared" ca="1" si="3"/>
        <v>2.9792629211818635</v>
      </c>
      <c r="L49" s="20">
        <f t="shared" ca="1" si="4"/>
        <v>-0.11529584945658122</v>
      </c>
    </row>
    <row r="50" spans="4:12" x14ac:dyDescent="0.25">
      <c r="D50" s="22">
        <f t="shared" ca="1" si="6"/>
        <v>2.2307768855825708E-2</v>
      </c>
      <c r="E50" s="11">
        <v>0.13333333333333333</v>
      </c>
      <c r="F50" s="11">
        <f t="shared" ca="1" si="7"/>
        <v>55.130195859533686</v>
      </c>
      <c r="G50" s="11">
        <f t="shared" ca="1" si="5"/>
        <v>2.8036014944234093</v>
      </c>
      <c r="H50" s="11">
        <f t="shared" ca="1" si="0"/>
        <v>0.33556718249515854</v>
      </c>
      <c r="I50" s="11">
        <f t="shared" ca="1" si="1"/>
        <v>18.499884494989974</v>
      </c>
      <c r="J50" s="11">
        <f t="shared" ca="1" si="2"/>
        <v>-15.696283000566565</v>
      </c>
      <c r="K50" s="11">
        <f t="shared" ca="1" si="3"/>
        <v>2.9062212205344413</v>
      </c>
      <c r="L50" s="20">
        <f t="shared" ca="1" si="4"/>
        <v>-0.10261972611103198</v>
      </c>
    </row>
    <row r="51" spans="4:12" x14ac:dyDescent="0.25">
      <c r="D51" s="22">
        <f t="shared" ca="1" si="6"/>
        <v>2.2778833612493558E-2</v>
      </c>
      <c r="E51" s="11">
        <v>0.13611111111111113</v>
      </c>
      <c r="F51" s="11">
        <f t="shared" ca="1" si="7"/>
        <v>55.101049709685348</v>
      </c>
      <c r="G51" s="11">
        <f t="shared" ca="1" si="5"/>
        <v>2.7928277965639783</v>
      </c>
      <c r="H51" s="11">
        <f t="shared" ca="1" si="0"/>
        <v>0.33576121936779391</v>
      </c>
      <c r="I51" s="11">
        <f t="shared" ca="1" si="1"/>
        <v>18.500795638969379</v>
      </c>
      <c r="J51" s="11">
        <f t="shared" ca="1" si="2"/>
        <v>-15.707967842405401</v>
      </c>
      <c r="K51" s="11">
        <f t="shared" ca="1" si="3"/>
        <v>2.9050768165872674</v>
      </c>
      <c r="L51" s="20">
        <f t="shared" ca="1" si="4"/>
        <v>-0.11224902002328907</v>
      </c>
    </row>
    <row r="52" spans="4:12" x14ac:dyDescent="0.25">
      <c r="D52" s="22">
        <f t="shared" ca="1" si="6"/>
        <v>2.3336181902543194E-2</v>
      </c>
      <c r="E52" s="11">
        <v>0.1388888888888889</v>
      </c>
      <c r="F52" s="11">
        <f t="shared" ca="1" si="7"/>
        <v>54.318123741107549</v>
      </c>
      <c r="G52" s="11">
        <f t="shared" ca="1" si="5"/>
        <v>2.5289333523574022</v>
      </c>
      <c r="H52" s="11">
        <f t="shared" ca="1" si="0"/>
        <v>0.31794252850058202</v>
      </c>
      <c r="I52" s="11">
        <f t="shared" ca="1" si="1"/>
        <v>17.270041605655226</v>
      </c>
      <c r="J52" s="11">
        <f t="shared" ca="1" si="2"/>
        <v>-14.741108253297824</v>
      </c>
      <c r="K52" s="11">
        <f t="shared" ca="1" si="3"/>
        <v>2.659874383170215</v>
      </c>
      <c r="L52" s="20">
        <f t="shared" ca="1" si="4"/>
        <v>-0.13094103081281272</v>
      </c>
    </row>
    <row r="53" spans="4:12" x14ac:dyDescent="0.25">
      <c r="D53" s="22">
        <f t="shared" ca="1" si="6"/>
        <v>2.33133021935816E-2</v>
      </c>
      <c r="E53" s="11">
        <v>0.14166666666666666</v>
      </c>
      <c r="F53" s="11">
        <f t="shared" ca="1" si="7"/>
        <v>54.197838769764296</v>
      </c>
      <c r="G53" s="11">
        <f t="shared" ca="1" si="5"/>
        <v>2.4897349915409297</v>
      </c>
      <c r="H53" s="11">
        <f t="shared" ca="1" si="0"/>
        <v>0.31471034577368057</v>
      </c>
      <c r="I53" s="11">
        <f t="shared" ca="1" si="1"/>
        <v>17.056620579418713</v>
      </c>
      <c r="J53" s="11">
        <f t="shared" ca="1" si="2"/>
        <v>-14.566885587877783</v>
      </c>
      <c r="K53" s="11">
        <f t="shared" ca="1" si="3"/>
        <v>2.6163328763838085</v>
      </c>
      <c r="L53" s="20">
        <f t="shared" ca="1" si="4"/>
        <v>-0.12659788484287882</v>
      </c>
    </row>
    <row r="54" spans="4:12" x14ac:dyDescent="0.25">
      <c r="D54" s="22">
        <f t="shared" ca="1" si="6"/>
        <v>2.361804641731095E-2</v>
      </c>
      <c r="E54" s="11">
        <v>0.14444444444444446</v>
      </c>
      <c r="F54" s="11">
        <f t="shared" ca="1" si="7"/>
        <v>54.135964556694702</v>
      </c>
      <c r="G54" s="11">
        <f t="shared" ca="1" si="5"/>
        <v>2.4693068347020102</v>
      </c>
      <c r="H54" s="11">
        <f t="shared" ca="1" si="0"/>
        <v>0.31367421928878209</v>
      </c>
      <c r="I54" s="11">
        <f t="shared" ca="1" si="1"/>
        <v>16.981056417766389</v>
      </c>
      <c r="J54" s="11">
        <f t="shared" ca="1" si="2"/>
        <v>-14.511749583064379</v>
      </c>
      <c r="K54" s="11">
        <f t="shared" ca="1" si="3"/>
        <v>2.6001899137172608</v>
      </c>
      <c r="L54" s="20">
        <f t="shared" ca="1" si="4"/>
        <v>-0.13088307901525065</v>
      </c>
    </row>
    <row r="55" spans="4:12" x14ac:dyDescent="0.25">
      <c r="D55" s="22">
        <f t="shared" ca="1" si="6"/>
        <v>2.3861470282403627E-2</v>
      </c>
      <c r="E55" s="11">
        <v>0.14722222222222223</v>
      </c>
      <c r="F55" s="11">
        <f t="shared" ca="1" si="7"/>
        <v>54.098817620343326</v>
      </c>
      <c r="G55" s="11">
        <f t="shared" ca="1" si="5"/>
        <v>2.4566929007834588</v>
      </c>
      <c r="H55" s="11">
        <f t="shared" ca="1" si="0"/>
        <v>0.31308102438893937</v>
      </c>
      <c r="I55" s="11">
        <f t="shared" ca="1" si="1"/>
        <v>16.937313238807491</v>
      </c>
      <c r="J55" s="11">
        <f t="shared" ca="1" si="2"/>
        <v>-14.480620338024032</v>
      </c>
      <c r="K55" s="11">
        <f t="shared" ca="1" si="3"/>
        <v>2.5901717763563132</v>
      </c>
      <c r="L55" s="20">
        <f t="shared" ca="1" si="4"/>
        <v>-0.13347887557285443</v>
      </c>
    </row>
    <row r="56" spans="4:12" x14ac:dyDescent="0.25">
      <c r="D56" s="22">
        <f t="shared" ca="1" si="6"/>
        <v>2.4031515982192192E-2</v>
      </c>
      <c r="E56" s="11">
        <v>0.15</v>
      </c>
      <c r="F56" s="11">
        <f t="shared" ca="1" si="7"/>
        <v>53.62465754731641</v>
      </c>
      <c r="G56" s="11">
        <f t="shared" ca="1" si="5"/>
        <v>2.3072757047450647</v>
      </c>
      <c r="H56" s="11">
        <f t="shared" ca="1" si="0"/>
        <v>0.30182646268086877</v>
      </c>
      <c r="I56" s="11">
        <f t="shared" ca="1" si="1"/>
        <v>16.185340699979463</v>
      </c>
      <c r="J56" s="11">
        <f t="shared" ca="1" si="2"/>
        <v>-13.878064995234398</v>
      </c>
      <c r="K56" s="11">
        <f t="shared" ca="1" si="3"/>
        <v>2.4440139343215646</v>
      </c>
      <c r="L56" s="20">
        <f t="shared" ca="1" si="4"/>
        <v>-0.13673822957649984</v>
      </c>
    </row>
    <row r="57" spans="4:12" x14ac:dyDescent="0.25">
      <c r="D57" s="22">
        <f t="shared" ca="1" si="6"/>
        <v>2.4257259307154479E-2</v>
      </c>
      <c r="E57" s="11">
        <v>0.15277777777777779</v>
      </c>
      <c r="F57" s="11">
        <f t="shared" ca="1" si="7"/>
        <v>53.710069360303898</v>
      </c>
      <c r="G57" s="11">
        <f t="shared" ca="1" si="5"/>
        <v>2.3321200968989313</v>
      </c>
      <c r="H57" s="11">
        <f t="shared" ca="1" si="0"/>
        <v>0.30411354159027126</v>
      </c>
      <c r="I57" s="11">
        <f t="shared" ca="1" si="1"/>
        <v>16.333959412221134</v>
      </c>
      <c r="J57" s="11">
        <f t="shared" ca="1" si="2"/>
        <v>-14.001839315322202</v>
      </c>
      <c r="K57" s="11">
        <f t="shared" ca="1" si="3"/>
        <v>2.470896040500171</v>
      </c>
      <c r="L57" s="20">
        <f t="shared" ca="1" si="4"/>
        <v>-0.13877594360123968</v>
      </c>
    </row>
    <row r="58" spans="4:12" x14ac:dyDescent="0.25">
      <c r="D58" s="22">
        <f t="shared" ca="1" si="6"/>
        <v>2.4424393379994847E-2</v>
      </c>
      <c r="E58" s="11">
        <v>0.15555555555555556</v>
      </c>
      <c r="F58" s="11">
        <f t="shared" ca="1" si="7"/>
        <v>54.074732017589923</v>
      </c>
      <c r="G58" s="11">
        <f t="shared" ca="1" si="5"/>
        <v>2.4420689545561505</v>
      </c>
      <c r="H58" s="11">
        <f t="shared" ca="1" si="0"/>
        <v>0.31298826493845372</v>
      </c>
      <c r="I58" s="11">
        <f t="shared" ca="1" si="1"/>
        <v>16.924756551197319</v>
      </c>
      <c r="J58" s="11">
        <f t="shared" ca="1" si="2"/>
        <v>-14.482687596641169</v>
      </c>
      <c r="K58" s="11">
        <f t="shared" ca="1" si="3"/>
        <v>2.5829287499892093</v>
      </c>
      <c r="L58" s="20">
        <f t="shared" ca="1" si="4"/>
        <v>-0.14085979543305882</v>
      </c>
    </row>
    <row r="59" spans="4:12" x14ac:dyDescent="0.25">
      <c r="D59" s="22">
        <f t="shared" ca="1" si="6"/>
        <v>2.3642802777606421E-2</v>
      </c>
      <c r="E59" s="11">
        <v>0.15833333333333333</v>
      </c>
      <c r="F59" s="11">
        <f t="shared" ca="1" si="7"/>
        <v>53.446057392630024</v>
      </c>
      <c r="G59" s="11">
        <f t="shared" ca="1" si="5"/>
        <v>2.2443500006718367</v>
      </c>
      <c r="H59" s="11">
        <f t="shared" ca="1" si="0"/>
        <v>0.29576891094253333</v>
      </c>
      <c r="I59" s="11">
        <f t="shared" ca="1" si="1"/>
        <v>15.807682189190315</v>
      </c>
      <c r="J59" s="11">
        <f t="shared" ca="1" si="2"/>
        <v>-13.563332188518478</v>
      </c>
      <c r="K59" s="11">
        <f t="shared" ca="1" si="3"/>
        <v>2.3668012852183105</v>
      </c>
      <c r="L59" s="20">
        <f t="shared" ca="1" si="4"/>
        <v>-0.1224512845464738</v>
      </c>
    </row>
    <row r="60" spans="4:12" x14ac:dyDescent="0.25">
      <c r="D60" s="22">
        <f t="shared" ca="1" si="6"/>
        <v>2.3298644220971016E-2</v>
      </c>
      <c r="E60" s="11">
        <v>0.16111111111111112</v>
      </c>
      <c r="F60" s="11">
        <f t="shared" ca="1" si="7"/>
        <v>54.495474236100918</v>
      </c>
      <c r="G60" s="11">
        <f t="shared" ca="1" si="5"/>
        <v>2.5538570512647443</v>
      </c>
      <c r="H60" s="11">
        <f t="shared" ca="1" si="0"/>
        <v>0.31985710752341523</v>
      </c>
      <c r="I60" s="11">
        <f t="shared" ca="1" si="1"/>
        <v>17.430764762276034</v>
      </c>
      <c r="J60" s="11">
        <f t="shared" ca="1" si="2"/>
        <v>-14.87690771101129</v>
      </c>
      <c r="K60" s="11">
        <f t="shared" ca="1" si="3"/>
        <v>2.6760613526519288</v>
      </c>
      <c r="L60" s="20">
        <f t="shared" ca="1" si="4"/>
        <v>-0.12220430138718452</v>
      </c>
    </row>
    <row r="61" spans="4:12" x14ac:dyDescent="0.25">
      <c r="D61" s="22">
        <f t="shared" ca="1" si="6"/>
        <v>2.3613110089249385E-2</v>
      </c>
      <c r="E61" s="11">
        <v>0.16388888888888889</v>
      </c>
      <c r="F61" s="11">
        <f t="shared" ca="1" si="7"/>
        <v>54.06971520606627</v>
      </c>
      <c r="G61" s="11">
        <f t="shared" ca="1" si="5"/>
        <v>2.4166991616916551</v>
      </c>
      <c r="H61" s="11">
        <f t="shared" ca="1" si="0"/>
        <v>0.31005041770739861</v>
      </c>
      <c r="I61" s="11">
        <f t="shared" ca="1" si="1"/>
        <v>16.764337784960929</v>
      </c>
      <c r="J61" s="11">
        <f t="shared" ca="1" si="2"/>
        <v>-14.347638623269274</v>
      </c>
      <c r="K61" s="11">
        <f t="shared" ca="1" si="3"/>
        <v>2.5454437968607109</v>
      </c>
      <c r="L61" s="20">
        <f t="shared" ca="1" si="4"/>
        <v>-0.12874463516905577</v>
      </c>
    </row>
    <row r="62" spans="4:12" x14ac:dyDescent="0.25">
      <c r="D62" s="22">
        <f t="shared" ca="1" si="6"/>
        <v>2.3241431068422816E-2</v>
      </c>
      <c r="E62" s="11">
        <v>0.16666666666666669</v>
      </c>
      <c r="F62" s="11">
        <f t="shared" ca="1" si="7"/>
        <v>54.617630128148441</v>
      </c>
      <c r="G62" s="11">
        <f t="shared" ca="1" si="5"/>
        <v>2.5856541054338802</v>
      </c>
      <c r="H62" s="11">
        <f t="shared" ca="1" si="0"/>
        <v>0.32210720515139646</v>
      </c>
      <c r="I62" s="11">
        <f t="shared" ca="1" si="1"/>
        <v>17.592732192570601</v>
      </c>
      <c r="J62" s="11">
        <f t="shared" ca="1" si="2"/>
        <v>-15.007078087136721</v>
      </c>
      <c r="K62" s="11">
        <f t="shared" ca="1" si="3"/>
        <v>2.7037887609543492</v>
      </c>
      <c r="L62" s="20">
        <f t="shared" ca="1" si="4"/>
        <v>-0.11813465552046898</v>
      </c>
    </row>
    <row r="63" spans="4:12" x14ac:dyDescent="0.25">
      <c r="D63" s="22">
        <f t="shared" ca="1" si="6"/>
        <v>2.2886632865073593E-2</v>
      </c>
      <c r="E63" s="11">
        <v>0.16944444444444445</v>
      </c>
      <c r="F63" s="11">
        <f t="shared" ca="1" si="7"/>
        <v>54.276617330834533</v>
      </c>
      <c r="G63" s="11">
        <f t="shared" ca="1" si="5"/>
        <v>2.474857336358026</v>
      </c>
      <c r="H63" s="11">
        <f t="shared" ca="1" si="0"/>
        <v>0.31272012427255014</v>
      </c>
      <c r="I63" s="11">
        <f t="shared" ca="1" si="1"/>
        <v>16.973390516792225</v>
      </c>
      <c r="J63" s="11">
        <f t="shared" ca="1" si="2"/>
        <v>-14.498533180434199</v>
      </c>
      <c r="K63" s="11">
        <f t="shared" ca="1" si="3"/>
        <v>2.5811122132208637</v>
      </c>
      <c r="L63" s="20">
        <f t="shared" ca="1" si="4"/>
        <v>-0.10625487686283774</v>
      </c>
    </row>
    <row r="64" spans="4:12" x14ac:dyDescent="0.25">
      <c r="D64" s="22">
        <f t="shared" ca="1" si="6"/>
        <v>2.2922365374721247E-2</v>
      </c>
      <c r="E64" s="11">
        <v>0.17222222222222222</v>
      </c>
      <c r="F64" s="11">
        <f t="shared" ca="1" si="7"/>
        <v>53.988540443360968</v>
      </c>
      <c r="G64" s="11">
        <f t="shared" ca="1" si="5"/>
        <v>2.3838466983745015</v>
      </c>
      <c r="H64" s="11">
        <f t="shared" ca="1" si="0"/>
        <v>0.30558428676283028</v>
      </c>
      <c r="I64" s="11">
        <f t="shared" ca="1" si="1"/>
        <v>16.498049624750678</v>
      </c>
      <c r="J64" s="11">
        <f t="shared" ca="1" si="2"/>
        <v>-14.114202926376176</v>
      </c>
      <c r="K64" s="11">
        <f t="shared" ca="1" si="3"/>
        <v>2.4881602213955949</v>
      </c>
      <c r="L64" s="20">
        <f t="shared" ca="1" si="4"/>
        <v>-0.10431352302109342</v>
      </c>
    </row>
    <row r="65" spans="4:12" x14ac:dyDescent="0.25">
      <c r="D65" s="22">
        <f t="shared" ca="1" si="6"/>
        <v>2.3273772270710192E-2</v>
      </c>
      <c r="E65" s="11">
        <v>0.17500000000000002</v>
      </c>
      <c r="F65" s="11">
        <f t="shared" ca="1" si="7"/>
        <v>54.475406973632239</v>
      </c>
      <c r="G65" s="11">
        <f t="shared" ca="1" si="5"/>
        <v>2.5317129559892546</v>
      </c>
      <c r="H65" s="11">
        <f t="shared" ca="1" si="0"/>
        <v>0.3178807618468702</v>
      </c>
      <c r="I65" s="11">
        <f t="shared" ca="1" si="1"/>
        <v>17.316683870696522</v>
      </c>
      <c r="J65" s="11">
        <f t="shared" ca="1" si="2"/>
        <v>-14.784970914707268</v>
      </c>
      <c r="K65" s="11">
        <f t="shared" ca="1" si="3"/>
        <v>2.6442689439355607</v>
      </c>
      <c r="L65" s="20">
        <f t="shared" ca="1" si="4"/>
        <v>-0.11255598794630606</v>
      </c>
    </row>
    <row r="66" spans="4:12" x14ac:dyDescent="0.25">
      <c r="D66" s="22">
        <f t="shared" ca="1" si="6"/>
        <v>2.3743783055206361E-2</v>
      </c>
      <c r="E66" s="11">
        <v>0.17777777777777778</v>
      </c>
      <c r="F66" s="11">
        <f t="shared" ca="1" si="7"/>
        <v>54.00695812549754</v>
      </c>
      <c r="G66" s="11">
        <f t="shared" ca="1" si="5"/>
        <v>2.3818269050387091</v>
      </c>
      <c r="H66" s="11">
        <f t="shared" ref="H66:H129" ca="1" si="8">BSGreeks(F66,$B$3,$B$6 - E66,D66, $B$5,$H$1)</f>
        <v>0.30739205902211147</v>
      </c>
      <c r="I66" s="11">
        <f t="shared" ref="I66:I129" ca="1" si="9">F66*H66</f>
        <v>16.601310059717644</v>
      </c>
      <c r="J66" s="11">
        <f t="shared" ref="J66:J129" ca="1" si="10">G66 - I66</f>
        <v>-14.219483154678935</v>
      </c>
      <c r="K66" s="11">
        <f t="shared" ref="K66:K129" ca="1" si="11">BSCall(F66,$B$3, $B$6 - E66,D66,$B$5)</f>
        <v>2.5052548361668032</v>
      </c>
      <c r="L66" s="20">
        <f t="shared" ref="L66:L129" ca="1" si="12">G66 - K66</f>
        <v>-0.12342793112809414</v>
      </c>
    </row>
    <row r="67" spans="4:12" x14ac:dyDescent="0.25">
      <c r="D67" s="22">
        <f t="shared" ca="1" si="6"/>
        <v>2.3962808815070839E-2</v>
      </c>
      <c r="E67" s="11">
        <v>0.18055555555555555</v>
      </c>
      <c r="F67" s="11">
        <f t="shared" ca="1" si="7"/>
        <v>54.527239064428926</v>
      </c>
      <c r="G67" s="11">
        <f t="shared" ref="G67:G130" ca="1" si="13" xml:space="preserve"> H66*F67 + J66* EXP(D67*(E67 - E66))</f>
        <v>2.540810606079857</v>
      </c>
      <c r="H67" s="11">
        <f t="shared" ca="1" si="8"/>
        <v>0.32022328776050268</v>
      </c>
      <c r="I67" s="11">
        <f t="shared" ca="1" si="9"/>
        <v>17.460891765714347</v>
      </c>
      <c r="J67" s="11">
        <f t="shared" ca="1" si="10"/>
        <v>-14.92008115963449</v>
      </c>
      <c r="K67" s="11">
        <f t="shared" ca="1" si="11"/>
        <v>2.6693587612768304</v>
      </c>
      <c r="L67" s="20">
        <f t="shared" ca="1" si="12"/>
        <v>-0.12854815519697338</v>
      </c>
    </row>
    <row r="68" spans="4:12" x14ac:dyDescent="0.25">
      <c r="D68" s="22">
        <f t="shared" ref="D68:D131" ca="1" si="14">D67*1.002 + $B$5*D67*SQRT(E68-E67)*_xlfn.NORM.S.INV(RAND())</f>
        <v>2.4015516134157953E-2</v>
      </c>
      <c r="E68" s="11">
        <v>0.18333333333333335</v>
      </c>
      <c r="F68" s="11">
        <f t="shared" ref="F68:F131" ca="1" si="15">F67 + D67*F67*(E68-E67) + $B$5*F67*SQRT(E68-E67)*_xlfn.NORM.S.INV(RAND())</f>
        <v>55.017945962354965</v>
      </c>
      <c r="G68" s="11">
        <f t="shared" ca="1" si="13"/>
        <v>2.6969510339227654</v>
      </c>
      <c r="H68" s="11">
        <f t="shared" ca="1" si="8"/>
        <v>0.3320373394490363</v>
      </c>
      <c r="I68" s="11">
        <f t="shared" ca="1" si="9"/>
        <v>18.268012399291191</v>
      </c>
      <c r="J68" s="11">
        <f t="shared" ca="1" si="10"/>
        <v>-15.571061365368426</v>
      </c>
      <c r="K68" s="11">
        <f t="shared" ca="1" si="11"/>
        <v>2.8257640598335318</v>
      </c>
      <c r="L68" s="20">
        <f t="shared" ca="1" si="12"/>
        <v>-0.12881302591076649</v>
      </c>
    </row>
    <row r="69" spans="4:12" x14ac:dyDescent="0.25">
      <c r="D69" s="22">
        <f t="shared" ca="1" si="14"/>
        <v>2.3663218714537484E-2</v>
      </c>
      <c r="E69" s="11">
        <v>0.18611111111111112</v>
      </c>
      <c r="F69" s="11">
        <f t="shared" ca="1" si="15"/>
        <v>55.063555171693693</v>
      </c>
      <c r="G69" s="11">
        <f t="shared" ca="1" si="13"/>
        <v>2.711071456832995</v>
      </c>
      <c r="H69" s="11">
        <f t="shared" ca="1" si="8"/>
        <v>0.3320074357136189</v>
      </c>
      <c r="I69" s="11">
        <f t="shared" ca="1" si="9"/>
        <v>18.2815097538294</v>
      </c>
      <c r="J69" s="11">
        <f t="shared" ca="1" si="10"/>
        <v>-15.570438296996405</v>
      </c>
      <c r="K69" s="11">
        <f t="shared" ca="1" si="11"/>
        <v>2.8258848250642914</v>
      </c>
      <c r="L69" s="20">
        <f t="shared" ca="1" si="12"/>
        <v>-0.1148133682312964</v>
      </c>
    </row>
    <row r="70" spans="4:12" x14ac:dyDescent="0.25">
      <c r="D70" s="22">
        <f t="shared" ca="1" si="14"/>
        <v>2.3874506663494107E-2</v>
      </c>
      <c r="E70" s="11">
        <v>0.18888888888888888</v>
      </c>
      <c r="F70" s="11">
        <f t="shared" ca="1" si="15"/>
        <v>54.868981891438061</v>
      </c>
      <c r="G70" s="11">
        <f t="shared" ca="1" si="13"/>
        <v>2.6454390452758982</v>
      </c>
      <c r="H70" s="11">
        <f t="shared" ca="1" si="8"/>
        <v>0.32747708977657158</v>
      </c>
      <c r="I70" s="11">
        <f t="shared" ca="1" si="9"/>
        <v>17.968334508811541</v>
      </c>
      <c r="J70" s="11">
        <f t="shared" ca="1" si="10"/>
        <v>-15.322895463535643</v>
      </c>
      <c r="K70" s="11">
        <f t="shared" ca="1" si="11"/>
        <v>2.7624787768354042</v>
      </c>
      <c r="L70" s="20">
        <f t="shared" ca="1" si="12"/>
        <v>-0.11703973155950598</v>
      </c>
    </row>
    <row r="71" spans="4:12" x14ac:dyDescent="0.25">
      <c r="D71" s="22">
        <f t="shared" ca="1" si="14"/>
        <v>2.4458717895376146E-2</v>
      </c>
      <c r="E71" s="11">
        <v>0.19166666666666668</v>
      </c>
      <c r="F71" s="11">
        <f t="shared" ca="1" si="15"/>
        <v>54.791719847474639</v>
      </c>
      <c r="G71" s="11">
        <f t="shared" ca="1" si="13"/>
        <v>2.6190964095542402</v>
      </c>
      <c r="H71" s="11">
        <f t="shared" ca="1" si="8"/>
        <v>0.32671657257437414</v>
      </c>
      <c r="I71" s="11">
        <f t="shared" ca="1" si="9"/>
        <v>17.901362914022222</v>
      </c>
      <c r="J71" s="11">
        <f t="shared" ca="1" si="10"/>
        <v>-15.282266504467982</v>
      </c>
      <c r="K71" s="11">
        <f t="shared" ca="1" si="11"/>
        <v>2.7481507557100158</v>
      </c>
      <c r="L71" s="20">
        <f t="shared" ca="1" si="12"/>
        <v>-0.1290543461557756</v>
      </c>
    </row>
    <row r="72" spans="4:12" x14ac:dyDescent="0.25">
      <c r="D72" s="22">
        <f t="shared" ca="1" si="14"/>
        <v>2.4662218191406182E-2</v>
      </c>
      <c r="E72" s="11">
        <v>0.19444444444444445</v>
      </c>
      <c r="F72" s="11">
        <f t="shared" ca="1" si="15"/>
        <v>54.121889390844146</v>
      </c>
      <c r="G72" s="11">
        <f t="shared" ca="1" si="13"/>
        <v>2.3992047332772</v>
      </c>
      <c r="H72" s="11">
        <f t="shared" ca="1" si="8"/>
        <v>0.31058045962480574</v>
      </c>
      <c r="I72" s="11">
        <f t="shared" ca="1" si="9"/>
        <v>16.809201282771273</v>
      </c>
      <c r="J72" s="11">
        <f t="shared" ca="1" si="10"/>
        <v>-14.409996549494073</v>
      </c>
      <c r="K72" s="11">
        <f t="shared" ca="1" si="11"/>
        <v>2.5351062125516641</v>
      </c>
      <c r="L72" s="20">
        <f t="shared" ca="1" si="12"/>
        <v>-0.13590147927446417</v>
      </c>
    </row>
    <row r="73" spans="4:12" x14ac:dyDescent="0.25">
      <c r="D73" s="22">
        <f t="shared" ca="1" si="14"/>
        <v>2.432729230993011E-2</v>
      </c>
      <c r="E73" s="11">
        <v>0.19722222222222224</v>
      </c>
      <c r="F73" s="11">
        <f t="shared" ca="1" si="15"/>
        <v>54.358199345403925</v>
      </c>
      <c r="G73" s="11">
        <f t="shared" ca="1" si="13"/>
        <v>2.4716241874586498</v>
      </c>
      <c r="H73" s="11">
        <f t="shared" ca="1" si="8"/>
        <v>0.31523243864771211</v>
      </c>
      <c r="I73" s="11">
        <f t="shared" ca="1" si="9"/>
        <v>17.135467740150148</v>
      </c>
      <c r="J73" s="11">
        <f t="shared" ca="1" si="10"/>
        <v>-14.663843552691498</v>
      </c>
      <c r="K73" s="11">
        <f t="shared" ca="1" si="11"/>
        <v>2.5953897522301861</v>
      </c>
      <c r="L73" s="20">
        <f t="shared" ca="1" si="12"/>
        <v>-0.12376556477153633</v>
      </c>
    </row>
    <row r="74" spans="4:12" x14ac:dyDescent="0.25">
      <c r="D74" s="22">
        <f t="shared" ca="1" si="14"/>
        <v>2.4429846387503167E-2</v>
      </c>
      <c r="E74" s="11">
        <v>0.2</v>
      </c>
      <c r="F74" s="11">
        <f t="shared" ca="1" si="15"/>
        <v>55.008182946096575</v>
      </c>
      <c r="G74" s="11">
        <f t="shared" ca="1" si="13"/>
        <v>2.6755249707616535</v>
      </c>
      <c r="H74" s="11">
        <f t="shared" ca="1" si="8"/>
        <v>0.33108603162870015</v>
      </c>
      <c r="I74" s="11">
        <f t="shared" ca="1" si="9"/>
        <v>18.212440998728656</v>
      </c>
      <c r="J74" s="11">
        <f t="shared" ca="1" si="10"/>
        <v>-15.536916027967003</v>
      </c>
      <c r="K74" s="11">
        <f t="shared" ca="1" si="11"/>
        <v>2.8031181561594325</v>
      </c>
      <c r="L74" s="20">
        <f t="shared" ca="1" si="12"/>
        <v>-0.12759318539777897</v>
      </c>
    </row>
    <row r="75" spans="4:12" x14ac:dyDescent="0.25">
      <c r="D75" s="22">
        <f t="shared" ca="1" si="14"/>
        <v>2.4935392499223615E-2</v>
      </c>
      <c r="E75" s="11">
        <v>0.20277777777777778</v>
      </c>
      <c r="F75" s="11">
        <f t="shared" ca="1" si="15"/>
        <v>55.777160410309307</v>
      </c>
      <c r="G75" s="11">
        <f t="shared" ca="1" si="13"/>
        <v>2.929046466363685</v>
      </c>
      <c r="H75" s="11">
        <f t="shared" ca="1" si="8"/>
        <v>0.3510273359978614</v>
      </c>
      <c r="I75" s="11">
        <f t="shared" ca="1" si="9"/>
        <v>19.579308028356259</v>
      </c>
      <c r="J75" s="11">
        <f t="shared" ca="1" si="10"/>
        <v>-16.650261561992572</v>
      </c>
      <c r="K75" s="11">
        <f t="shared" ca="1" si="11"/>
        <v>3.0745746714870723</v>
      </c>
      <c r="L75" s="20">
        <f t="shared" ca="1" si="12"/>
        <v>-0.14552820512338727</v>
      </c>
    </row>
    <row r="76" spans="4:12" x14ac:dyDescent="0.25">
      <c r="D76" s="22">
        <f t="shared" ca="1" si="14"/>
        <v>2.5304942728246255E-2</v>
      </c>
      <c r="E76" s="11">
        <v>0.20555555555555557</v>
      </c>
      <c r="F76" s="11">
        <f t="shared" ca="1" si="15"/>
        <v>56.540833366103548</v>
      </c>
      <c r="G76" s="11">
        <f t="shared" ca="1" si="13"/>
        <v>3.1959461364884163</v>
      </c>
      <c r="H76" s="11">
        <f t="shared" ca="1" si="8"/>
        <v>0.37067066801343002</v>
      </c>
      <c r="I76" s="11">
        <f t="shared" ca="1" si="9"/>
        <v>20.958028473849634</v>
      </c>
      <c r="J76" s="11">
        <f t="shared" ca="1" si="10"/>
        <v>-17.762082337361218</v>
      </c>
      <c r="K76" s="11">
        <f t="shared" ca="1" si="11"/>
        <v>3.355904767875983</v>
      </c>
      <c r="L76" s="20">
        <f t="shared" ca="1" si="12"/>
        <v>-0.15995863138756672</v>
      </c>
    </row>
    <row r="77" spans="4:12" x14ac:dyDescent="0.25">
      <c r="D77" s="22">
        <f t="shared" ca="1" si="14"/>
        <v>2.5774535714376007E-2</v>
      </c>
      <c r="E77" s="11">
        <v>0.20833333333333334</v>
      </c>
      <c r="F77" s="11">
        <f t="shared" ca="1" si="15"/>
        <v>56.979800753693517</v>
      </c>
      <c r="G77" s="11">
        <f t="shared" ca="1" si="13"/>
        <v>3.3573867329086049</v>
      </c>
      <c r="H77" s="11">
        <f t="shared" ca="1" si="8"/>
        <v>0.38255710995983727</v>
      </c>
      <c r="I77" s="11">
        <f t="shared" ca="1" si="9"/>
        <v>21.798027902420351</v>
      </c>
      <c r="J77" s="11">
        <f t="shared" ca="1" si="10"/>
        <v>-18.440641169511746</v>
      </c>
      <c r="K77" s="11">
        <f t="shared" ca="1" si="11"/>
        <v>3.5305817686839842</v>
      </c>
      <c r="L77" s="20">
        <f t="shared" ca="1" si="12"/>
        <v>-0.17319503577537931</v>
      </c>
    </row>
    <row r="78" spans="4:12" x14ac:dyDescent="0.25">
      <c r="D78" s="22">
        <f t="shared" ca="1" si="14"/>
        <v>2.5449309148770718E-2</v>
      </c>
      <c r="E78" s="11">
        <v>0.21111111111111111</v>
      </c>
      <c r="F78" s="11">
        <f t="shared" ca="1" si="15"/>
        <v>56.331990880763172</v>
      </c>
      <c r="G78" s="11">
        <f t="shared" ca="1" si="13"/>
        <v>3.1082587985433889</v>
      </c>
      <c r="H78" s="11">
        <f t="shared" ca="1" si="8"/>
        <v>0.36527315647562159</v>
      </c>
      <c r="I78" s="11">
        <f t="shared" ca="1" si="9"/>
        <v>20.576564119572293</v>
      </c>
      <c r="J78" s="11">
        <f t="shared" ca="1" si="10"/>
        <v>-17.468305321028904</v>
      </c>
      <c r="K78" s="11">
        <f t="shared" ca="1" si="11"/>
        <v>3.2722820117881488</v>
      </c>
      <c r="L78" s="20">
        <f t="shared" ca="1" si="12"/>
        <v>-0.16402321324475988</v>
      </c>
    </row>
    <row r="79" spans="4:12" x14ac:dyDescent="0.25">
      <c r="D79" s="22">
        <f t="shared" ca="1" si="14"/>
        <v>2.5751458658150685E-2</v>
      </c>
      <c r="E79" s="11">
        <v>0.21388888888888891</v>
      </c>
      <c r="F79" s="11">
        <f t="shared" ca="1" si="15"/>
        <v>56.487948298477875</v>
      </c>
      <c r="G79" s="11">
        <f t="shared" ca="1" si="13"/>
        <v>3.1639762722560967</v>
      </c>
      <c r="H79" s="11">
        <f t="shared" ca="1" si="8"/>
        <v>0.36965153081777713</v>
      </c>
      <c r="I79" s="11">
        <f t="shared" ca="1" si="9"/>
        <v>20.880856561287796</v>
      </c>
      <c r="J79" s="11">
        <f t="shared" ca="1" si="10"/>
        <v>-17.7168802890317</v>
      </c>
      <c r="K79" s="11">
        <f t="shared" ca="1" si="11"/>
        <v>3.3333475196817108</v>
      </c>
      <c r="L79" s="20">
        <f t="shared" ca="1" si="12"/>
        <v>-0.16937124742561416</v>
      </c>
    </row>
    <row r="80" spans="4:12" x14ac:dyDescent="0.25">
      <c r="D80" s="22">
        <f t="shared" ca="1" si="14"/>
        <v>2.5995971156105153E-2</v>
      </c>
      <c r="E80" s="11">
        <v>0.21666666666666667</v>
      </c>
      <c r="F80" s="11">
        <f t="shared" ca="1" si="15"/>
        <v>55.781772613340493</v>
      </c>
      <c r="G80" s="11">
        <f t="shared" ca="1" si="13"/>
        <v>2.9016579488343339</v>
      </c>
      <c r="H80" s="11">
        <f t="shared" ca="1" si="8"/>
        <v>0.35235109094498207</v>
      </c>
      <c r="I80" s="11">
        <f t="shared" ca="1" si="9"/>
        <v>19.654768435155447</v>
      </c>
      <c r="J80" s="11">
        <f t="shared" ca="1" si="10"/>
        <v>-16.753110486321113</v>
      </c>
      <c r="K80" s="11">
        <f t="shared" ca="1" si="11"/>
        <v>3.0802672936934634</v>
      </c>
      <c r="L80" s="20">
        <f t="shared" ca="1" si="12"/>
        <v>-0.17860934485912949</v>
      </c>
    </row>
    <row r="81" spans="4:12" x14ac:dyDescent="0.25">
      <c r="D81" s="22">
        <f t="shared" ca="1" si="14"/>
        <v>2.6146112525508636E-2</v>
      </c>
      <c r="E81" s="11">
        <v>0.21944444444444444</v>
      </c>
      <c r="F81" s="11">
        <f t="shared" ca="1" si="15"/>
        <v>55.728425045799042</v>
      </c>
      <c r="G81" s="11">
        <f t="shared" ca="1" si="13"/>
        <v>2.8816440846037672</v>
      </c>
      <c r="H81" s="11">
        <f t="shared" ca="1" si="8"/>
        <v>0.35110514286838562</v>
      </c>
      <c r="I81" s="11">
        <f t="shared" ca="1" si="9"/>
        <v>19.566536637535393</v>
      </c>
      <c r="J81" s="11">
        <f t="shared" ca="1" si="10"/>
        <v>-16.684892552931625</v>
      </c>
      <c r="K81" s="11">
        <f t="shared" ca="1" si="11"/>
        <v>3.0604257898797806</v>
      </c>
      <c r="L81" s="20">
        <f t="shared" ca="1" si="12"/>
        <v>-0.17878170527601345</v>
      </c>
    </row>
    <row r="82" spans="4:12" x14ac:dyDescent="0.25">
      <c r="D82" s="22">
        <f t="shared" ca="1" si="14"/>
        <v>2.6309702984310276E-2</v>
      </c>
      <c r="E82" s="11">
        <v>0.22222222222222224</v>
      </c>
      <c r="F82" s="11">
        <f t="shared" ca="1" si="15"/>
        <v>54.344280444619223</v>
      </c>
      <c r="G82" s="11">
        <f t="shared" ca="1" si="13"/>
        <v>2.3944443782991733</v>
      </c>
      <c r="H82" s="11">
        <f t="shared" ca="1" si="8"/>
        <v>0.31691490287645685</v>
      </c>
      <c r="I82" s="11">
        <f t="shared" ca="1" si="9"/>
        <v>17.222512358997434</v>
      </c>
      <c r="J82" s="11">
        <f t="shared" ca="1" si="10"/>
        <v>-14.828067980698261</v>
      </c>
      <c r="K82" s="11">
        <f t="shared" ca="1" si="11"/>
        <v>2.597386841737896</v>
      </c>
      <c r="L82" s="20">
        <f t="shared" ca="1" si="12"/>
        <v>-0.20294246343872269</v>
      </c>
    </row>
    <row r="83" spans="4:12" x14ac:dyDescent="0.25">
      <c r="D83" s="22">
        <f t="shared" ca="1" si="14"/>
        <v>2.675678678855916E-2</v>
      </c>
      <c r="E83" s="11">
        <v>0.22500000000000001</v>
      </c>
      <c r="F83" s="11">
        <f t="shared" ca="1" si="15"/>
        <v>53.683630495081161</v>
      </c>
      <c r="G83" s="11">
        <f t="shared" ca="1" si="13"/>
        <v>2.183972435378287</v>
      </c>
      <c r="H83" s="11">
        <f t="shared" ca="1" si="8"/>
        <v>0.30148874786147833</v>
      </c>
      <c r="I83" s="11">
        <f t="shared" ca="1" si="9"/>
        <v>16.185010538620293</v>
      </c>
      <c r="J83" s="11">
        <f t="shared" ca="1" si="10"/>
        <v>-14.001038103242006</v>
      </c>
      <c r="K83" s="11">
        <f t="shared" ca="1" si="11"/>
        <v>2.399386062103726</v>
      </c>
      <c r="L83" s="20">
        <f t="shared" ca="1" si="12"/>
        <v>-0.21541362672543896</v>
      </c>
    </row>
    <row r="84" spans="4:12" x14ac:dyDescent="0.25">
      <c r="D84" s="22">
        <f t="shared" ca="1" si="14"/>
        <v>2.7575500209841522E-2</v>
      </c>
      <c r="E84" s="11">
        <v>0.22777777777777777</v>
      </c>
      <c r="F84" s="11">
        <f t="shared" ca="1" si="15"/>
        <v>54.79516351768271</v>
      </c>
      <c r="G84" s="11">
        <f t="shared" ca="1" si="13"/>
        <v>2.5180146334126032</v>
      </c>
      <c r="H84" s="11">
        <f t="shared" ca="1" si="8"/>
        <v>0.33047675925489811</v>
      </c>
      <c r="I84" s="11">
        <f t="shared" ca="1" si="9"/>
        <v>18.108528062166005</v>
      </c>
      <c r="J84" s="11">
        <f t="shared" ca="1" si="10"/>
        <v>-15.590513428753402</v>
      </c>
      <c r="K84" s="11">
        <f t="shared" ca="1" si="11"/>
        <v>2.7665725308904889</v>
      </c>
      <c r="L84" s="20">
        <f t="shared" ca="1" si="12"/>
        <v>-0.2485578974778857</v>
      </c>
    </row>
    <row r="85" spans="4:12" x14ac:dyDescent="0.25">
      <c r="D85" s="22">
        <f t="shared" ca="1" si="14"/>
        <v>2.6944152588731115E-2</v>
      </c>
      <c r="E85" s="11">
        <v>0.23055555555555557</v>
      </c>
      <c r="F85" s="11">
        <f t="shared" ca="1" si="15"/>
        <v>54.069805164374586</v>
      </c>
      <c r="G85" s="11">
        <f t="shared" ca="1" si="13"/>
        <v>2.2771336419203259</v>
      </c>
      <c r="H85" s="11">
        <f t="shared" ca="1" si="8"/>
        <v>0.31074942024049135</v>
      </c>
      <c r="I85" s="11">
        <f t="shared" ca="1" si="9"/>
        <v>16.802160607345726</v>
      </c>
      <c r="J85" s="11">
        <f t="shared" ca="1" si="10"/>
        <v>-14.525026965425401</v>
      </c>
      <c r="K85" s="11">
        <f t="shared" ca="1" si="11"/>
        <v>2.5122777666543152</v>
      </c>
      <c r="L85" s="20">
        <f t="shared" ca="1" si="12"/>
        <v>-0.23514412473398938</v>
      </c>
    </row>
    <row r="86" spans="4:12" x14ac:dyDescent="0.25">
      <c r="D86" s="22">
        <f t="shared" ca="1" si="14"/>
        <v>2.700303550873424E-2</v>
      </c>
      <c r="E86" s="11">
        <v>0.23333333333333334</v>
      </c>
      <c r="F86" s="11">
        <f t="shared" ca="1" si="15"/>
        <v>54.611556457494132</v>
      </c>
      <c r="G86" s="11">
        <f t="shared" ca="1" si="13"/>
        <v>2.4443930018129372</v>
      </c>
      <c r="H86" s="11">
        <f t="shared" ca="1" si="8"/>
        <v>0.32393939804701927</v>
      </c>
      <c r="I86" s="11">
        <f t="shared" ca="1" si="9"/>
        <v>17.690834725251456</v>
      </c>
      <c r="J86" s="11">
        <f t="shared" ca="1" si="10"/>
        <v>-15.246441723438519</v>
      </c>
      <c r="K86" s="11">
        <f t="shared" ca="1" si="11"/>
        <v>2.6805764064632478</v>
      </c>
      <c r="L86" s="20">
        <f t="shared" ca="1" si="12"/>
        <v>-0.23618340465031062</v>
      </c>
    </row>
    <row r="87" spans="4:12" x14ac:dyDescent="0.25">
      <c r="D87" s="22">
        <f t="shared" ca="1" si="14"/>
        <v>2.7063851211540542E-2</v>
      </c>
      <c r="E87" s="11">
        <v>0.23611111111111113</v>
      </c>
      <c r="F87" s="11">
        <f t="shared" ca="1" si="15"/>
        <v>54.620384978290019</v>
      </c>
      <c r="G87" s="11">
        <f t="shared" ca="1" si="13"/>
        <v>2.4461066771340416</v>
      </c>
      <c r="H87" s="11">
        <f t="shared" ca="1" si="8"/>
        <v>0.32399741170912788</v>
      </c>
      <c r="I87" s="11">
        <f t="shared" ca="1" si="9"/>
        <v>17.696863359522094</v>
      </c>
      <c r="J87" s="11">
        <f t="shared" ca="1" si="10"/>
        <v>-15.250756682388053</v>
      </c>
      <c r="K87" s="11">
        <f t="shared" ca="1" si="11"/>
        <v>2.6798166265795618</v>
      </c>
      <c r="L87" s="20">
        <f t="shared" ca="1" si="12"/>
        <v>-0.23370994944552015</v>
      </c>
    </row>
    <row r="88" spans="4:12" x14ac:dyDescent="0.25">
      <c r="D88" s="22">
        <f t="shared" ca="1" si="14"/>
        <v>2.6454647697257177E-2</v>
      </c>
      <c r="E88" s="11">
        <v>0.2388888888888889</v>
      </c>
      <c r="F88" s="11">
        <f t="shared" ca="1" si="15"/>
        <v>54.095951631374646</v>
      </c>
      <c r="G88" s="11">
        <f t="shared" ca="1" si="13"/>
        <v>2.2750708850655492</v>
      </c>
      <c r="H88" s="11">
        <f t="shared" ca="1" si="8"/>
        <v>0.30931447340316715</v>
      </c>
      <c r="I88" s="11">
        <f t="shared" ca="1" si="9"/>
        <v>16.73266079210185</v>
      </c>
      <c r="J88" s="11">
        <f t="shared" ca="1" si="10"/>
        <v>-14.457589907036301</v>
      </c>
      <c r="K88" s="11">
        <f t="shared" ca="1" si="11"/>
        <v>2.492915994986566</v>
      </c>
      <c r="L88" s="20">
        <f t="shared" ca="1" si="12"/>
        <v>-0.2178451099210168</v>
      </c>
    </row>
    <row r="89" spans="4:12" x14ac:dyDescent="0.25">
      <c r="D89" s="22">
        <f t="shared" ca="1" si="14"/>
        <v>2.6255254769644343E-2</v>
      </c>
      <c r="E89" s="11">
        <v>0.24166666666666667</v>
      </c>
      <c r="F89" s="11">
        <f t="shared" ca="1" si="15"/>
        <v>53.034937202506129</v>
      </c>
      <c r="G89" s="11">
        <f t="shared" ca="1" si="13"/>
        <v>1.9458293169807916</v>
      </c>
      <c r="H89" s="11">
        <f t="shared" ca="1" si="8"/>
        <v>0.28275137680906104</v>
      </c>
      <c r="I89" s="11">
        <f t="shared" ca="1" si="9"/>
        <v>14.995701512990699</v>
      </c>
      <c r="J89" s="11">
        <f t="shared" ca="1" si="10"/>
        <v>-13.049872196009908</v>
      </c>
      <c r="K89" s="11">
        <f t="shared" ca="1" si="11"/>
        <v>2.1692561811366651</v>
      </c>
      <c r="L89" s="20">
        <f t="shared" ca="1" si="12"/>
        <v>-0.22342686415587343</v>
      </c>
    </row>
    <row r="90" spans="4:12" x14ac:dyDescent="0.25">
      <c r="D90" s="22">
        <f t="shared" ca="1" si="14"/>
        <v>2.596875174015062E-2</v>
      </c>
      <c r="E90" s="11">
        <v>0.24444444444444446</v>
      </c>
      <c r="F90" s="11">
        <f t="shared" ca="1" si="15"/>
        <v>52.356757400408249</v>
      </c>
      <c r="G90" s="11">
        <f t="shared" ca="1" si="13"/>
        <v>1.7531316522286904</v>
      </c>
      <c r="H90" s="11">
        <f t="shared" ca="1" si="8"/>
        <v>0.26562753083273011</v>
      </c>
      <c r="I90" s="11">
        <f t="shared" ca="1" si="9"/>
        <v>13.907396190678712</v>
      </c>
      <c r="J90" s="11">
        <f t="shared" ca="1" si="10"/>
        <v>-12.154264538450022</v>
      </c>
      <c r="K90" s="11">
        <f t="shared" ca="1" si="11"/>
        <v>1.9725152094722824</v>
      </c>
      <c r="L90" s="20">
        <f t="shared" ca="1" si="12"/>
        <v>-0.21938355724359204</v>
      </c>
    </row>
    <row r="91" spans="4:12" x14ac:dyDescent="0.25">
      <c r="D91" s="22">
        <f t="shared" ca="1" si="14"/>
        <v>2.6047531309810825E-2</v>
      </c>
      <c r="E91" s="13">
        <v>0.24722222222222223</v>
      </c>
      <c r="F91" s="11">
        <f t="shared" ca="1" si="15"/>
        <v>53.034225671925924</v>
      </c>
      <c r="G91" s="13">
        <f t="shared" ca="1" si="13"/>
        <v>1.9322064318548513</v>
      </c>
      <c r="H91" s="13">
        <f t="shared" ca="1" si="8"/>
        <v>0.28163421288517643</v>
      </c>
      <c r="I91" s="13">
        <f t="shared" ca="1" si="9"/>
        <v>14.936252403087675</v>
      </c>
      <c r="J91" s="13">
        <f t="shared" ca="1" si="10"/>
        <v>-13.004045971232824</v>
      </c>
      <c r="K91" s="13">
        <f t="shared" ca="1" si="11"/>
        <v>2.1550121872846004</v>
      </c>
      <c r="L91" s="21">
        <f t="shared" ca="1" si="12"/>
        <v>-0.22280575542974912</v>
      </c>
    </row>
    <row r="92" spans="4:12" x14ac:dyDescent="0.25">
      <c r="D92" s="22">
        <f t="shared" ca="1" si="14"/>
        <v>2.630272124839626E-2</v>
      </c>
      <c r="E92" s="11">
        <v>0.25</v>
      </c>
      <c r="F92" s="11">
        <f t="shared" ca="1" si="15"/>
        <v>53.776680980772859</v>
      </c>
      <c r="G92" s="11">
        <f t="shared" ca="1" si="13"/>
        <v>2.1403570975535242</v>
      </c>
      <c r="H92" s="11">
        <f t="shared" ca="1" si="8"/>
        <v>0.29989541650643797</v>
      </c>
      <c r="I92" s="11">
        <f t="shared" ca="1" si="9"/>
        <v>16.127380141062719</v>
      </c>
      <c r="J92" s="11">
        <f t="shared" ca="1" si="10"/>
        <v>-13.987023043509195</v>
      </c>
      <c r="K92" s="11">
        <f t="shared" ca="1" si="11"/>
        <v>2.3719956386202758</v>
      </c>
      <c r="L92" s="20">
        <f t="shared" ca="1" si="12"/>
        <v>-0.23163854106675164</v>
      </c>
    </row>
    <row r="93" spans="4:12" x14ac:dyDescent="0.25">
      <c r="D93" s="22">
        <f t="shared" ca="1" si="14"/>
        <v>2.6541684166425165E-2</v>
      </c>
      <c r="E93" s="11">
        <v>0.25277777777777777</v>
      </c>
      <c r="F93" s="11">
        <f t="shared" ca="1" si="15"/>
        <v>53.386504144428024</v>
      </c>
      <c r="G93" s="11">
        <f t="shared" ca="1" si="13"/>
        <v>2.022313594835774</v>
      </c>
      <c r="H93" s="11">
        <f t="shared" ca="1" si="8"/>
        <v>0.29062132691405063</v>
      </c>
      <c r="I93" s="11">
        <f t="shared" ca="1" si="9"/>
        <v>15.515256673756136</v>
      </c>
      <c r="J93" s="11">
        <f t="shared" ca="1" si="10"/>
        <v>-13.492943078920362</v>
      </c>
      <c r="K93" s="11">
        <f t="shared" ca="1" si="11"/>
        <v>2.2575615388074146</v>
      </c>
      <c r="L93" s="20">
        <f t="shared" ca="1" si="12"/>
        <v>-0.23524794397164062</v>
      </c>
    </row>
    <row r="94" spans="4:12" x14ac:dyDescent="0.25">
      <c r="D94" s="22">
        <f t="shared" ca="1" si="14"/>
        <v>2.6800617707479372E-2</v>
      </c>
      <c r="E94" s="11">
        <v>0.25555555555555559</v>
      </c>
      <c r="F94" s="11">
        <f t="shared" ca="1" si="15"/>
        <v>52.729471532811623</v>
      </c>
      <c r="G94" s="11">
        <f t="shared" ca="1" si="13"/>
        <v>1.8303613702272266</v>
      </c>
      <c r="H94" s="11">
        <f t="shared" ca="1" si="8"/>
        <v>0.27503059227758209</v>
      </c>
      <c r="I94" s="11">
        <f t="shared" ca="1" si="9"/>
        <v>14.502217786153084</v>
      </c>
      <c r="J94" s="11">
        <f t="shared" ca="1" si="10"/>
        <v>-12.671856415925857</v>
      </c>
      <c r="K94" s="11">
        <f t="shared" ca="1" si="11"/>
        <v>2.0728272272839519</v>
      </c>
      <c r="L94" s="20">
        <f t="shared" ca="1" si="12"/>
        <v>-0.2424658570567253</v>
      </c>
    </row>
    <row r="95" spans="4:12" x14ac:dyDescent="0.25">
      <c r="D95" s="22">
        <f t="shared" ca="1" si="14"/>
        <v>2.722620511450961E-2</v>
      </c>
      <c r="E95" s="11">
        <v>0.25833333333333336</v>
      </c>
      <c r="F95" s="11">
        <f t="shared" ca="1" si="15"/>
        <v>52.888149456475773</v>
      </c>
      <c r="G95" s="11">
        <f t="shared" ca="1" si="13"/>
        <v>1.8730442657527639</v>
      </c>
      <c r="H95" s="11">
        <f t="shared" ca="1" si="8"/>
        <v>0.27946046808373659</v>
      </c>
      <c r="I95" s="11">
        <f t="shared" ca="1" si="9"/>
        <v>14.780147003189338</v>
      </c>
      <c r="J95" s="11">
        <f t="shared" ca="1" si="10"/>
        <v>-12.907102737436574</v>
      </c>
      <c r="K95" s="11">
        <f t="shared" ca="1" si="11"/>
        <v>2.1214614488395105</v>
      </c>
      <c r="L95" s="20">
        <f t="shared" ca="1" si="12"/>
        <v>-0.24841718308674654</v>
      </c>
    </row>
    <row r="96" spans="4:12" x14ac:dyDescent="0.25">
      <c r="D96" s="22">
        <f t="shared" ca="1" si="14"/>
        <v>2.776608767010607E-2</v>
      </c>
      <c r="E96" s="11">
        <v>0.26111111111111113</v>
      </c>
      <c r="F96" s="11">
        <f t="shared" ca="1" si="15"/>
        <v>52.439203068634967</v>
      </c>
      <c r="G96" s="11">
        <f t="shared" ca="1" si="13"/>
        <v>1.7465859603759082</v>
      </c>
      <c r="H96" s="11">
        <f t="shared" ca="1" si="8"/>
        <v>0.269550488091715</v>
      </c>
      <c r="I96" s="11">
        <f t="shared" ca="1" si="9"/>
        <v>14.135012782291115</v>
      </c>
      <c r="J96" s="11">
        <f t="shared" ca="1" si="10"/>
        <v>-12.388426821915207</v>
      </c>
      <c r="K96" s="11">
        <f t="shared" ca="1" si="11"/>
        <v>2.0052267418590275</v>
      </c>
      <c r="L96" s="20">
        <f t="shared" ca="1" si="12"/>
        <v>-0.25864078148311931</v>
      </c>
    </row>
    <row r="97" spans="4:12" x14ac:dyDescent="0.25">
      <c r="D97" s="22">
        <f t="shared" ca="1" si="14"/>
        <v>2.7993023358359851E-2</v>
      </c>
      <c r="E97" s="11">
        <v>0.2638888888888889</v>
      </c>
      <c r="F97" s="11">
        <f t="shared" ca="1" si="15"/>
        <v>53.260906629720182</v>
      </c>
      <c r="G97" s="11">
        <f t="shared" ca="1" si="13"/>
        <v>1.9671132146535513</v>
      </c>
      <c r="H97" s="11">
        <f t="shared" ca="1" si="8"/>
        <v>0.28955965960888019</v>
      </c>
      <c r="I97" s="11">
        <f t="shared" ca="1" si="9"/>
        <v>15.422209994162126</v>
      </c>
      <c r="J97" s="11">
        <f t="shared" ca="1" si="10"/>
        <v>-13.455096779508574</v>
      </c>
      <c r="K97" s="11">
        <f t="shared" ca="1" si="11"/>
        <v>2.2351737443984949</v>
      </c>
      <c r="L97" s="20">
        <f t="shared" ca="1" si="12"/>
        <v>-0.26806052974494365</v>
      </c>
    </row>
    <row r="98" spans="4:12" x14ac:dyDescent="0.25">
      <c r="D98" s="22">
        <f t="shared" ca="1" si="14"/>
        <v>2.8029570856160448E-2</v>
      </c>
      <c r="E98" s="11">
        <v>0.26666666666666666</v>
      </c>
      <c r="F98" s="11">
        <f t="shared" ca="1" si="15"/>
        <v>51.757002268542266</v>
      </c>
      <c r="G98" s="11">
        <f t="shared" ca="1" si="13"/>
        <v>1.5305955262159898</v>
      </c>
      <c r="H98" s="11">
        <f t="shared" ca="1" si="8"/>
        <v>0.25329374142944561</v>
      </c>
      <c r="I98" s="11">
        <f t="shared" ca="1" si="9"/>
        <v>13.109724749771374</v>
      </c>
      <c r="J98" s="11">
        <f t="shared" ca="1" si="10"/>
        <v>-11.579129223555384</v>
      </c>
      <c r="K98" s="11">
        <f t="shared" ca="1" si="11"/>
        <v>1.8232949953664437</v>
      </c>
      <c r="L98" s="20">
        <f t="shared" ca="1" si="12"/>
        <v>-0.29269946915045386</v>
      </c>
    </row>
    <row r="99" spans="4:12" x14ac:dyDescent="0.25">
      <c r="D99" s="22">
        <f t="shared" ca="1" si="14"/>
        <v>2.802065490871234E-2</v>
      </c>
      <c r="E99" s="11">
        <v>0.26944444444444443</v>
      </c>
      <c r="F99" s="11">
        <f t="shared" ca="1" si="15"/>
        <v>52.599872054160102</v>
      </c>
      <c r="G99" s="11">
        <f t="shared" ca="1" si="13"/>
        <v>1.7431878693878602</v>
      </c>
      <c r="H99" s="11">
        <f t="shared" ca="1" si="8"/>
        <v>0.27296804340405478</v>
      </c>
      <c r="I99" s="11">
        <f t="shared" ca="1" si="9"/>
        <v>14.358084157927703</v>
      </c>
      <c r="J99" s="11">
        <f t="shared" ca="1" si="10"/>
        <v>-12.614896288539843</v>
      </c>
      <c r="K99" s="11">
        <f t="shared" ca="1" si="11"/>
        <v>2.0403533041672728</v>
      </c>
      <c r="L99" s="20">
        <f t="shared" ca="1" si="12"/>
        <v>-0.2971654347794126</v>
      </c>
    </row>
    <row r="100" spans="4:12" x14ac:dyDescent="0.25">
      <c r="D100" s="22">
        <f t="shared" ca="1" si="14"/>
        <v>2.799321758119426E-2</v>
      </c>
      <c r="E100" s="11">
        <v>0.27222222222222225</v>
      </c>
      <c r="F100" s="11">
        <f t="shared" ca="1" si="15"/>
        <v>52.46920813284796</v>
      </c>
      <c r="G100" s="11">
        <f t="shared" ca="1" si="13"/>
        <v>1.7065398353701955</v>
      </c>
      <c r="H100" s="11">
        <f t="shared" ca="1" si="8"/>
        <v>0.269444168024213</v>
      </c>
      <c r="I100" s="11">
        <f t="shared" ca="1" si="9"/>
        <v>14.13752213224449</v>
      </c>
      <c r="J100" s="11">
        <f t="shared" ca="1" si="10"/>
        <v>-12.430982296874294</v>
      </c>
      <c r="K100" s="11">
        <f t="shared" ca="1" si="11"/>
        <v>1.9997076579596673</v>
      </c>
      <c r="L100" s="20">
        <f t="shared" ca="1" si="12"/>
        <v>-0.29316782258947183</v>
      </c>
    </row>
    <row r="101" spans="4:12" x14ac:dyDescent="0.25">
      <c r="D101" s="22">
        <f t="shared" ca="1" si="14"/>
        <v>2.8443327470277242E-2</v>
      </c>
      <c r="E101" s="11">
        <v>0.27500000000000002</v>
      </c>
      <c r="F101" s="11">
        <f t="shared" ca="1" si="15"/>
        <v>52.899784268371427</v>
      </c>
      <c r="G101" s="11">
        <f t="shared" ca="1" si="13"/>
        <v>1.821573862675729</v>
      </c>
      <c r="H101" s="11">
        <f t="shared" ca="1" si="8"/>
        <v>0.28047604415455568</v>
      </c>
      <c r="I101" s="11">
        <f t="shared" ca="1" si="9"/>
        <v>14.837122228222213</v>
      </c>
      <c r="J101" s="11">
        <f t="shared" ca="1" si="10"/>
        <v>-13.015548365546485</v>
      </c>
      <c r="K101" s="11">
        <f t="shared" ca="1" si="11"/>
        <v>2.1230585336312173</v>
      </c>
      <c r="L101" s="20">
        <f t="shared" ca="1" si="12"/>
        <v>-0.30148467095548837</v>
      </c>
    </row>
    <row r="102" spans="4:12" x14ac:dyDescent="0.25">
      <c r="D102" s="22">
        <f t="shared" ca="1" si="14"/>
        <v>2.8703240106261546E-2</v>
      </c>
      <c r="E102" s="11">
        <v>0.27777777777777779</v>
      </c>
      <c r="F102" s="11">
        <f t="shared" ca="1" si="15"/>
        <v>52.456978390607816</v>
      </c>
      <c r="G102" s="11">
        <f t="shared" ca="1" si="13"/>
        <v>1.696339634797825</v>
      </c>
      <c r="H102" s="11">
        <f t="shared" ca="1" si="8"/>
        <v>0.27002733917563404</v>
      </c>
      <c r="I102" s="11">
        <f t="shared" ca="1" si="9"/>
        <v>14.164818296009562</v>
      </c>
      <c r="J102" s="11">
        <f t="shared" ca="1" si="10"/>
        <v>-12.468478661211737</v>
      </c>
      <c r="K102" s="11">
        <f t="shared" ca="1" si="11"/>
        <v>2.0020429204240626</v>
      </c>
      <c r="L102" s="20">
        <f t="shared" ca="1" si="12"/>
        <v>-0.30570328562623761</v>
      </c>
    </row>
    <row r="103" spans="4:12" x14ac:dyDescent="0.25">
      <c r="D103" s="22">
        <f t="shared" ca="1" si="14"/>
        <v>2.905069193282132E-2</v>
      </c>
      <c r="E103" s="11">
        <v>0.28055555555555556</v>
      </c>
      <c r="F103" s="11">
        <f t="shared" ca="1" si="15"/>
        <v>53.018358416711472</v>
      </c>
      <c r="G103" s="11">
        <f t="shared" ca="1" si="13"/>
        <v>1.8469213879915927</v>
      </c>
      <c r="H103" s="11">
        <f t="shared" ca="1" si="8"/>
        <v>0.28404281384193608</v>
      </c>
      <c r="I103" s="11">
        <f t="shared" ca="1" si="9"/>
        <v>15.059483709963022</v>
      </c>
      <c r="J103" s="11">
        <f t="shared" ca="1" si="10"/>
        <v>-13.212562321971429</v>
      </c>
      <c r="K103" s="11">
        <f t="shared" ca="1" si="11"/>
        <v>2.1603012779585864</v>
      </c>
      <c r="L103" s="20">
        <f t="shared" ca="1" si="12"/>
        <v>-0.31337988996699373</v>
      </c>
    </row>
    <row r="104" spans="4:12" x14ac:dyDescent="0.25">
      <c r="D104" s="22">
        <f t="shared" ca="1" si="14"/>
        <v>2.9874186949007991E-2</v>
      </c>
      <c r="E104" s="11">
        <v>0.28333333333333333</v>
      </c>
      <c r="F104" s="11">
        <f t="shared" ca="1" si="15"/>
        <v>53.528895944927719</v>
      </c>
      <c r="G104" s="11">
        <f t="shared" ca="1" si="13"/>
        <v>1.9908394292591485</v>
      </c>
      <c r="H104" s="11">
        <f t="shared" ca="1" si="8"/>
        <v>0.29809470013596595</v>
      </c>
      <c r="I104" s="11">
        <f t="shared" ca="1" si="9"/>
        <v>15.956680185312552</v>
      </c>
      <c r="J104" s="11">
        <f t="shared" ca="1" si="10"/>
        <v>-13.965840756053403</v>
      </c>
      <c r="K104" s="11">
        <f t="shared" ca="1" si="11"/>
        <v>2.3227044777522639</v>
      </c>
      <c r="L104" s="20">
        <f t="shared" ca="1" si="12"/>
        <v>-0.33186504849311538</v>
      </c>
    </row>
    <row r="105" spans="4:12" x14ac:dyDescent="0.25">
      <c r="D105" s="22">
        <f t="shared" ca="1" si="14"/>
        <v>2.921249348409774E-2</v>
      </c>
      <c r="E105" s="11">
        <v>0.28611111111111115</v>
      </c>
      <c r="F105" s="11">
        <f t="shared" ca="1" si="15"/>
        <v>53.601895349905462</v>
      </c>
      <c r="G105" s="11">
        <f t="shared" ca="1" si="13"/>
        <v>2.0114668494812395</v>
      </c>
      <c r="H105" s="11">
        <f t="shared" ca="1" si="8"/>
        <v>0.29806532469718594</v>
      </c>
      <c r="I105" s="11">
        <f t="shared" ca="1" si="9"/>
        <v>15.976866341854153</v>
      </c>
      <c r="J105" s="11">
        <f t="shared" ca="1" si="10"/>
        <v>-13.965399492372914</v>
      </c>
      <c r="K105" s="11">
        <f t="shared" ca="1" si="11"/>
        <v>2.3239207113606501</v>
      </c>
      <c r="L105" s="20">
        <f t="shared" ca="1" si="12"/>
        <v>-0.3124538618794106</v>
      </c>
    </row>
    <row r="106" spans="4:12" x14ac:dyDescent="0.25">
      <c r="D106" s="22">
        <f t="shared" ca="1" si="14"/>
        <v>2.933258774910398E-2</v>
      </c>
      <c r="E106" s="11">
        <v>0.28888888888888892</v>
      </c>
      <c r="F106" s="11">
        <f t="shared" ca="1" si="15"/>
        <v>53.842196843150653</v>
      </c>
      <c r="G106" s="11">
        <f t="shared" ca="1" si="13"/>
        <v>2.0819544532150811</v>
      </c>
      <c r="H106" s="11">
        <f t="shared" ca="1" si="8"/>
        <v>0.30396081935962682</v>
      </c>
      <c r="I106" s="11">
        <f t="shared" ca="1" si="9"/>
        <v>16.365918268566386</v>
      </c>
      <c r="J106" s="11">
        <f t="shared" ca="1" si="10"/>
        <v>-14.283963815351305</v>
      </c>
      <c r="K106" s="11">
        <f t="shared" ca="1" si="11"/>
        <v>2.3940005537827012</v>
      </c>
      <c r="L106" s="20">
        <f t="shared" ca="1" si="12"/>
        <v>-0.31204610056762005</v>
      </c>
    </row>
    <row r="107" spans="4:12" x14ac:dyDescent="0.25">
      <c r="D107" s="22">
        <f t="shared" ca="1" si="14"/>
        <v>2.9770269742814787E-2</v>
      </c>
      <c r="E107" s="11">
        <v>0.29166666666666669</v>
      </c>
      <c r="F107" s="11">
        <f t="shared" ca="1" si="15"/>
        <v>54.286558597030613</v>
      </c>
      <c r="G107" s="11">
        <f t="shared" ca="1" si="13"/>
        <v>2.2158417520198164</v>
      </c>
      <c r="H107" s="11">
        <f t="shared" ca="1" si="8"/>
        <v>0.31572706095591041</v>
      </c>
      <c r="I107" s="11">
        <f t="shared" ca="1" si="9"/>
        <v>17.139735595251288</v>
      </c>
      <c r="J107" s="11">
        <f t="shared" ca="1" si="10"/>
        <v>-14.923893843231472</v>
      </c>
      <c r="K107" s="11">
        <f t="shared" ca="1" si="11"/>
        <v>2.5371458331524837</v>
      </c>
      <c r="L107" s="20">
        <f t="shared" ca="1" si="12"/>
        <v>-0.32130408113266729</v>
      </c>
    </row>
    <row r="108" spans="4:12" x14ac:dyDescent="0.25">
      <c r="D108" s="22">
        <f t="shared" ca="1" si="14"/>
        <v>2.980274309972375E-2</v>
      </c>
      <c r="E108" s="11">
        <v>0.29444444444444445</v>
      </c>
      <c r="F108" s="11">
        <f t="shared" ca="1" si="15"/>
        <v>53.492349554241372</v>
      </c>
      <c r="G108" s="11">
        <f t="shared" ca="1" si="13"/>
        <v>1.9638529335300294</v>
      </c>
      <c r="H108" s="11">
        <f t="shared" ca="1" si="8"/>
        <v>0.29569789227853405</v>
      </c>
      <c r="I108" s="11">
        <f t="shared" ca="1" si="9"/>
        <v>15.817575016215754</v>
      </c>
      <c r="J108" s="11">
        <f t="shared" ca="1" si="10"/>
        <v>-13.853722082685724</v>
      </c>
      <c r="K108" s="11">
        <f t="shared" ca="1" si="11"/>
        <v>2.2899622523756529</v>
      </c>
      <c r="L108" s="20">
        <f t="shared" ca="1" si="12"/>
        <v>-0.32610931884562344</v>
      </c>
    </row>
    <row r="109" spans="4:12" x14ac:dyDescent="0.25">
      <c r="D109" s="22">
        <f t="shared" ca="1" si="14"/>
        <v>2.9797122815146189E-2</v>
      </c>
      <c r="E109" s="11">
        <v>0.29722222222222222</v>
      </c>
      <c r="F109" s="11">
        <f t="shared" ca="1" si="15"/>
        <v>54.728096710984964</v>
      </c>
      <c r="G109" s="11">
        <f t="shared" ca="1" si="13"/>
        <v>2.3281140461056786</v>
      </c>
      <c r="H109" s="11">
        <f t="shared" ca="1" si="8"/>
        <v>0.3262440479225861</v>
      </c>
      <c r="I109" s="11">
        <f t="shared" ca="1" si="9"/>
        <v>17.854715806090507</v>
      </c>
      <c r="J109" s="11">
        <f t="shared" ca="1" si="10"/>
        <v>-15.526601759984828</v>
      </c>
      <c r="K109" s="11">
        <f t="shared" ca="1" si="11"/>
        <v>2.6687853345361283</v>
      </c>
      <c r="L109" s="20">
        <f t="shared" ca="1" si="12"/>
        <v>-0.34067128843044969</v>
      </c>
    </row>
    <row r="110" spans="4:12" x14ac:dyDescent="0.25">
      <c r="D110" s="22">
        <f t="shared" ca="1" si="14"/>
        <v>2.9988410709143896E-2</v>
      </c>
      <c r="E110" s="11">
        <v>0.3</v>
      </c>
      <c r="F110" s="11">
        <f t="shared" ca="1" si="15"/>
        <v>54.80235481528463</v>
      </c>
      <c r="G110" s="11">
        <f t="shared" ca="1" si="13"/>
        <v>2.3510468731315317</v>
      </c>
      <c r="H110" s="11">
        <f t="shared" ca="1" si="8"/>
        <v>0.32824668706718152</v>
      </c>
      <c r="I110" s="11">
        <f t="shared" ca="1" si="9"/>
        <v>17.988691411597383</v>
      </c>
      <c r="J110" s="11">
        <f t="shared" ca="1" si="10"/>
        <v>-15.637644538465851</v>
      </c>
      <c r="K110" s="11">
        <f t="shared" ca="1" si="11"/>
        <v>2.6925712494715315</v>
      </c>
      <c r="L110" s="20">
        <f t="shared" ca="1" si="12"/>
        <v>-0.34152437633999977</v>
      </c>
    </row>
    <row r="111" spans="4:12" x14ac:dyDescent="0.25">
      <c r="D111" s="22">
        <f t="shared" ca="1" si="14"/>
        <v>3.0187236571984247E-2</v>
      </c>
      <c r="E111" s="11">
        <v>0.30277777777777781</v>
      </c>
      <c r="F111" s="11">
        <f t="shared" ca="1" si="15"/>
        <v>54.944953842189548</v>
      </c>
      <c r="G111" s="11">
        <f t="shared" ca="1" si="13"/>
        <v>2.3965432061046386</v>
      </c>
      <c r="H111" s="11">
        <f t="shared" ca="1" si="8"/>
        <v>0.33200344990938802</v>
      </c>
      <c r="I111" s="11">
        <f t="shared" ca="1" si="9"/>
        <v>18.241914230719015</v>
      </c>
      <c r="J111" s="11">
        <f t="shared" ca="1" si="10"/>
        <v>-15.845371024614376</v>
      </c>
      <c r="K111" s="11">
        <f t="shared" ca="1" si="11"/>
        <v>2.7393242341177637</v>
      </c>
      <c r="L111" s="20">
        <f t="shared" ca="1" si="12"/>
        <v>-0.34278102801312516</v>
      </c>
    </row>
    <row r="112" spans="4:12" x14ac:dyDescent="0.25">
      <c r="D112" s="22">
        <f t="shared" ca="1" si="14"/>
        <v>3.011637949512996E-2</v>
      </c>
      <c r="E112" s="11">
        <v>0.30555555555555558</v>
      </c>
      <c r="F112" s="11">
        <f t="shared" ca="1" si="15"/>
        <v>55.583901880136928</v>
      </c>
      <c r="G112" s="11">
        <f t="shared" ca="1" si="13"/>
        <v>2.6073505335486153</v>
      </c>
      <c r="H112" s="11">
        <f t="shared" ca="1" si="8"/>
        <v>0.34777655884755654</v>
      </c>
      <c r="I112" s="11">
        <f t="shared" ca="1" si="9"/>
        <v>19.33077812319425</v>
      </c>
      <c r="J112" s="11">
        <f t="shared" ca="1" si="10"/>
        <v>-16.723427589645635</v>
      </c>
      <c r="K112" s="11">
        <f t="shared" ca="1" si="11"/>
        <v>2.9489208722724345</v>
      </c>
      <c r="L112" s="20">
        <f t="shared" ca="1" si="12"/>
        <v>-0.34157033872381914</v>
      </c>
    </row>
    <row r="113" spans="4:12" x14ac:dyDescent="0.25">
      <c r="D113" s="22">
        <f t="shared" ca="1" si="14"/>
        <v>3.0279195939722833E-2</v>
      </c>
      <c r="E113" s="11">
        <v>0.30833333333333335</v>
      </c>
      <c r="F113" s="11">
        <f t="shared" ca="1" si="15"/>
        <v>56.477534288602804</v>
      </c>
      <c r="G113" s="11">
        <f t="shared" ca="1" si="13"/>
        <v>2.9167282895602114</v>
      </c>
      <c r="H113" s="11">
        <f t="shared" ca="1" si="8"/>
        <v>0.37077006488991771</v>
      </c>
      <c r="I113" s="11">
        <f t="shared" ca="1" si="9"/>
        <v>20.940179053007814</v>
      </c>
      <c r="J113" s="11">
        <f t="shared" ca="1" si="10"/>
        <v>-18.023450763447602</v>
      </c>
      <c r="K113" s="11">
        <f t="shared" ca="1" si="11"/>
        <v>3.2687590822613002</v>
      </c>
      <c r="L113" s="20">
        <f t="shared" ca="1" si="12"/>
        <v>-0.35203079270108883</v>
      </c>
    </row>
    <row r="114" spans="4:12" x14ac:dyDescent="0.25">
      <c r="D114" s="22">
        <f t="shared" ca="1" si="14"/>
        <v>3.04798152401634E-2</v>
      </c>
      <c r="E114" s="11">
        <v>0.31111111111111112</v>
      </c>
      <c r="F114" s="11">
        <f t="shared" ca="1" si="15"/>
        <v>56.880235284463495</v>
      </c>
      <c r="G114" s="11">
        <f t="shared" ca="1" si="13"/>
        <v>3.0645117230776791</v>
      </c>
      <c r="H114" s="11">
        <f t="shared" ca="1" si="8"/>
        <v>0.38133231601923512</v>
      </c>
      <c r="I114" s="11">
        <f t="shared" ca="1" si="9"/>
        <v>21.690271856743482</v>
      </c>
      <c r="J114" s="11">
        <f t="shared" ca="1" si="10"/>
        <v>-18.625760133665803</v>
      </c>
      <c r="K114" s="11">
        <f t="shared" ca="1" si="11"/>
        <v>3.4201754179203445</v>
      </c>
      <c r="L114" s="20">
        <f t="shared" ca="1" si="12"/>
        <v>-0.35566369484266547</v>
      </c>
    </row>
    <row r="115" spans="4:12" x14ac:dyDescent="0.25">
      <c r="D115" s="22">
        <f t="shared" ca="1" si="14"/>
        <v>3.0211291697317833E-2</v>
      </c>
      <c r="E115" s="11">
        <v>0.31388888888888888</v>
      </c>
      <c r="F115" s="11">
        <f t="shared" ca="1" si="15"/>
        <v>56.045508178993856</v>
      </c>
      <c r="G115" s="11">
        <f t="shared" ca="1" si="13"/>
        <v>2.7446401585814257</v>
      </c>
      <c r="H115" s="11">
        <f t="shared" ca="1" si="8"/>
        <v>0.35888443896338179</v>
      </c>
      <c r="I115" s="11">
        <f t="shared" ca="1" si="9"/>
        <v>20.113860759235834</v>
      </c>
      <c r="J115" s="11">
        <f t="shared" ca="1" si="10"/>
        <v>-17.369220600654408</v>
      </c>
      <c r="K115" s="11">
        <f t="shared" ca="1" si="11"/>
        <v>3.0972025797182208</v>
      </c>
      <c r="L115" s="20">
        <f t="shared" ca="1" si="12"/>
        <v>-0.35256242113679503</v>
      </c>
    </row>
    <row r="116" spans="4:12" x14ac:dyDescent="0.25">
      <c r="D116" s="22">
        <f t="shared" ca="1" si="14"/>
        <v>3.0182430437996233E-2</v>
      </c>
      <c r="E116" s="11">
        <v>0.31666666666666665</v>
      </c>
      <c r="F116" s="11">
        <f t="shared" ca="1" si="15"/>
        <v>55.786931511995853</v>
      </c>
      <c r="G116" s="11">
        <f t="shared" ca="1" si="13"/>
        <v>2.6503847185458795</v>
      </c>
      <c r="H116" s="11">
        <f t="shared" ca="1" si="8"/>
        <v>0.35186645894514823</v>
      </c>
      <c r="I116" s="11">
        <f t="shared" ca="1" si="9"/>
        <v>19.629550046541485</v>
      </c>
      <c r="J116" s="11">
        <f t="shared" ca="1" si="10"/>
        <v>-16.979165327995606</v>
      </c>
      <c r="K116" s="11">
        <f t="shared" ca="1" si="11"/>
        <v>2.9986250577380296</v>
      </c>
      <c r="L116" s="20">
        <f t="shared" ca="1" si="12"/>
        <v>-0.34824033919215003</v>
      </c>
    </row>
    <row r="117" spans="4:12" x14ac:dyDescent="0.25">
      <c r="D117" s="22">
        <f t="shared" ca="1" si="14"/>
        <v>3.031368964417747E-2</v>
      </c>
      <c r="E117" s="11">
        <v>0.31944444444444448</v>
      </c>
      <c r="F117" s="11">
        <f t="shared" ca="1" si="15"/>
        <v>55.140130989290313</v>
      </c>
      <c r="G117" s="11">
        <f t="shared" ca="1" si="13"/>
        <v>2.4213675233695398</v>
      </c>
      <c r="H117" s="11">
        <f t="shared" ca="1" si="8"/>
        <v>0.33532122727157909</v>
      </c>
      <c r="I117" s="11">
        <f t="shared" ca="1" si="9"/>
        <v>18.489656395244459</v>
      </c>
      <c r="J117" s="11">
        <f t="shared" ca="1" si="10"/>
        <v>-16.06828887187492</v>
      </c>
      <c r="K117" s="11">
        <f t="shared" ca="1" si="11"/>
        <v>2.7742342931835875</v>
      </c>
      <c r="L117" s="20">
        <f t="shared" ca="1" si="12"/>
        <v>-0.35286676981404774</v>
      </c>
    </row>
    <row r="118" spans="4:12" x14ac:dyDescent="0.25">
      <c r="D118" s="22">
        <f t="shared" ca="1" si="14"/>
        <v>3.0256170568358654E-2</v>
      </c>
      <c r="E118" s="11">
        <v>0.32222222222222224</v>
      </c>
      <c r="F118" s="11">
        <f t="shared" ca="1" si="15"/>
        <v>53.772138686062085</v>
      </c>
      <c r="G118" s="11">
        <f t="shared" ca="1" si="13"/>
        <v>1.9613001505772374</v>
      </c>
      <c r="H118" s="11">
        <f t="shared" ca="1" si="8"/>
        <v>0.30031110621241763</v>
      </c>
      <c r="I118" s="11">
        <f t="shared" ca="1" si="9"/>
        <v>16.148370452218842</v>
      </c>
      <c r="J118" s="11">
        <f t="shared" ca="1" si="10"/>
        <v>-14.187070301641604</v>
      </c>
      <c r="K118" s="11">
        <f t="shared" ca="1" si="11"/>
        <v>2.3327166938209425</v>
      </c>
      <c r="L118" s="20">
        <f t="shared" ca="1" si="12"/>
        <v>-0.3714165432437051</v>
      </c>
    </row>
    <row r="119" spans="4:12" x14ac:dyDescent="0.25">
      <c r="D119" s="22">
        <f t="shared" ca="1" si="14"/>
        <v>2.9941001855688681E-2</v>
      </c>
      <c r="E119" s="11">
        <v>0.32500000000000001</v>
      </c>
      <c r="F119" s="11">
        <f t="shared" ca="1" si="15"/>
        <v>54.195912003450083</v>
      </c>
      <c r="G119" s="11">
        <f t="shared" ca="1" si="13"/>
        <v>2.0873840044084631</v>
      </c>
      <c r="H119" s="11">
        <f t="shared" ca="1" si="8"/>
        <v>0.30987968821379597</v>
      </c>
      <c r="I119" s="11">
        <f t="shared" ca="1" si="9"/>
        <v>16.794212314091435</v>
      </c>
      <c r="J119" s="11">
        <f t="shared" ca="1" si="10"/>
        <v>-14.706828309682972</v>
      </c>
      <c r="K119" s="11">
        <f t="shared" ca="1" si="11"/>
        <v>2.4493323185416056</v>
      </c>
      <c r="L119" s="20">
        <f t="shared" ca="1" si="12"/>
        <v>-0.36194831413314255</v>
      </c>
    </row>
    <row r="120" spans="4:12" x14ac:dyDescent="0.25">
      <c r="D120" s="22">
        <f t="shared" ca="1" si="14"/>
        <v>3.0338415486728092E-2</v>
      </c>
      <c r="E120" s="11">
        <v>0.32777777777777778</v>
      </c>
      <c r="F120" s="11">
        <f t="shared" ca="1" si="15"/>
        <v>54.013131562114715</v>
      </c>
      <c r="G120" s="11">
        <f t="shared" ca="1" si="13"/>
        <v>2.0295046119333637</v>
      </c>
      <c r="H120" s="11">
        <f t="shared" ca="1" si="8"/>
        <v>0.30585555800152364</v>
      </c>
      <c r="I120" s="11">
        <f t="shared" ca="1" si="9"/>
        <v>16.520216493340303</v>
      </c>
      <c r="J120" s="11">
        <f t="shared" ca="1" si="10"/>
        <v>-14.49071188140694</v>
      </c>
      <c r="K120" s="11">
        <f t="shared" ca="1" si="11"/>
        <v>2.3972495142880206</v>
      </c>
      <c r="L120" s="20">
        <f t="shared" ca="1" si="12"/>
        <v>-0.36774490235465684</v>
      </c>
    </row>
    <row r="121" spans="4:12" x14ac:dyDescent="0.25">
      <c r="D121" s="22">
        <f t="shared" ca="1" si="14"/>
        <v>3.0553594377446078E-2</v>
      </c>
      <c r="E121" s="11">
        <v>0.33055555555555555</v>
      </c>
      <c r="F121" s="11">
        <f t="shared" ca="1" si="15"/>
        <v>54.536513597699262</v>
      </c>
      <c r="G121" s="11">
        <f t="shared" ca="1" si="13"/>
        <v>2.1883540216926818</v>
      </c>
      <c r="H121" s="11">
        <f t="shared" ca="1" si="8"/>
        <v>0.31921734088732856</v>
      </c>
      <c r="I121" s="11">
        <f t="shared" ca="1" si="9"/>
        <v>17.409000851923196</v>
      </c>
      <c r="J121" s="11">
        <f t="shared" ca="1" si="10"/>
        <v>-15.220646830230514</v>
      </c>
      <c r="K121" s="11">
        <f t="shared" ca="1" si="11"/>
        <v>2.5606727647020007</v>
      </c>
      <c r="L121" s="20">
        <f t="shared" ca="1" si="12"/>
        <v>-0.37231874300931889</v>
      </c>
    </row>
    <row r="122" spans="4:12" x14ac:dyDescent="0.25">
      <c r="D122" s="22">
        <f t="shared" ca="1" si="14"/>
        <v>3.0007445512962975E-2</v>
      </c>
      <c r="E122" s="11">
        <v>0.33333333333333337</v>
      </c>
      <c r="F122" s="11">
        <f t="shared" ca="1" si="15"/>
        <v>54.830560075944149</v>
      </c>
      <c r="G122" s="11">
        <f t="shared" ca="1" si="13"/>
        <v>2.2809500016691526</v>
      </c>
      <c r="H122" s="11">
        <f t="shared" ca="1" si="8"/>
        <v>0.32508604019703696</v>
      </c>
      <c r="I122" s="11">
        <f t="shared" ca="1" si="9"/>
        <v>17.824649656874431</v>
      </c>
      <c r="J122" s="11">
        <f t="shared" ca="1" si="10"/>
        <v>-15.543699655205279</v>
      </c>
      <c r="K122" s="11">
        <f t="shared" ca="1" si="11"/>
        <v>2.6362375339157542</v>
      </c>
      <c r="L122" s="20">
        <f t="shared" ca="1" si="12"/>
        <v>-0.35528753224660159</v>
      </c>
    </row>
    <row r="123" spans="4:12" x14ac:dyDescent="0.25">
      <c r="D123" s="22">
        <f t="shared" ca="1" si="14"/>
        <v>2.9981850154800982E-2</v>
      </c>
      <c r="E123" s="11">
        <v>0.33611111111111114</v>
      </c>
      <c r="F123" s="11">
        <f t="shared" ca="1" si="15"/>
        <v>55.327371696331468</v>
      </c>
      <c r="G123" s="11">
        <f t="shared" ca="1" si="13"/>
        <v>2.4411619455075844</v>
      </c>
      <c r="H123" s="11">
        <f t="shared" ca="1" si="8"/>
        <v>0.33737370949579326</v>
      </c>
      <c r="I123" s="11">
        <f t="shared" ca="1" si="9"/>
        <v>18.666000625843907</v>
      </c>
      <c r="J123" s="11">
        <f t="shared" ca="1" si="10"/>
        <v>-16.224838680336322</v>
      </c>
      <c r="K123" s="11">
        <f t="shared" ca="1" si="11"/>
        <v>2.7945371430502655</v>
      </c>
      <c r="L123" s="20">
        <f t="shared" ca="1" si="12"/>
        <v>-0.3533751975426811</v>
      </c>
    </row>
    <row r="124" spans="4:12" x14ac:dyDescent="0.25">
      <c r="D124" s="22">
        <f t="shared" ca="1" si="14"/>
        <v>2.9893348669979225E-2</v>
      </c>
      <c r="E124" s="11">
        <v>0.33888888888888891</v>
      </c>
      <c r="F124" s="11">
        <f t="shared" ca="1" si="15"/>
        <v>56.024988694027229</v>
      </c>
      <c r="G124" s="11">
        <f t="shared" ca="1" si="13"/>
        <v>2.6751722606679458</v>
      </c>
      <c r="H124" s="11">
        <f t="shared" ca="1" si="8"/>
        <v>0.3547635526919769</v>
      </c>
      <c r="I124" s="11">
        <f t="shared" ca="1" si="9"/>
        <v>19.87562402862094</v>
      </c>
      <c r="J124" s="11">
        <f t="shared" ca="1" si="10"/>
        <v>-17.200451767952995</v>
      </c>
      <c r="K124" s="11">
        <f t="shared" ca="1" si="11"/>
        <v>3.0277618399988144</v>
      </c>
      <c r="L124" s="20">
        <f t="shared" ca="1" si="12"/>
        <v>-0.35258957933086865</v>
      </c>
    </row>
    <row r="125" spans="4:12" x14ac:dyDescent="0.25">
      <c r="D125" s="22">
        <f t="shared" ca="1" si="14"/>
        <v>3.0339217855286718E-2</v>
      </c>
      <c r="E125" s="11">
        <v>0.34166666666666667</v>
      </c>
      <c r="F125" s="11">
        <f t="shared" ca="1" si="15"/>
        <v>55.117408014214909</v>
      </c>
      <c r="G125" s="11">
        <f t="shared" ca="1" si="13"/>
        <v>2.3517460747777008</v>
      </c>
      <c r="H125" s="11">
        <f t="shared" ca="1" si="8"/>
        <v>0.33218652270170995</v>
      </c>
      <c r="I125" s="11">
        <f t="shared" ca="1" si="9"/>
        <v>18.309260108573412</v>
      </c>
      <c r="J125" s="11">
        <f t="shared" ca="1" si="10"/>
        <v>-15.957514033795711</v>
      </c>
      <c r="K125" s="11">
        <f t="shared" ca="1" si="11"/>
        <v>2.7222773631921173</v>
      </c>
      <c r="L125" s="20">
        <f t="shared" ca="1" si="12"/>
        <v>-0.37053128841441652</v>
      </c>
    </row>
    <row r="126" spans="4:12" x14ac:dyDescent="0.25">
      <c r="D126" s="22">
        <f t="shared" ca="1" si="14"/>
        <v>3.1123619293796978E-2</v>
      </c>
      <c r="E126" s="11">
        <v>0.34444444444444444</v>
      </c>
      <c r="F126" s="11">
        <f t="shared" ca="1" si="15"/>
        <v>56.003917449978267</v>
      </c>
      <c r="G126" s="11">
        <f t="shared" ca="1" si="13"/>
        <v>2.6448529030824712</v>
      </c>
      <c r="H126" s="11">
        <f t="shared" ca="1" si="8"/>
        <v>0.35653362180895931</v>
      </c>
      <c r="I126" s="11">
        <f t="shared" ca="1" si="9"/>
        <v>19.967279523930728</v>
      </c>
      <c r="J126" s="11">
        <f t="shared" ca="1" si="10"/>
        <v>-17.322426620848255</v>
      </c>
      <c r="K126" s="11">
        <f t="shared" ca="1" si="11"/>
        <v>3.0428545377598271</v>
      </c>
      <c r="L126" s="20">
        <f t="shared" ca="1" si="12"/>
        <v>-0.39800163467735583</v>
      </c>
    </row>
    <row r="127" spans="4:12" x14ac:dyDescent="0.25">
      <c r="D127" s="22">
        <f t="shared" ca="1" si="14"/>
        <v>3.1073357205409748E-2</v>
      </c>
      <c r="E127" s="11">
        <v>0.34722222222222221</v>
      </c>
      <c r="F127" s="11">
        <f t="shared" ca="1" si="15"/>
        <v>55.929903984306627</v>
      </c>
      <c r="G127" s="11">
        <f t="shared" ca="1" si="13"/>
        <v>2.6169693663792017</v>
      </c>
      <c r="H127" s="11">
        <f t="shared" ca="1" si="8"/>
        <v>0.3541770795699703</v>
      </c>
      <c r="I127" s="11">
        <f t="shared" ca="1" si="9"/>
        <v>19.809090053790566</v>
      </c>
      <c r="J127" s="11">
        <f t="shared" ca="1" si="10"/>
        <v>-17.192120687411364</v>
      </c>
      <c r="K127" s="11">
        <f t="shared" ca="1" si="11"/>
        <v>3.0091931720330578</v>
      </c>
      <c r="L127" s="20">
        <f t="shared" ca="1" si="12"/>
        <v>-0.39222380565385606</v>
      </c>
    </row>
    <row r="128" spans="4:12" x14ac:dyDescent="0.25">
      <c r="D128" s="22">
        <f t="shared" ca="1" si="14"/>
        <v>3.1244656940288291E-2</v>
      </c>
      <c r="E128" s="11">
        <v>0.35000000000000003</v>
      </c>
      <c r="F128" s="11">
        <f t="shared" ca="1" si="15"/>
        <v>56.364453981945005</v>
      </c>
      <c r="G128" s="11">
        <f t="shared" ca="1" si="13"/>
        <v>2.7693848342922287</v>
      </c>
      <c r="H128" s="11">
        <f t="shared" ca="1" si="8"/>
        <v>0.36553288827291164</v>
      </c>
      <c r="I128" s="11">
        <f t="shared" ca="1" si="9"/>
        <v>20.603061659945972</v>
      </c>
      <c r="J128" s="11">
        <f t="shared" ca="1" si="10"/>
        <v>-17.833676825653743</v>
      </c>
      <c r="K128" s="11">
        <f t="shared" ca="1" si="11"/>
        <v>3.1643872674624642</v>
      </c>
      <c r="L128" s="20">
        <f t="shared" ca="1" si="12"/>
        <v>-0.39500243317023553</v>
      </c>
    </row>
    <row r="129" spans="4:12" x14ac:dyDescent="0.25">
      <c r="D129" s="22">
        <f t="shared" ca="1" si="14"/>
        <v>3.0878489644801416E-2</v>
      </c>
      <c r="E129" s="11">
        <v>0.3527777777777778</v>
      </c>
      <c r="F129" s="11">
        <f t="shared" ca="1" si="15"/>
        <v>57.400585601137152</v>
      </c>
      <c r="G129" s="11">
        <f t="shared" ca="1" si="13"/>
        <v>3.1465952937346593</v>
      </c>
      <c r="H129" s="11">
        <f t="shared" ca="1" si="8"/>
        <v>0.39129802869502572</v>
      </c>
      <c r="I129" s="11">
        <f t="shared" ca="1" si="9"/>
        <v>22.460735991665047</v>
      </c>
      <c r="J129" s="11">
        <f t="shared" ca="1" si="10"/>
        <v>-19.314140697930387</v>
      </c>
      <c r="K129" s="11">
        <f t="shared" ca="1" si="11"/>
        <v>3.539247210058635</v>
      </c>
      <c r="L129" s="20">
        <f t="shared" ca="1" si="12"/>
        <v>-0.39265191632397567</v>
      </c>
    </row>
    <row r="130" spans="4:12" x14ac:dyDescent="0.25">
      <c r="D130" s="22">
        <f t="shared" ca="1" si="14"/>
        <v>3.0385172848979909E-2</v>
      </c>
      <c r="E130" s="11">
        <v>0.35555555555555557</v>
      </c>
      <c r="F130" s="11">
        <f t="shared" ca="1" si="15"/>
        <v>57.958052814134234</v>
      </c>
      <c r="G130" s="11">
        <f t="shared" ca="1" si="13"/>
        <v>3.3631008700457805</v>
      </c>
      <c r="H130" s="11">
        <f t="shared" ref="H130:H193" ca="1" si="16">BSGreeks(F130,$B$3,$B$6 - E130,D130, $B$5,$H$1)</f>
        <v>0.40431257737643733</v>
      </c>
      <c r="I130" s="11">
        <f t="shared" ref="I130:I193" ca="1" si="17">F130*H130</f>
        <v>23.43316971300229</v>
      </c>
      <c r="J130" s="11">
        <f t="shared" ref="J130:J193" ca="1" si="18">G130 - I130</f>
        <v>-20.070068842956509</v>
      </c>
      <c r="K130" s="11">
        <f t="shared" ref="K130:K193" ca="1" si="19">BSCall(F130,$B$3, $B$6 - E130,D130,$B$5)</f>
        <v>3.7388743485955369</v>
      </c>
      <c r="L130" s="20">
        <f t="shared" ref="L130:L193" ca="1" si="20">G130 - K130</f>
        <v>-0.3757734785497564</v>
      </c>
    </row>
    <row r="131" spans="4:12" x14ac:dyDescent="0.25">
      <c r="D131" s="22">
        <f t="shared" ca="1" si="14"/>
        <v>3.0511680440074771E-2</v>
      </c>
      <c r="E131" s="11">
        <v>0.35833333333333334</v>
      </c>
      <c r="F131" s="11">
        <f t="shared" ca="1" si="15"/>
        <v>58.465933825603074</v>
      </c>
      <c r="G131" s="11">
        <f t="shared" ref="G131:G194" ca="1" si="21" xml:space="preserve"> H130*F131 + J130* EXP(D131*(E131 - E130))</f>
        <v>3.5667424466867637</v>
      </c>
      <c r="H131" s="11">
        <f t="shared" ca="1" si="16"/>
        <v>0.4175779754735901</v>
      </c>
      <c r="I131" s="11">
        <f t="shared" ca="1" si="17"/>
        <v>24.414086281068222</v>
      </c>
      <c r="J131" s="11">
        <f t="shared" ca="1" si="18"/>
        <v>-20.847343834381459</v>
      </c>
      <c r="K131" s="11">
        <f t="shared" ca="1" si="19"/>
        <v>3.9451543735794496</v>
      </c>
      <c r="L131" s="20">
        <f t="shared" ca="1" si="20"/>
        <v>-0.37841192689268599</v>
      </c>
    </row>
    <row r="132" spans="4:12" x14ac:dyDescent="0.25">
      <c r="D132" s="22">
        <f t="shared" ref="D132:D195" ca="1" si="22">D131*1.002 + $B$5*D131*SQRT(E132-E131)*_xlfn.NORM.S.INV(RAND())</f>
        <v>3.09882325187812E-2</v>
      </c>
      <c r="E132" s="11">
        <v>0.3611111111111111</v>
      </c>
      <c r="F132" s="11">
        <f t="shared" ref="F132:F195" ca="1" si="23">F131 + D131*F131*(E132-E131) + $B$5*F131*SQRT(E132-E131)*_xlfn.NORM.S.INV(RAND())</f>
        <v>58.662619361324424</v>
      </c>
      <c r="G132" s="11">
        <f t="shared" ca="1" si="21"/>
        <v>3.6470794107670308</v>
      </c>
      <c r="H132" s="11">
        <f t="shared" ca="1" si="16"/>
        <v>0.42361639178998584</v>
      </c>
      <c r="I132" s="11">
        <f t="shared" ca="1" si="17"/>
        <v>24.850447146793616</v>
      </c>
      <c r="J132" s="11">
        <f t="shared" ca="1" si="18"/>
        <v>-21.203367736026586</v>
      </c>
      <c r="K132" s="11">
        <f t="shared" ca="1" si="19"/>
        <v>4.0372844201789322</v>
      </c>
      <c r="L132" s="20">
        <f t="shared" ca="1" si="20"/>
        <v>-0.39020500941190139</v>
      </c>
    </row>
    <row r="133" spans="4:12" x14ac:dyDescent="0.25">
      <c r="D133" s="22">
        <f t="shared" ca="1" si="22"/>
        <v>3.0987550234315309E-2</v>
      </c>
      <c r="E133" s="11">
        <v>0.36388888888888893</v>
      </c>
      <c r="F133" s="11">
        <f t="shared" ca="1" si="23"/>
        <v>58.950024579534663</v>
      </c>
      <c r="G133" s="11">
        <f t="shared" ca="1" si="21"/>
        <v>3.7670037814492332</v>
      </c>
      <c r="H133" s="11">
        <f t="shared" ca="1" si="16"/>
        <v>0.43082766391042082</v>
      </c>
      <c r="I133" s="11">
        <f t="shared" ca="1" si="17"/>
        <v>25.397301377062806</v>
      </c>
      <c r="J133" s="11">
        <f t="shared" ca="1" si="18"/>
        <v>-21.630297595613573</v>
      </c>
      <c r="K133" s="11">
        <f t="shared" ca="1" si="19"/>
        <v>4.153229115790162</v>
      </c>
      <c r="L133" s="20">
        <f t="shared" ca="1" si="20"/>
        <v>-0.38622533434092876</v>
      </c>
    </row>
    <row r="134" spans="4:12" x14ac:dyDescent="0.25">
      <c r="D134" s="22">
        <f t="shared" ca="1" si="22"/>
        <v>3.1037079533344482E-2</v>
      </c>
      <c r="E134" s="11">
        <v>0.3666666666666667</v>
      </c>
      <c r="F134" s="11">
        <f t="shared" ca="1" si="23"/>
        <v>59.080906382666583</v>
      </c>
      <c r="G134" s="11">
        <f t="shared" ca="1" si="21"/>
        <v>3.8215263656987695</v>
      </c>
      <c r="H134" s="11">
        <f t="shared" ca="1" si="16"/>
        <v>0.43408768671836218</v>
      </c>
      <c r="I134" s="11">
        <f t="shared" ca="1" si="17"/>
        <v>25.646293980875857</v>
      </c>
      <c r="J134" s="11">
        <f t="shared" ca="1" si="18"/>
        <v>-21.824767615177088</v>
      </c>
      <c r="K134" s="11">
        <f t="shared" ca="1" si="19"/>
        <v>4.2046778295652389</v>
      </c>
      <c r="L134" s="20">
        <f t="shared" ca="1" si="20"/>
        <v>-0.38315146386646948</v>
      </c>
    </row>
    <row r="135" spans="4:12" x14ac:dyDescent="0.25">
      <c r="D135" s="22">
        <f t="shared" ca="1" si="22"/>
        <v>3.1255378073480125E-2</v>
      </c>
      <c r="E135" s="11">
        <v>0.36944444444444446</v>
      </c>
      <c r="F135" s="11">
        <f t="shared" ca="1" si="23"/>
        <v>60.904386861456679</v>
      </c>
      <c r="G135" s="11">
        <f t="shared" ca="1" si="21"/>
        <v>4.6111818691351871</v>
      </c>
      <c r="H135" s="11">
        <f t="shared" ca="1" si="16"/>
        <v>0.48155385673718987</v>
      </c>
      <c r="I135" s="11">
        <f t="shared" ca="1" si="17"/>
        <v>29.328742385348299</v>
      </c>
      <c r="J135" s="11">
        <f t="shared" ca="1" si="18"/>
        <v>-24.717560516213112</v>
      </c>
      <c r="K135" s="11">
        <f t="shared" ca="1" si="19"/>
        <v>5.0406133893065839</v>
      </c>
      <c r="L135" s="20">
        <f t="shared" ca="1" si="20"/>
        <v>-0.42943152017139674</v>
      </c>
    </row>
    <row r="136" spans="4:12" x14ac:dyDescent="0.25">
      <c r="D136" s="22">
        <f t="shared" ca="1" si="22"/>
        <v>3.1664016568247771E-2</v>
      </c>
      <c r="E136" s="11">
        <v>0.37222222222222223</v>
      </c>
      <c r="F136" s="11">
        <f t="shared" ca="1" si="23"/>
        <v>60.209932189036685</v>
      </c>
      <c r="G136" s="11">
        <f t="shared" ca="1" si="21"/>
        <v>4.2745903997847705</v>
      </c>
      <c r="H136" s="11">
        <f t="shared" ca="1" si="16"/>
        <v>0.46446662148730855</v>
      </c>
      <c r="I136" s="11">
        <f t="shared" ca="1" si="17"/>
        <v>27.965503783821816</v>
      </c>
      <c r="J136" s="11">
        <f t="shared" ca="1" si="18"/>
        <v>-23.690913384037046</v>
      </c>
      <c r="K136" s="11">
        <f t="shared" ca="1" si="19"/>
        <v>4.7206186746064747</v>
      </c>
      <c r="L136" s="20">
        <f t="shared" ca="1" si="20"/>
        <v>-0.44602827482170415</v>
      </c>
    </row>
    <row r="137" spans="4:12" x14ac:dyDescent="0.25">
      <c r="D137" s="22">
        <f t="shared" ca="1" si="22"/>
        <v>3.1208666332173254E-2</v>
      </c>
      <c r="E137" s="11">
        <v>0.375</v>
      </c>
      <c r="F137" s="11">
        <f t="shared" ca="1" si="23"/>
        <v>60.157848756734488</v>
      </c>
      <c r="G137" s="11">
        <f t="shared" ca="1" si="21"/>
        <v>4.2483455121152858</v>
      </c>
      <c r="H137" s="11">
        <f t="shared" ca="1" si="16"/>
        <v>0.46171149886331447</v>
      </c>
      <c r="I137" s="11">
        <f t="shared" ca="1" si="17"/>
        <v>27.775570517864459</v>
      </c>
      <c r="J137" s="11">
        <f t="shared" ca="1" si="18"/>
        <v>-23.527225005749173</v>
      </c>
      <c r="K137" s="11">
        <f t="shared" ca="1" si="19"/>
        <v>4.6721062039461909</v>
      </c>
      <c r="L137" s="20">
        <f t="shared" ca="1" si="20"/>
        <v>-0.42376069183090515</v>
      </c>
    </row>
    <row r="138" spans="4:12" x14ac:dyDescent="0.25">
      <c r="D138" s="22">
        <f t="shared" ca="1" si="22"/>
        <v>3.1348981892860041E-2</v>
      </c>
      <c r="E138" s="11">
        <v>0.37777777777777777</v>
      </c>
      <c r="F138" s="11">
        <f t="shared" ca="1" si="23"/>
        <v>59.818057789728847</v>
      </c>
      <c r="G138" s="11">
        <f t="shared" ca="1" si="21"/>
        <v>4.0894112635918454</v>
      </c>
      <c r="H138" s="11">
        <f t="shared" ca="1" si="16"/>
        <v>0.45299170725429749</v>
      </c>
      <c r="I138" s="11">
        <f t="shared" ca="1" si="17"/>
        <v>27.097084122805501</v>
      </c>
      <c r="J138" s="11">
        <f t="shared" ca="1" si="18"/>
        <v>-23.007672859213656</v>
      </c>
      <c r="K138" s="11">
        <f t="shared" ca="1" si="19"/>
        <v>4.5147331224019185</v>
      </c>
      <c r="L138" s="20">
        <f t="shared" ca="1" si="20"/>
        <v>-0.42532185881007312</v>
      </c>
    </row>
    <row r="139" spans="4:12" x14ac:dyDescent="0.25">
      <c r="D139" s="22">
        <f t="shared" ca="1" si="22"/>
        <v>3.1106176921347466E-2</v>
      </c>
      <c r="E139" s="11">
        <v>0.38055555555555559</v>
      </c>
      <c r="F139" s="11">
        <f t="shared" ca="1" si="23"/>
        <v>58.826961758331393</v>
      </c>
      <c r="G139" s="11">
        <f t="shared" ca="1" si="21"/>
        <v>3.6384648923234586</v>
      </c>
      <c r="H139" s="11">
        <f t="shared" ca="1" si="16"/>
        <v>0.42623937142634061</v>
      </c>
      <c r="I139" s="11">
        <f t="shared" ca="1" si="17"/>
        <v>25.074367202792551</v>
      </c>
      <c r="J139" s="11">
        <f t="shared" ca="1" si="18"/>
        <v>-21.435902310469093</v>
      </c>
      <c r="K139" s="11">
        <f t="shared" ca="1" si="19"/>
        <v>4.063443530462254</v>
      </c>
      <c r="L139" s="20">
        <f t="shared" ca="1" si="20"/>
        <v>-0.42497863813879544</v>
      </c>
    </row>
    <row r="140" spans="4:12" x14ac:dyDescent="0.25">
      <c r="D140" s="22">
        <f t="shared" ca="1" si="22"/>
        <v>3.1229435658155662E-2</v>
      </c>
      <c r="E140" s="11">
        <v>0.38333333333333336</v>
      </c>
      <c r="F140" s="11">
        <f t="shared" ca="1" si="23"/>
        <v>59.211417224815385</v>
      </c>
      <c r="G140" s="11">
        <f t="shared" ca="1" si="21"/>
        <v>3.8004753371188222</v>
      </c>
      <c r="H140" s="11">
        <f t="shared" ca="1" si="16"/>
        <v>0.43633228969156318</v>
      </c>
      <c r="I140" s="11">
        <f t="shared" ca="1" si="17"/>
        <v>25.835853253586162</v>
      </c>
      <c r="J140" s="11">
        <f t="shared" ca="1" si="18"/>
        <v>-22.03537791646734</v>
      </c>
      <c r="K140" s="11">
        <f t="shared" ca="1" si="19"/>
        <v>4.2265938166550585</v>
      </c>
      <c r="L140" s="20">
        <f t="shared" ca="1" si="20"/>
        <v>-0.42611847953623627</v>
      </c>
    </row>
    <row r="141" spans="4:12" x14ac:dyDescent="0.25">
      <c r="D141" s="22">
        <f t="shared" ca="1" si="22"/>
        <v>3.0952028482574719E-2</v>
      </c>
      <c r="E141" s="11">
        <v>0.38611111111111113</v>
      </c>
      <c r="F141" s="11">
        <f t="shared" ca="1" si="23"/>
        <v>58.357526888307142</v>
      </c>
      <c r="G141" s="11">
        <f t="shared" ca="1" si="21"/>
        <v>3.4260007754283244</v>
      </c>
      <c r="H141" s="11">
        <f t="shared" ca="1" si="16"/>
        <v>0.41297200326418404</v>
      </c>
      <c r="I141" s="11">
        <f t="shared" ca="1" si="17"/>
        <v>24.100024784607683</v>
      </c>
      <c r="J141" s="11">
        <f t="shared" ca="1" si="18"/>
        <v>-20.674024009179359</v>
      </c>
      <c r="K141" s="11">
        <f t="shared" ca="1" si="19"/>
        <v>3.847761107887254</v>
      </c>
      <c r="L141" s="20">
        <f t="shared" ca="1" si="20"/>
        <v>-0.42176033245892963</v>
      </c>
    </row>
    <row r="142" spans="4:12" x14ac:dyDescent="0.25">
      <c r="D142" s="22">
        <f t="shared" ca="1" si="22"/>
        <v>3.1664257319814079E-2</v>
      </c>
      <c r="E142" s="11">
        <v>0.3888888888888889</v>
      </c>
      <c r="F142" s="11">
        <f t="shared" ca="1" si="23"/>
        <v>58.75525422846345</v>
      </c>
      <c r="G142" s="11">
        <f t="shared" ca="1" si="21"/>
        <v>3.5884325418283645</v>
      </c>
      <c r="H142" s="11">
        <f t="shared" ca="1" si="16"/>
        <v>0.42489851702347092</v>
      </c>
      <c r="I142" s="11">
        <f t="shared" ca="1" si="17"/>
        <v>24.965020389011141</v>
      </c>
      <c r="J142" s="11">
        <f t="shared" ca="1" si="18"/>
        <v>-21.376587847182776</v>
      </c>
      <c r="K142" s="11">
        <f t="shared" ca="1" si="19"/>
        <v>4.0312372772376888</v>
      </c>
      <c r="L142" s="20">
        <f t="shared" ca="1" si="20"/>
        <v>-0.4428047354093243</v>
      </c>
    </row>
    <row r="143" spans="4:12" x14ac:dyDescent="0.25">
      <c r="D143" s="22">
        <f t="shared" ca="1" si="22"/>
        <v>3.150598555028377E-2</v>
      </c>
      <c r="E143" s="11">
        <v>0.39166666666666666</v>
      </c>
      <c r="F143" s="11">
        <f t="shared" ca="1" si="23"/>
        <v>58.663687722771861</v>
      </c>
      <c r="G143" s="11">
        <f t="shared" ca="1" si="21"/>
        <v>3.5476551806301657</v>
      </c>
      <c r="H143" s="11">
        <f t="shared" ca="1" si="16"/>
        <v>0.42181228760673972</v>
      </c>
      <c r="I143" s="11">
        <f t="shared" ca="1" si="17"/>
        <v>24.745064317789812</v>
      </c>
      <c r="J143" s="11">
        <f t="shared" ca="1" si="18"/>
        <v>-21.197409137159646</v>
      </c>
      <c r="K143" s="11">
        <f t="shared" ca="1" si="19"/>
        <v>3.9802980137067245</v>
      </c>
      <c r="L143" s="20">
        <f t="shared" ca="1" si="20"/>
        <v>-0.43264283307655882</v>
      </c>
    </row>
    <row r="144" spans="4:12" x14ac:dyDescent="0.25">
      <c r="D144" s="22">
        <f t="shared" ca="1" si="22"/>
        <v>3.1818662829241229E-2</v>
      </c>
      <c r="E144" s="11">
        <v>0.39444444444444449</v>
      </c>
      <c r="F144" s="11">
        <f t="shared" ca="1" si="23"/>
        <v>58.491673905280898</v>
      </c>
      <c r="G144" s="11">
        <f t="shared" ca="1" si="21"/>
        <v>3.4732240192693808</v>
      </c>
      <c r="H144" s="11">
        <f t="shared" ca="1" si="16"/>
        <v>0.41777026343122448</v>
      </c>
      <c r="I144" s="11">
        <f t="shared" ca="1" si="17"/>
        <v>24.436082015942478</v>
      </c>
      <c r="J144" s="11">
        <f t="shared" ca="1" si="18"/>
        <v>-20.962857996673097</v>
      </c>
      <c r="K144" s="11">
        <f t="shared" ca="1" si="19"/>
        <v>3.9116282677494061</v>
      </c>
      <c r="L144" s="20">
        <f t="shared" ca="1" si="20"/>
        <v>-0.43840424848002524</v>
      </c>
    </row>
    <row r="145" spans="4:12" x14ac:dyDescent="0.25">
      <c r="D145" s="22">
        <f t="shared" ca="1" si="22"/>
        <v>3.1914401392454779E-2</v>
      </c>
      <c r="E145" s="11">
        <v>0.39722222222222225</v>
      </c>
      <c r="F145" s="11">
        <f t="shared" ca="1" si="23"/>
        <v>58.499342718290102</v>
      </c>
      <c r="G145" s="11">
        <f t="shared" ca="1" si="21"/>
        <v>3.4745693581896901</v>
      </c>
      <c r="H145" s="11">
        <f t="shared" ca="1" si="16"/>
        <v>0.41791687849939313</v>
      </c>
      <c r="I145" s="11">
        <f t="shared" ca="1" si="17"/>
        <v>24.447862703094003</v>
      </c>
      <c r="J145" s="11">
        <f t="shared" ca="1" si="18"/>
        <v>-20.973293344904313</v>
      </c>
      <c r="K145" s="11">
        <f t="shared" ca="1" si="19"/>
        <v>3.91115925628523</v>
      </c>
      <c r="L145" s="20">
        <f t="shared" ca="1" si="20"/>
        <v>-0.43658989809553983</v>
      </c>
    </row>
    <row r="146" spans="4:12" x14ac:dyDescent="0.25">
      <c r="D146" s="22">
        <f t="shared" ca="1" si="22"/>
        <v>3.2386069862020979E-2</v>
      </c>
      <c r="E146" s="11">
        <v>0.4</v>
      </c>
      <c r="F146" s="11">
        <f t="shared" ca="1" si="23"/>
        <v>58.430393118441827</v>
      </c>
      <c r="G146" s="11">
        <f t="shared" ca="1" si="21"/>
        <v>3.4438672869328926</v>
      </c>
      <c r="H146" s="11">
        <f t="shared" ca="1" si="16"/>
        <v>0.41696888023008144</v>
      </c>
      <c r="I146" s="11">
        <f t="shared" ca="1" si="17"/>
        <v>24.363655590000146</v>
      </c>
      <c r="J146" s="11">
        <f t="shared" ca="1" si="18"/>
        <v>-20.919788303067254</v>
      </c>
      <c r="K146" s="11">
        <f t="shared" ca="1" si="19"/>
        <v>3.8910234174192171</v>
      </c>
      <c r="L146" s="20">
        <f t="shared" ca="1" si="20"/>
        <v>-0.44715613048632452</v>
      </c>
    </row>
    <row r="147" spans="4:12" x14ac:dyDescent="0.25">
      <c r="D147" s="22">
        <f t="shared" ca="1" si="22"/>
        <v>3.2379247648619019E-2</v>
      </c>
      <c r="E147" s="11">
        <v>0.40277777777777779</v>
      </c>
      <c r="F147" s="11">
        <f t="shared" ca="1" si="23"/>
        <v>59.133172829874425</v>
      </c>
      <c r="G147" s="11">
        <f t="shared" ca="1" si="21"/>
        <v>3.7350228966208974</v>
      </c>
      <c r="H147" s="11">
        <f t="shared" ca="1" si="16"/>
        <v>0.43519853134600023</v>
      </c>
      <c r="I147" s="11">
        <f t="shared" ca="1" si="17"/>
        <v>25.734669969390556</v>
      </c>
      <c r="J147" s="11">
        <f t="shared" ca="1" si="18"/>
        <v>-21.999647072769658</v>
      </c>
      <c r="K147" s="11">
        <f t="shared" ca="1" si="19"/>
        <v>4.1832861905925203</v>
      </c>
      <c r="L147" s="20">
        <f t="shared" ca="1" si="20"/>
        <v>-0.4482632939716229</v>
      </c>
    </row>
    <row r="148" spans="4:12" x14ac:dyDescent="0.25">
      <c r="D148" s="22">
        <f t="shared" ca="1" si="22"/>
        <v>3.3306815960238656E-2</v>
      </c>
      <c r="E148" s="11">
        <v>0.40555555555555556</v>
      </c>
      <c r="F148" s="11">
        <f t="shared" ca="1" si="23"/>
        <v>59.821374508362986</v>
      </c>
      <c r="G148" s="11">
        <f t="shared" ca="1" si="21"/>
        <v>4.0324917783318419</v>
      </c>
      <c r="H148" s="11">
        <f t="shared" ca="1" si="16"/>
        <v>0.45533312116424146</v>
      </c>
      <c r="I148" s="11">
        <f t="shared" ca="1" si="17"/>
        <v>27.238653167227909</v>
      </c>
      <c r="J148" s="11">
        <f t="shared" ca="1" si="18"/>
        <v>-23.206161388896067</v>
      </c>
      <c r="K148" s="11">
        <f t="shared" ca="1" si="19"/>
        <v>4.5153008576877207</v>
      </c>
      <c r="L148" s="20">
        <f t="shared" ca="1" si="20"/>
        <v>-0.4828090793558788</v>
      </c>
    </row>
    <row r="149" spans="4:12" x14ac:dyDescent="0.25">
      <c r="D149" s="22">
        <f t="shared" ca="1" si="22"/>
        <v>3.3164481212780123E-2</v>
      </c>
      <c r="E149" s="11">
        <v>0.40833333333333333</v>
      </c>
      <c r="F149" s="11">
        <f t="shared" ca="1" si="23"/>
        <v>59.598921443881338</v>
      </c>
      <c r="G149" s="11">
        <f t="shared" ca="1" si="21"/>
        <v>3.9290635975172741</v>
      </c>
      <c r="H149" s="11">
        <f t="shared" ca="1" si="16"/>
        <v>0.44885851831767071</v>
      </c>
      <c r="I149" s="11">
        <f t="shared" ca="1" si="17"/>
        <v>26.75148357263183</v>
      </c>
      <c r="J149" s="11">
        <f t="shared" ca="1" si="18"/>
        <v>-22.822419975114556</v>
      </c>
      <c r="K149" s="11">
        <f t="shared" ca="1" si="19"/>
        <v>4.4023351489753129</v>
      </c>
      <c r="L149" s="20">
        <f t="shared" ca="1" si="20"/>
        <v>-0.47327155145803879</v>
      </c>
    </row>
    <row r="150" spans="4:12" x14ac:dyDescent="0.25">
      <c r="D150" s="22">
        <f t="shared" ca="1" si="22"/>
        <v>3.3379675549888778E-2</v>
      </c>
      <c r="E150" s="11">
        <v>0.41111111111111115</v>
      </c>
      <c r="F150" s="11">
        <f t="shared" ca="1" si="23"/>
        <v>59.087837096368752</v>
      </c>
      <c r="G150" s="11">
        <f t="shared" ca="1" si="21"/>
        <v>3.6975428115215685</v>
      </c>
      <c r="H150" s="11">
        <f t="shared" ca="1" si="16"/>
        <v>0.43563328414087021</v>
      </c>
      <c r="I150" s="11">
        <f t="shared" ca="1" si="17"/>
        <v>25.740628527071859</v>
      </c>
      <c r="J150" s="11">
        <f t="shared" ca="1" si="18"/>
        <v>-22.043085715550291</v>
      </c>
      <c r="K150" s="11">
        <f t="shared" ca="1" si="19"/>
        <v>4.1766317130478559</v>
      </c>
      <c r="L150" s="20">
        <f t="shared" ca="1" si="20"/>
        <v>-0.47908890152628736</v>
      </c>
    </row>
    <row r="151" spans="4:12" x14ac:dyDescent="0.25">
      <c r="D151" s="22">
        <f t="shared" ca="1" si="22"/>
        <v>3.3324415854341809E-2</v>
      </c>
      <c r="E151" s="11">
        <v>0.41388888888888892</v>
      </c>
      <c r="F151" s="11">
        <f t="shared" ca="1" si="23"/>
        <v>57.76872043319036</v>
      </c>
      <c r="G151" s="11">
        <f t="shared" ca="1" si="21"/>
        <v>3.1208511125010645</v>
      </c>
      <c r="H151" s="11">
        <f t="shared" ca="1" si="16"/>
        <v>0.40022520557041125</v>
      </c>
      <c r="I151" s="11">
        <f t="shared" ca="1" si="17"/>
        <v>23.120498010913227</v>
      </c>
      <c r="J151" s="11">
        <f t="shared" ca="1" si="18"/>
        <v>-19.999646898412163</v>
      </c>
      <c r="K151" s="11">
        <f t="shared" ca="1" si="19"/>
        <v>3.6165824092816394</v>
      </c>
      <c r="L151" s="20">
        <f t="shared" ca="1" si="20"/>
        <v>-0.49573129678057493</v>
      </c>
    </row>
    <row r="152" spans="4:12" x14ac:dyDescent="0.25">
      <c r="D152" s="22">
        <f t="shared" ca="1" si="22"/>
        <v>3.3498623032720873E-2</v>
      </c>
      <c r="E152" s="11">
        <v>0.41666666666666669</v>
      </c>
      <c r="F152" s="11">
        <f t="shared" ca="1" si="23"/>
        <v>57.808806665183717</v>
      </c>
      <c r="G152" s="11">
        <f t="shared" ca="1" si="21"/>
        <v>3.1350335445975333</v>
      </c>
      <c r="H152" s="11">
        <f t="shared" ca="1" si="16"/>
        <v>0.40140115246875829</v>
      </c>
      <c r="I152" s="11">
        <f t="shared" ca="1" si="17"/>
        <v>23.204521618248378</v>
      </c>
      <c r="J152" s="11">
        <f t="shared" ca="1" si="18"/>
        <v>-20.069488073650845</v>
      </c>
      <c r="K152" s="11">
        <f t="shared" ca="1" si="19"/>
        <v>3.6313010353875108</v>
      </c>
      <c r="L152" s="20">
        <f t="shared" ca="1" si="20"/>
        <v>-0.49626749078997756</v>
      </c>
    </row>
    <row r="153" spans="4:12" x14ac:dyDescent="0.25">
      <c r="D153" s="22">
        <f t="shared" ca="1" si="22"/>
        <v>3.3280292452250962E-2</v>
      </c>
      <c r="E153" s="11">
        <v>0.41944444444444445</v>
      </c>
      <c r="F153" s="11">
        <f t="shared" ca="1" si="23"/>
        <v>57.434960821906387</v>
      </c>
      <c r="G153" s="11">
        <f t="shared" ca="1" si="21"/>
        <v>2.9831159775204839</v>
      </c>
      <c r="H153" s="11">
        <f t="shared" ca="1" si="16"/>
        <v>0.39061828376772972</v>
      </c>
      <c r="I153" s="11">
        <f t="shared" ca="1" si="17"/>
        <v>22.435145824519868</v>
      </c>
      <c r="J153" s="11">
        <f t="shared" ca="1" si="18"/>
        <v>-19.452029846999384</v>
      </c>
      <c r="K153" s="11">
        <f t="shared" ca="1" si="19"/>
        <v>3.4699086287544678</v>
      </c>
      <c r="L153" s="20">
        <f t="shared" ca="1" si="20"/>
        <v>-0.48679265123398396</v>
      </c>
    </row>
    <row r="154" spans="4:12" x14ac:dyDescent="0.25">
      <c r="D154" s="22">
        <f t="shared" ca="1" si="22"/>
        <v>3.2920656883846711E-2</v>
      </c>
      <c r="E154" s="11">
        <v>0.42222222222222222</v>
      </c>
      <c r="F154" s="11">
        <f t="shared" ca="1" si="23"/>
        <v>57.554018221086807</v>
      </c>
      <c r="G154" s="11">
        <f t="shared" ca="1" si="21"/>
        <v>3.0278430775663381</v>
      </c>
      <c r="H154" s="11">
        <f t="shared" ca="1" si="16"/>
        <v>0.39259678700207895</v>
      </c>
      <c r="I154" s="11">
        <f t="shared" ca="1" si="17"/>
        <v>22.595522632657786</v>
      </c>
      <c r="J154" s="11">
        <f t="shared" ca="1" si="18"/>
        <v>-19.567679555091448</v>
      </c>
      <c r="K154" s="11">
        <f t="shared" ca="1" si="19"/>
        <v>3.4990927197001636</v>
      </c>
      <c r="L154" s="20">
        <f t="shared" ca="1" si="20"/>
        <v>-0.47124964213382547</v>
      </c>
    </row>
    <row r="155" spans="4:12" x14ac:dyDescent="0.25">
      <c r="D155" s="22">
        <f t="shared" ca="1" si="22"/>
        <v>3.3183005647567897E-2</v>
      </c>
      <c r="E155" s="11">
        <v>0.42499999999999999</v>
      </c>
      <c r="F155" s="11">
        <f t="shared" ca="1" si="23"/>
        <v>57.984214418993112</v>
      </c>
      <c r="G155" s="11">
        <f t="shared" ca="1" si="21"/>
        <v>3.1949329883465616</v>
      </c>
      <c r="H155" s="11">
        <f t="shared" ca="1" si="16"/>
        <v>0.40436374988970741</v>
      </c>
      <c r="I155" s="11">
        <f t="shared" ca="1" si="17"/>
        <v>23.446714376872897</v>
      </c>
      <c r="J155" s="11">
        <f t="shared" ca="1" si="18"/>
        <v>-20.251781388526336</v>
      </c>
      <c r="K155" s="11">
        <f t="shared" ca="1" si="19"/>
        <v>3.6718370485656586</v>
      </c>
      <c r="L155" s="20">
        <f t="shared" ca="1" si="20"/>
        <v>-0.47690406021909704</v>
      </c>
    </row>
    <row r="156" spans="4:12" x14ac:dyDescent="0.25">
      <c r="D156" s="22">
        <f t="shared" ca="1" si="22"/>
        <v>3.3336050305639707E-2</v>
      </c>
      <c r="E156" s="11">
        <v>0.42777777777777781</v>
      </c>
      <c r="F156" s="11">
        <f t="shared" ca="1" si="23"/>
        <v>59.159278831977645</v>
      </c>
      <c r="G156" s="11">
        <f t="shared" ca="1" si="21"/>
        <v>3.6682110361263938</v>
      </c>
      <c r="H156" s="11">
        <f t="shared" ca="1" si="16"/>
        <v>0.43568865676001278</v>
      </c>
      <c r="I156" s="11">
        <f t="shared" ca="1" si="17"/>
        <v>25.7750267291954</v>
      </c>
      <c r="J156" s="11">
        <f t="shared" ca="1" si="18"/>
        <v>-22.106815693069006</v>
      </c>
      <c r="K156" s="11">
        <f t="shared" ca="1" si="19"/>
        <v>4.1634038985429607</v>
      </c>
      <c r="L156" s="20">
        <f t="shared" ca="1" si="20"/>
        <v>-0.4951928624165669</v>
      </c>
    </row>
    <row r="157" spans="4:12" x14ac:dyDescent="0.25">
      <c r="D157" s="22">
        <f t="shared" ca="1" si="22"/>
        <v>3.3019630790313205E-2</v>
      </c>
      <c r="E157" s="11">
        <v>0.43055555555555558</v>
      </c>
      <c r="F157" s="11">
        <f t="shared" ca="1" si="23"/>
        <v>58.698122214817417</v>
      </c>
      <c r="G157" s="11">
        <f t="shared" ca="1" si="21"/>
        <v>3.4652625724578883</v>
      </c>
      <c r="H157" s="11">
        <f t="shared" ca="1" si="16"/>
        <v>0.42236014312895431</v>
      </c>
      <c r="I157" s="11">
        <f t="shared" ca="1" si="17"/>
        <v>24.791747300051139</v>
      </c>
      <c r="J157" s="11">
        <f t="shared" ca="1" si="18"/>
        <v>-21.32648472759325</v>
      </c>
      <c r="K157" s="11">
        <f t="shared" ca="1" si="19"/>
        <v>3.9479202212132547</v>
      </c>
      <c r="L157" s="20">
        <f t="shared" ca="1" si="20"/>
        <v>-0.48265764875536643</v>
      </c>
    </row>
    <row r="158" spans="4:12" x14ac:dyDescent="0.25">
      <c r="D158" s="22">
        <f t="shared" ca="1" si="22"/>
        <v>3.3170690158663051E-2</v>
      </c>
      <c r="E158" s="11">
        <v>0.43333333333333335</v>
      </c>
      <c r="F158" s="11">
        <f t="shared" ca="1" si="23"/>
        <v>57.465962970678234</v>
      </c>
      <c r="G158" s="11">
        <f t="shared" ca="1" si="21"/>
        <v>2.9428824877207909</v>
      </c>
      <c r="H158" s="11">
        <f t="shared" ca="1" si="16"/>
        <v>0.38957667252541966</v>
      </c>
      <c r="I158" s="11">
        <f t="shared" ca="1" si="17"/>
        <v>22.387398637585807</v>
      </c>
      <c r="J158" s="11">
        <f t="shared" ca="1" si="18"/>
        <v>-19.444516149865017</v>
      </c>
      <c r="K158" s="11">
        <f t="shared" ca="1" si="19"/>
        <v>3.4455802475601711</v>
      </c>
      <c r="L158" s="20">
        <f t="shared" ca="1" si="20"/>
        <v>-0.50269775983938025</v>
      </c>
    </row>
    <row r="159" spans="4:12" x14ac:dyDescent="0.25">
      <c r="D159" s="22">
        <f t="shared" ca="1" si="22"/>
        <v>3.3564314198642704E-2</v>
      </c>
      <c r="E159" s="11">
        <v>0.43611111111111112</v>
      </c>
      <c r="F159" s="11">
        <f t="shared" ca="1" si="23"/>
        <v>56.750369271047241</v>
      </c>
      <c r="G159" s="11">
        <f t="shared" ca="1" si="21"/>
        <v>2.6622908967975292</v>
      </c>
      <c r="H159" s="11">
        <f t="shared" ca="1" si="16"/>
        <v>0.37111520811834747</v>
      </c>
      <c r="I159" s="11">
        <f t="shared" ca="1" si="17"/>
        <v>21.06092510281777</v>
      </c>
      <c r="J159" s="11">
        <f t="shared" ca="1" si="18"/>
        <v>-18.39863420602024</v>
      </c>
      <c r="K159" s="11">
        <f t="shared" ca="1" si="19"/>
        <v>3.178215623726524</v>
      </c>
      <c r="L159" s="20">
        <f t="shared" ca="1" si="20"/>
        <v>-0.51592472692899483</v>
      </c>
    </row>
    <row r="160" spans="4:12" x14ac:dyDescent="0.25">
      <c r="D160" s="22">
        <f t="shared" ca="1" si="22"/>
        <v>3.3850200915405936E-2</v>
      </c>
      <c r="E160" s="11">
        <v>0.43888888888888888</v>
      </c>
      <c r="F160" s="11">
        <f t="shared" ca="1" si="23"/>
        <v>56.451471369560544</v>
      </c>
      <c r="G160" s="11">
        <f t="shared" ca="1" si="21"/>
        <v>2.5496352655876393</v>
      </c>
      <c r="H160" s="11">
        <f t="shared" ca="1" si="16"/>
        <v>0.36349372765095656</v>
      </c>
      <c r="I160" s="11">
        <f t="shared" ca="1" si="17"/>
        <v>20.519755759502811</v>
      </c>
      <c r="J160" s="11">
        <f t="shared" ca="1" si="18"/>
        <v>-17.970120493915172</v>
      </c>
      <c r="K160" s="11">
        <f t="shared" ca="1" si="19"/>
        <v>3.069928696801739</v>
      </c>
      <c r="L160" s="20">
        <f t="shared" ca="1" si="20"/>
        <v>-0.52029343121409966</v>
      </c>
    </row>
    <row r="161" spans="4:12" x14ac:dyDescent="0.25">
      <c r="D161" s="22">
        <f t="shared" ca="1" si="22"/>
        <v>3.4217350884600053E-2</v>
      </c>
      <c r="E161" s="11">
        <v>0.44166666666666671</v>
      </c>
      <c r="F161" s="11">
        <f t="shared" ca="1" si="23"/>
        <v>58.202587272931048</v>
      </c>
      <c r="G161" s="11">
        <f t="shared" ca="1" si="21"/>
        <v>3.1844468041265657</v>
      </c>
      <c r="H161" s="11">
        <f t="shared" ca="1" si="16"/>
        <v>0.41083516321337099</v>
      </c>
      <c r="I161" s="11">
        <f t="shared" ca="1" si="17"/>
        <v>23.911669441715095</v>
      </c>
      <c r="J161" s="11">
        <f t="shared" ca="1" si="18"/>
        <v>-20.727222637588529</v>
      </c>
      <c r="K161" s="11">
        <f t="shared" ca="1" si="19"/>
        <v>3.751957022802221</v>
      </c>
      <c r="L161" s="20">
        <f t="shared" ca="1" si="20"/>
        <v>-0.56751021867565532</v>
      </c>
    </row>
    <row r="162" spans="4:12" x14ac:dyDescent="0.25">
      <c r="D162" s="22">
        <f t="shared" ca="1" si="22"/>
        <v>3.4237498097021229E-2</v>
      </c>
      <c r="E162" s="11">
        <v>0.44444444444444448</v>
      </c>
      <c r="F162" s="11">
        <f t="shared" ca="1" si="23"/>
        <v>59.092669755185426</v>
      </c>
      <c r="G162" s="11">
        <f t="shared" ca="1" si="21"/>
        <v>3.5481526471304328</v>
      </c>
      <c r="H162" s="11">
        <f t="shared" ca="1" si="16"/>
        <v>0.43438038949403085</v>
      </c>
      <c r="I162" s="11">
        <f t="shared" ca="1" si="17"/>
        <v>25.668696904499583</v>
      </c>
      <c r="J162" s="11">
        <f t="shared" ca="1" si="18"/>
        <v>-22.120544257369151</v>
      </c>
      <c r="K162" s="11">
        <f t="shared" ca="1" si="19"/>
        <v>4.121677924275672</v>
      </c>
      <c r="L162" s="20">
        <f t="shared" ca="1" si="20"/>
        <v>-0.57352527714523927</v>
      </c>
    </row>
    <row r="163" spans="4:12" x14ac:dyDescent="0.25">
      <c r="D163" s="22">
        <f t="shared" ca="1" si="22"/>
        <v>3.4569930527222577E-2</v>
      </c>
      <c r="E163" s="11">
        <v>0.44722222222222224</v>
      </c>
      <c r="F163" s="11">
        <f t="shared" ca="1" si="23"/>
        <v>58.832037065318687</v>
      </c>
      <c r="G163" s="11">
        <f t="shared" ca="1" si="21"/>
        <v>3.4328146333584719</v>
      </c>
      <c r="H163" s="11">
        <f t="shared" ca="1" si="16"/>
        <v>0.42792855694750931</v>
      </c>
      <c r="I163" s="11">
        <f t="shared" ca="1" si="17"/>
        <v>25.175908723644206</v>
      </c>
      <c r="J163" s="11">
        <f t="shared" ca="1" si="18"/>
        <v>-21.743094090285734</v>
      </c>
      <c r="K163" s="11">
        <f t="shared" ca="1" si="19"/>
        <v>4.0131338164409875</v>
      </c>
      <c r="L163" s="20">
        <f t="shared" ca="1" si="20"/>
        <v>-0.58031918308251562</v>
      </c>
    </row>
    <row r="164" spans="4:12" x14ac:dyDescent="0.25">
      <c r="D164" s="22">
        <f t="shared" ca="1" si="22"/>
        <v>3.4306677467463173E-2</v>
      </c>
      <c r="E164" s="11">
        <v>0.45</v>
      </c>
      <c r="F164" s="11">
        <f t="shared" ca="1" si="23"/>
        <v>57.561351950404053</v>
      </c>
      <c r="G164" s="11">
        <f t="shared" ca="1" si="21"/>
        <v>2.886980050077316</v>
      </c>
      <c r="H164" s="11">
        <f t="shared" ca="1" si="16"/>
        <v>0.39290605243609755</v>
      </c>
      <c r="I164" s="11">
        <f t="shared" ca="1" si="17"/>
        <v>22.61620356771812</v>
      </c>
      <c r="J164" s="11">
        <f t="shared" ca="1" si="18"/>
        <v>-19.729223517640804</v>
      </c>
      <c r="K164" s="11">
        <f t="shared" ca="1" si="19"/>
        <v>3.4764116965638561</v>
      </c>
      <c r="L164" s="20">
        <f t="shared" ca="1" si="20"/>
        <v>-0.58943164648654012</v>
      </c>
    </row>
    <row r="165" spans="4:12" x14ac:dyDescent="0.25">
      <c r="D165" s="22">
        <f t="shared" ca="1" si="22"/>
        <v>3.4154067657263046E-2</v>
      </c>
      <c r="E165" s="11">
        <v>0.45277777777777778</v>
      </c>
      <c r="F165" s="11">
        <f t="shared" ca="1" si="23"/>
        <v>56.668899886301503</v>
      </c>
      <c r="G165" s="11">
        <f t="shared" ca="1" si="21"/>
        <v>2.5344583848047009</v>
      </c>
      <c r="H165" s="11">
        <f t="shared" ca="1" si="16"/>
        <v>0.36829848981632451</v>
      </c>
      <c r="I165" s="11">
        <f t="shared" ca="1" si="17"/>
        <v>20.871070247677327</v>
      </c>
      <c r="J165" s="11">
        <f t="shared" ca="1" si="18"/>
        <v>-18.336611862872626</v>
      </c>
      <c r="K165" s="11">
        <f t="shared" ca="1" si="19"/>
        <v>3.1257799387407692</v>
      </c>
      <c r="L165" s="20">
        <f t="shared" ca="1" si="20"/>
        <v>-0.59132155393606833</v>
      </c>
    </row>
    <row r="166" spans="4:12" x14ac:dyDescent="0.25">
      <c r="D166" s="22">
        <f t="shared" ca="1" si="22"/>
        <v>3.3681039424663731E-2</v>
      </c>
      <c r="E166" s="11">
        <v>0.45555555555555555</v>
      </c>
      <c r="F166" s="11">
        <f t="shared" ca="1" si="23"/>
        <v>56.031048149528843</v>
      </c>
      <c r="G166" s="11">
        <f t="shared" ca="1" si="21"/>
        <v>2.297822928317288</v>
      </c>
      <c r="H166" s="11">
        <f t="shared" ca="1" si="16"/>
        <v>0.34984004803639973</v>
      </c>
      <c r="I166" s="11">
        <f t="shared" ca="1" si="17"/>
        <v>19.601904576160997</v>
      </c>
      <c r="J166" s="11">
        <f t="shared" ca="1" si="18"/>
        <v>-17.304081647843709</v>
      </c>
      <c r="K166" s="11">
        <f t="shared" ca="1" si="19"/>
        <v>2.8778221375881965</v>
      </c>
      <c r="L166" s="20">
        <f t="shared" ca="1" si="20"/>
        <v>-0.57999920927090853</v>
      </c>
    </row>
    <row r="167" spans="4:12" x14ac:dyDescent="0.25">
      <c r="D167" s="22">
        <f t="shared" ca="1" si="22"/>
        <v>3.3151327735912769E-2</v>
      </c>
      <c r="E167" s="11">
        <v>0.45833333333333337</v>
      </c>
      <c r="F167" s="11">
        <f t="shared" ca="1" si="23"/>
        <v>56.141332452580237</v>
      </c>
      <c r="G167" s="11">
        <f t="shared" ca="1" si="21"/>
        <v>2.3348112394841749</v>
      </c>
      <c r="H167" s="11">
        <f t="shared" ca="1" si="16"/>
        <v>0.35120456601644845</v>
      </c>
      <c r="I167" s="11">
        <f t="shared" ca="1" si="17"/>
        <v>19.717092299593595</v>
      </c>
      <c r="J167" s="11">
        <f t="shared" ca="1" si="18"/>
        <v>-17.38228106010942</v>
      </c>
      <c r="K167" s="11">
        <f t="shared" ca="1" si="19"/>
        <v>2.8965651461536344</v>
      </c>
      <c r="L167" s="20">
        <f t="shared" ca="1" si="20"/>
        <v>-0.56175390666945946</v>
      </c>
    </row>
    <row r="168" spans="4:12" x14ac:dyDescent="0.25">
      <c r="D168" s="22">
        <f t="shared" ca="1" si="22"/>
        <v>3.3492921530366128E-2</v>
      </c>
      <c r="E168" s="11">
        <v>0.46111111111111114</v>
      </c>
      <c r="F168" s="11">
        <f t="shared" ca="1" si="23"/>
        <v>55.804163252254909</v>
      </c>
      <c r="G168" s="11">
        <f t="shared" ca="1" si="21"/>
        <v>2.2147786255365283</v>
      </c>
      <c r="H168" s="11">
        <f t="shared" ca="1" si="16"/>
        <v>0.34267596008862317</v>
      </c>
      <c r="I168" s="11">
        <f t="shared" ca="1" si="17"/>
        <v>19.122745219408714</v>
      </c>
      <c r="J168" s="11">
        <f t="shared" ca="1" si="18"/>
        <v>-16.907966593872185</v>
      </c>
      <c r="K168" s="11">
        <f t="shared" ca="1" si="19"/>
        <v>2.7821515424694683</v>
      </c>
      <c r="L168" s="20">
        <f t="shared" ca="1" si="20"/>
        <v>-0.56737291693294001</v>
      </c>
    </row>
    <row r="169" spans="4:12" x14ac:dyDescent="0.25">
      <c r="D169" s="22">
        <f t="shared" ca="1" si="22"/>
        <v>3.3525262313366506E-2</v>
      </c>
      <c r="E169" s="11">
        <v>0.46388888888888891</v>
      </c>
      <c r="F169" s="11">
        <f t="shared" ca="1" si="23"/>
        <v>54.88989090209521</v>
      </c>
      <c r="G169" s="11">
        <f t="shared" ca="1" si="21"/>
        <v>1.8999048301354442</v>
      </c>
      <c r="H169" s="11">
        <f t="shared" ca="1" si="16"/>
        <v>0.31825701507182957</v>
      </c>
      <c r="I169" s="11">
        <f t="shared" ca="1" si="17"/>
        <v>17.469092836119195</v>
      </c>
      <c r="J169" s="11">
        <f t="shared" ca="1" si="18"/>
        <v>-15.569188005983751</v>
      </c>
      <c r="K169" s="11">
        <f t="shared" ca="1" si="19"/>
        <v>2.4748653131757186</v>
      </c>
      <c r="L169" s="20">
        <f t="shared" ca="1" si="20"/>
        <v>-0.57496048304027436</v>
      </c>
    </row>
    <row r="170" spans="4:12" x14ac:dyDescent="0.25">
      <c r="D170" s="22">
        <f t="shared" ca="1" si="22"/>
        <v>3.3854555363210179E-2</v>
      </c>
      <c r="E170" s="11">
        <v>0.46666666666666667</v>
      </c>
      <c r="F170" s="11">
        <f t="shared" ca="1" si="23"/>
        <v>55.432516324916868</v>
      </c>
      <c r="G170" s="11">
        <f t="shared" ca="1" si="21"/>
        <v>2.0711349754995485</v>
      </c>
      <c r="H170" s="11">
        <f t="shared" ca="1" si="16"/>
        <v>0.33292643280602124</v>
      </c>
      <c r="I170" s="11">
        <f t="shared" ca="1" si="17"/>
        <v>18.454949921516111</v>
      </c>
      <c r="J170" s="11">
        <f t="shared" ca="1" si="18"/>
        <v>-16.383814946016564</v>
      </c>
      <c r="K170" s="11">
        <f t="shared" ca="1" si="19"/>
        <v>2.6534181367430265</v>
      </c>
      <c r="L170" s="20">
        <f t="shared" ca="1" si="20"/>
        <v>-0.58228316124347801</v>
      </c>
    </row>
    <row r="171" spans="4:12" x14ac:dyDescent="0.25">
      <c r="D171" s="22">
        <f t="shared" ca="1" si="22"/>
        <v>3.4259542106556684E-2</v>
      </c>
      <c r="E171" s="11">
        <v>0.46944444444444444</v>
      </c>
      <c r="F171" s="11">
        <f t="shared" ca="1" si="23"/>
        <v>55.459505562189477</v>
      </c>
      <c r="G171" s="11">
        <f t="shared" ca="1" si="21"/>
        <v>2.0785611595802074</v>
      </c>
      <c r="H171" s="11">
        <f t="shared" ca="1" si="16"/>
        <v>0.33419069395863937</v>
      </c>
      <c r="I171" s="11">
        <f t="shared" ca="1" si="17"/>
        <v>18.534050650431123</v>
      </c>
      <c r="J171" s="11">
        <f t="shared" ca="1" si="18"/>
        <v>-16.455489490850916</v>
      </c>
      <c r="K171" s="11">
        <f t="shared" ca="1" si="19"/>
        <v>2.6662210146644552</v>
      </c>
      <c r="L171" s="20">
        <f t="shared" ca="1" si="20"/>
        <v>-0.58765985508424778</v>
      </c>
    </row>
    <row r="172" spans="4:12" x14ac:dyDescent="0.25">
      <c r="D172" s="22">
        <f t="shared" ca="1" si="22"/>
        <v>3.4074483978566619E-2</v>
      </c>
      <c r="E172" s="11">
        <v>0.47222222222222227</v>
      </c>
      <c r="F172" s="11">
        <f t="shared" ca="1" si="23"/>
        <v>56.056730490468397</v>
      </c>
      <c r="G172" s="11">
        <f t="shared" ca="1" si="21"/>
        <v>2.2765905648946365</v>
      </c>
      <c r="H172" s="11">
        <f t="shared" ca="1" si="16"/>
        <v>0.34930976435144906</v>
      </c>
      <c r="I172" s="11">
        <f t="shared" ca="1" si="17"/>
        <v>19.581163317938206</v>
      </c>
      <c r="J172" s="11">
        <f t="shared" ca="1" si="18"/>
        <v>-17.304572753043569</v>
      </c>
      <c r="K172" s="11">
        <f t="shared" ca="1" si="19"/>
        <v>2.8595620912487085</v>
      </c>
      <c r="L172" s="20">
        <f t="shared" ca="1" si="20"/>
        <v>-0.58297152635407201</v>
      </c>
    </row>
    <row r="173" spans="4:12" x14ac:dyDescent="0.25">
      <c r="D173" s="22">
        <f t="shared" ca="1" si="22"/>
        <v>3.4343256930833635E-2</v>
      </c>
      <c r="E173" s="11">
        <v>0.47500000000000003</v>
      </c>
      <c r="F173" s="11">
        <f t="shared" ca="1" si="23"/>
        <v>55.18262345129439</v>
      </c>
      <c r="G173" s="11">
        <f t="shared" ca="1" si="21"/>
        <v>1.969605541755282</v>
      </c>
      <c r="H173" s="11">
        <f t="shared" ca="1" si="16"/>
        <v>0.3263125387766842</v>
      </c>
      <c r="I173" s="11">
        <f t="shared" ca="1" si="17"/>
        <v>18.006781954749663</v>
      </c>
      <c r="J173" s="11">
        <f t="shared" ca="1" si="18"/>
        <v>-16.037176412994381</v>
      </c>
      <c r="K173" s="11">
        <f t="shared" ca="1" si="19"/>
        <v>2.564792053446777</v>
      </c>
      <c r="L173" s="20">
        <f t="shared" ca="1" si="20"/>
        <v>-0.59518651169149495</v>
      </c>
    </row>
    <row r="174" spans="4:12" x14ac:dyDescent="0.25">
      <c r="D174" s="22">
        <f t="shared" ca="1" si="22"/>
        <v>3.4257138605799674E-2</v>
      </c>
      <c r="E174" s="11">
        <v>0.4777777777777778</v>
      </c>
      <c r="F174" s="11">
        <f t="shared" ca="1" si="23"/>
        <v>55.370416559121573</v>
      </c>
      <c r="G174" s="11">
        <f t="shared" ca="1" si="21"/>
        <v>2.0293586377696542</v>
      </c>
      <c r="H174" s="11">
        <f t="shared" ca="1" si="16"/>
        <v>0.33072796777493896</v>
      </c>
      <c r="I174" s="11">
        <f t="shared" ca="1" si="17"/>
        <v>18.312545343450108</v>
      </c>
      <c r="J174" s="11">
        <f t="shared" ca="1" si="18"/>
        <v>-16.283186705680453</v>
      </c>
      <c r="K174" s="11">
        <f t="shared" ca="1" si="19"/>
        <v>2.6184629296534245</v>
      </c>
      <c r="L174" s="20">
        <f t="shared" ca="1" si="20"/>
        <v>-0.58910429188377034</v>
      </c>
    </row>
    <row r="175" spans="4:12" x14ac:dyDescent="0.25">
      <c r="D175" s="22">
        <f t="shared" ca="1" si="22"/>
        <v>3.426197638968053E-2</v>
      </c>
      <c r="E175" s="11">
        <v>0.48055555555555557</v>
      </c>
      <c r="F175" s="11">
        <f t="shared" ca="1" si="23"/>
        <v>54.840565492757804</v>
      </c>
      <c r="G175" s="11">
        <f t="shared" ca="1" si="21"/>
        <v>1.8525722916252896</v>
      </c>
      <c r="H175" s="11">
        <f t="shared" ca="1" si="16"/>
        <v>0.31636503118569326</v>
      </c>
      <c r="I175" s="11">
        <f t="shared" ca="1" si="17"/>
        <v>17.349637212357376</v>
      </c>
      <c r="J175" s="11">
        <f t="shared" ca="1" si="18"/>
        <v>-15.497064920732086</v>
      </c>
      <c r="K175" s="11">
        <f t="shared" ca="1" si="19"/>
        <v>2.4412336477894736</v>
      </c>
      <c r="L175" s="20">
        <f t="shared" ca="1" si="20"/>
        <v>-0.58866135616418402</v>
      </c>
    </row>
    <row r="176" spans="4:12" x14ac:dyDescent="0.25">
      <c r="D176" s="22">
        <f t="shared" ca="1" si="22"/>
        <v>3.4434531020455066E-2</v>
      </c>
      <c r="E176" s="11">
        <v>0.48333333333333334</v>
      </c>
      <c r="F176" s="11">
        <f t="shared" ca="1" si="23"/>
        <v>54.13664876846299</v>
      </c>
      <c r="G176" s="11">
        <f t="shared" ca="1" si="21"/>
        <v>1.6283952671777406</v>
      </c>
      <c r="H176" s="11">
        <f t="shared" ca="1" si="16"/>
        <v>0.29794338453213776</v>
      </c>
      <c r="I176" s="11">
        <f t="shared" ca="1" si="17"/>
        <v>16.12965636130345</v>
      </c>
      <c r="J176" s="11">
        <f t="shared" ca="1" si="18"/>
        <v>-14.501261094125709</v>
      </c>
      <c r="K176" s="11">
        <f t="shared" ca="1" si="19"/>
        <v>2.22311835729499</v>
      </c>
      <c r="L176" s="20">
        <f t="shared" ca="1" si="20"/>
        <v>-0.59472309011724933</v>
      </c>
    </row>
    <row r="177" spans="4:12" x14ac:dyDescent="0.25">
      <c r="D177" s="22">
        <f t="shared" ca="1" si="22"/>
        <v>3.4579818755401379E-2</v>
      </c>
      <c r="E177" s="11">
        <v>0.4861111111111111</v>
      </c>
      <c r="F177" s="11">
        <f t="shared" ca="1" si="23"/>
        <v>53.948108949481245</v>
      </c>
      <c r="G177" s="11">
        <f t="shared" ca="1" si="21"/>
        <v>1.5708280891007416</v>
      </c>
      <c r="H177" s="11">
        <f t="shared" ca="1" si="16"/>
        <v>0.29297683841286304</v>
      </c>
      <c r="I177" s="11">
        <f t="shared" ca="1" si="17"/>
        <v>15.805546398371698</v>
      </c>
      <c r="J177" s="11">
        <f t="shared" ca="1" si="18"/>
        <v>-14.234718309270956</v>
      </c>
      <c r="K177" s="11">
        <f t="shared" ca="1" si="19"/>
        <v>2.1649138452178387</v>
      </c>
      <c r="L177" s="20">
        <f t="shared" ca="1" si="20"/>
        <v>-0.59408575611709713</v>
      </c>
    </row>
    <row r="178" spans="4:12" x14ac:dyDescent="0.25">
      <c r="D178" s="22">
        <f t="shared" ca="1" si="22"/>
        <v>3.5010456863226486E-2</v>
      </c>
      <c r="E178" s="11">
        <v>0.48888888888888893</v>
      </c>
      <c r="F178" s="11">
        <f t="shared" ca="1" si="23"/>
        <v>54.651409447226854</v>
      </c>
      <c r="G178" s="11">
        <f t="shared" ca="1" si="21"/>
        <v>1.77549443364728</v>
      </c>
      <c r="H178" s="11">
        <f t="shared" ca="1" si="16"/>
        <v>0.31189141652130031</v>
      </c>
      <c r="I178" s="11">
        <f t="shared" ca="1" si="17"/>
        <v>17.045305507381158</v>
      </c>
      <c r="J178" s="11">
        <f t="shared" ca="1" si="18"/>
        <v>-15.269811073733878</v>
      </c>
      <c r="K178" s="11">
        <f t="shared" ca="1" si="19"/>
        <v>2.3811662081661602</v>
      </c>
      <c r="L178" s="20">
        <f t="shared" ca="1" si="20"/>
        <v>-0.60567177451888021</v>
      </c>
    </row>
    <row r="179" spans="4:12" x14ac:dyDescent="0.25">
      <c r="D179" s="22">
        <f t="shared" ca="1" si="22"/>
        <v>3.5054325599515865E-2</v>
      </c>
      <c r="E179" s="11">
        <v>0.4916666666666667</v>
      </c>
      <c r="F179" s="11">
        <f t="shared" ca="1" si="23"/>
        <v>55.915226350911318</v>
      </c>
      <c r="G179" s="11">
        <f t="shared" ca="1" si="21"/>
        <v>2.1681811363202481</v>
      </c>
      <c r="H179" s="11">
        <f t="shared" ca="1" si="16"/>
        <v>0.34523182673099978</v>
      </c>
      <c r="I179" s="11">
        <f t="shared" ca="1" si="17"/>
        <v>19.303715735202449</v>
      </c>
      <c r="J179" s="11">
        <f t="shared" ca="1" si="18"/>
        <v>-17.135534598882202</v>
      </c>
      <c r="K179" s="11">
        <f t="shared" ca="1" si="19"/>
        <v>2.7913375099065565</v>
      </c>
      <c r="L179" s="20">
        <f t="shared" ca="1" si="20"/>
        <v>-0.62315637358630838</v>
      </c>
    </row>
    <row r="180" spans="4:12" x14ac:dyDescent="0.25">
      <c r="D180" s="22">
        <f t="shared" ca="1" si="22"/>
        <v>3.5042007000514686E-2</v>
      </c>
      <c r="E180" s="11">
        <v>0.49444444444444446</v>
      </c>
      <c r="F180" s="11">
        <f t="shared" ca="1" si="23"/>
        <v>56.035536140006357</v>
      </c>
      <c r="G180" s="11">
        <f t="shared" ca="1" si="21"/>
        <v>2.2080478691705068</v>
      </c>
      <c r="H180" s="11">
        <f t="shared" ca="1" si="16"/>
        <v>0.34807105867245602</v>
      </c>
      <c r="I180" s="11">
        <f t="shared" ca="1" si="17"/>
        <v>19.504348387530683</v>
      </c>
      <c r="J180" s="11">
        <f t="shared" ca="1" si="18"/>
        <v>-17.296300518360177</v>
      </c>
      <c r="K180" s="11">
        <f t="shared" ca="1" si="19"/>
        <v>2.8264443121477214</v>
      </c>
      <c r="L180" s="20">
        <f t="shared" ca="1" si="20"/>
        <v>-0.61839644297721463</v>
      </c>
    </row>
    <row r="181" spans="4:12" x14ac:dyDescent="0.25">
      <c r="D181" s="22">
        <f t="shared" ca="1" si="22"/>
        <v>3.5418163635568517E-2</v>
      </c>
      <c r="E181" s="11">
        <v>0.49722222222222223</v>
      </c>
      <c r="F181" s="11">
        <f t="shared" ca="1" si="23"/>
        <v>56.340701518261469</v>
      </c>
      <c r="G181" s="11">
        <f t="shared" ca="1" si="21"/>
        <v>2.3125653461773048</v>
      </c>
      <c r="H181" s="11">
        <f t="shared" ca="1" si="16"/>
        <v>0.35678707409517518</v>
      </c>
      <c r="I181" s="11">
        <f t="shared" ca="1" si="17"/>
        <v>20.101634047170105</v>
      </c>
      <c r="J181" s="11">
        <f t="shared" ca="1" si="18"/>
        <v>-17.7890687009928</v>
      </c>
      <c r="K181" s="11">
        <f t="shared" ca="1" si="19"/>
        <v>2.9371846994088031</v>
      </c>
      <c r="L181" s="20">
        <f t="shared" ca="1" si="20"/>
        <v>-0.62461935323149831</v>
      </c>
    </row>
    <row r="182" spans="4:12" x14ac:dyDescent="0.25">
      <c r="D182" s="22">
        <f t="shared" ca="1" si="22"/>
        <v>3.5376563689518158E-2</v>
      </c>
      <c r="E182" s="11">
        <v>0.5</v>
      </c>
      <c r="F182" s="11">
        <f t="shared" ca="1" si="23"/>
        <v>55.728027235497329</v>
      </c>
      <c r="G182" s="11">
        <f t="shared" ca="1" si="21"/>
        <v>2.0922228952237987</v>
      </c>
      <c r="H182" s="11">
        <f t="shared" ca="1" si="16"/>
        <v>0.33983225317167132</v>
      </c>
      <c r="I182" s="11">
        <f t="shared" ca="1" si="17"/>
        <v>18.938181060251324</v>
      </c>
      <c r="J182" s="11">
        <f t="shared" ca="1" si="18"/>
        <v>-16.845958165027525</v>
      </c>
      <c r="K182" s="11">
        <f t="shared" ca="1" si="19"/>
        <v>2.7164087515524988</v>
      </c>
      <c r="L182" s="20">
        <f t="shared" ca="1" si="20"/>
        <v>-0.62418585632870016</v>
      </c>
    </row>
    <row r="183" spans="4:12" x14ac:dyDescent="0.25">
      <c r="D183" s="22">
        <f t="shared" ca="1" si="22"/>
        <v>3.5910299951315824E-2</v>
      </c>
      <c r="E183" s="11">
        <v>0.50277777777777777</v>
      </c>
      <c r="F183" s="11">
        <f t="shared" ca="1" si="23"/>
        <v>56.389627160860314</v>
      </c>
      <c r="G183" s="11">
        <f t="shared" ca="1" si="21"/>
        <v>2.3153754063817722</v>
      </c>
      <c r="H183" s="11">
        <f t="shared" ca="1" si="16"/>
        <v>0.35851134433625087</v>
      </c>
      <c r="I183" s="11">
        <f t="shared" ca="1" si="17"/>
        <v>20.216321040059995</v>
      </c>
      <c r="J183" s="11">
        <f t="shared" ca="1" si="18"/>
        <v>-17.900945633678223</v>
      </c>
      <c r="K183" s="11">
        <f t="shared" ca="1" si="19"/>
        <v>2.9544355647306939</v>
      </c>
      <c r="L183" s="20">
        <f t="shared" ca="1" si="20"/>
        <v>-0.63906015834892171</v>
      </c>
    </row>
    <row r="184" spans="4:12" x14ac:dyDescent="0.25">
      <c r="D184" s="22">
        <f t="shared" ca="1" si="22"/>
        <v>3.6186748130829352E-2</v>
      </c>
      <c r="E184" s="11">
        <v>0.50555555555555554</v>
      </c>
      <c r="F184" s="11">
        <f t="shared" ca="1" si="23"/>
        <v>56.78327198842446</v>
      </c>
      <c r="G184" s="11">
        <f t="shared" ca="1" si="21"/>
        <v>2.4547020716780636</v>
      </c>
      <c r="H184" s="11">
        <f t="shared" ca="1" si="16"/>
        <v>0.36946517868736262</v>
      </c>
      <c r="I184" s="11">
        <f t="shared" ca="1" si="17"/>
        <v>20.979441731656355</v>
      </c>
      <c r="J184" s="11">
        <f t="shared" ca="1" si="18"/>
        <v>-18.524739659978291</v>
      </c>
      <c r="K184" s="11">
        <f t="shared" ca="1" si="19"/>
        <v>3.0983961613138589</v>
      </c>
      <c r="L184" s="20">
        <f t="shared" ca="1" si="20"/>
        <v>-0.64369408963579522</v>
      </c>
    </row>
    <row r="185" spans="4:12" x14ac:dyDescent="0.25">
      <c r="D185" s="22">
        <f t="shared" ca="1" si="22"/>
        <v>3.6248023946007568E-2</v>
      </c>
      <c r="E185" s="11">
        <v>0.5083333333333333</v>
      </c>
      <c r="F185" s="11">
        <f t="shared" ca="1" si="23"/>
        <v>56.798076616212889</v>
      </c>
      <c r="G185" s="11">
        <f t="shared" ca="1" si="21"/>
        <v>2.4583065355362734</v>
      </c>
      <c r="H185" s="11">
        <f t="shared" ca="1" si="16"/>
        <v>0.36965098468663005</v>
      </c>
      <c r="I185" s="11">
        <f t="shared" ca="1" si="17"/>
        <v>20.995464949489751</v>
      </c>
      <c r="J185" s="11">
        <f t="shared" ca="1" si="18"/>
        <v>-18.537158413953478</v>
      </c>
      <c r="K185" s="11">
        <f t="shared" ca="1" si="19"/>
        <v>3.0988316267513483</v>
      </c>
      <c r="L185" s="20">
        <f t="shared" ca="1" si="20"/>
        <v>-0.64052509121507484</v>
      </c>
    </row>
    <row r="186" spans="4:12" x14ac:dyDescent="0.25">
      <c r="D186" s="22">
        <f t="shared" ca="1" si="22"/>
        <v>3.6501891725045657E-2</v>
      </c>
      <c r="E186" s="11">
        <v>0.51111111111111118</v>
      </c>
      <c r="F186" s="11">
        <f t="shared" ca="1" si="23"/>
        <v>56.4256413521803</v>
      </c>
      <c r="G186" s="11">
        <f t="shared" ca="1" si="21"/>
        <v>2.3187558188595716</v>
      </c>
      <c r="H186" s="11">
        <f t="shared" ca="1" si="16"/>
        <v>0.35974618977792094</v>
      </c>
      <c r="I186" s="11">
        <f t="shared" ca="1" si="17"/>
        <v>20.298909482222356</v>
      </c>
      <c r="J186" s="11">
        <f t="shared" ca="1" si="18"/>
        <v>-17.980153663362785</v>
      </c>
      <c r="K186" s="11">
        <f t="shared" ca="1" si="19"/>
        <v>2.9630494771956073</v>
      </c>
      <c r="L186" s="20">
        <f t="shared" ca="1" si="20"/>
        <v>-0.64429365833603569</v>
      </c>
    </row>
    <row r="187" spans="4:12" x14ac:dyDescent="0.25">
      <c r="D187" s="22">
        <f t="shared" ca="1" si="22"/>
        <v>3.6419727198293193E-2</v>
      </c>
      <c r="E187" s="11">
        <v>0.51388888888888895</v>
      </c>
      <c r="F187" s="11">
        <f t="shared" ca="1" si="23"/>
        <v>56.497379551779098</v>
      </c>
      <c r="G187" s="11">
        <f t="shared" ca="1" si="21"/>
        <v>2.342744292227124</v>
      </c>
      <c r="H187" s="11">
        <f t="shared" ca="1" si="16"/>
        <v>0.36114269779073577</v>
      </c>
      <c r="I187" s="11">
        <f t="shared" ca="1" si="17"/>
        <v>20.403616069436652</v>
      </c>
      <c r="J187" s="11">
        <f t="shared" ca="1" si="18"/>
        <v>-18.060871777209528</v>
      </c>
      <c r="K187" s="11">
        <f t="shared" ca="1" si="19"/>
        <v>2.980209780444969</v>
      </c>
      <c r="L187" s="20">
        <f t="shared" ca="1" si="20"/>
        <v>-0.63746548821784499</v>
      </c>
    </row>
    <row r="188" spans="4:12" x14ac:dyDescent="0.25">
      <c r="D188" s="22">
        <f t="shared" ca="1" si="22"/>
        <v>3.6771705521405802E-2</v>
      </c>
      <c r="E188" s="11">
        <v>0.51666666666666672</v>
      </c>
      <c r="F188" s="11">
        <f t="shared" ca="1" si="23"/>
        <v>56.423400908343893</v>
      </c>
      <c r="G188" s="11">
        <f t="shared" ca="1" si="21"/>
        <v>2.3141825481972553</v>
      </c>
      <c r="H188" s="11">
        <f t="shared" ca="1" si="16"/>
        <v>0.35956647355824678</v>
      </c>
      <c r="I188" s="11">
        <f t="shared" ca="1" si="17"/>
        <v>20.287963290776393</v>
      </c>
      <c r="J188" s="11">
        <f t="shared" ca="1" si="18"/>
        <v>-17.973780742579137</v>
      </c>
      <c r="K188" s="11">
        <f t="shared" ca="1" si="19"/>
        <v>2.9560491158262261</v>
      </c>
      <c r="L188" s="20">
        <f t="shared" ca="1" si="20"/>
        <v>-0.64186656762897076</v>
      </c>
    </row>
    <row r="189" spans="4:12" x14ac:dyDescent="0.25">
      <c r="D189" s="22">
        <f t="shared" ca="1" si="22"/>
        <v>3.6110074269785859E-2</v>
      </c>
      <c r="E189" s="11">
        <v>0.51944444444444449</v>
      </c>
      <c r="F189" s="11">
        <f t="shared" ca="1" si="23"/>
        <v>56.055518917978965</v>
      </c>
      <c r="G189" s="11">
        <f t="shared" ca="1" si="21"/>
        <v>2.1801015540429134</v>
      </c>
      <c r="H189" s="11">
        <f t="shared" ca="1" si="16"/>
        <v>0.34771082210909859</v>
      </c>
      <c r="I189" s="11">
        <f t="shared" ca="1" si="17"/>
        <v>19.491110566722593</v>
      </c>
      <c r="J189" s="11">
        <f t="shared" ca="1" si="18"/>
        <v>-17.31100901267968</v>
      </c>
      <c r="K189" s="11">
        <f t="shared" ca="1" si="19"/>
        <v>2.8027829744215826</v>
      </c>
      <c r="L189" s="20">
        <f t="shared" ca="1" si="20"/>
        <v>-0.62268142037866925</v>
      </c>
    </row>
    <row r="190" spans="4:12" x14ac:dyDescent="0.25">
      <c r="D190" s="22">
        <f t="shared" ca="1" si="22"/>
        <v>3.6402317734159695E-2</v>
      </c>
      <c r="E190" s="11">
        <v>0.52222222222222225</v>
      </c>
      <c r="F190" s="11">
        <f t="shared" ca="1" si="23"/>
        <v>55.466075343270568</v>
      </c>
      <c r="G190" s="11">
        <f t="shared" ca="1" si="21"/>
        <v>1.9733951087840964</v>
      </c>
      <c r="H190" s="11">
        <f t="shared" ca="1" si="16"/>
        <v>0.33206433081077458</v>
      </c>
      <c r="I190" s="11">
        <f t="shared" ca="1" si="17"/>
        <v>18.418305191563146</v>
      </c>
      <c r="J190" s="11">
        <f t="shared" ca="1" si="18"/>
        <v>-16.44491008277905</v>
      </c>
      <c r="K190" s="11">
        <f t="shared" ca="1" si="19"/>
        <v>2.6031648680200337</v>
      </c>
      <c r="L190" s="20">
        <f t="shared" ca="1" si="20"/>
        <v>-0.62976975923593725</v>
      </c>
    </row>
    <row r="191" spans="4:12" x14ac:dyDescent="0.25">
      <c r="D191" s="22">
        <f t="shared" ca="1" si="22"/>
        <v>3.671570546587001E-2</v>
      </c>
      <c r="E191" s="11">
        <v>0.52500000000000002</v>
      </c>
      <c r="F191" s="11">
        <f t="shared" ca="1" si="23"/>
        <v>56.345950966934325</v>
      </c>
      <c r="G191" s="11">
        <f t="shared" ca="1" si="21"/>
        <v>2.2638931487705811</v>
      </c>
      <c r="H191" s="11">
        <f t="shared" ca="1" si="16"/>
        <v>0.35622224401164948</v>
      </c>
      <c r="I191" s="11">
        <f t="shared" ca="1" si="17"/>
        <v>20.071681094411716</v>
      </c>
      <c r="J191" s="11">
        <f t="shared" ca="1" si="18"/>
        <v>-17.807787945641135</v>
      </c>
      <c r="K191" s="11">
        <f t="shared" ca="1" si="19"/>
        <v>2.9071957456495574</v>
      </c>
      <c r="L191" s="20">
        <f t="shared" ca="1" si="20"/>
        <v>-0.64330259687897628</v>
      </c>
    </row>
    <row r="192" spans="4:12" x14ac:dyDescent="0.25">
      <c r="D192" s="22">
        <f t="shared" ca="1" si="22"/>
        <v>3.6725451131930438E-2</v>
      </c>
      <c r="E192" s="11">
        <v>0.52777777777777779</v>
      </c>
      <c r="F192" s="11">
        <f t="shared" ca="1" si="23"/>
        <v>56.221727868890063</v>
      </c>
      <c r="G192" s="11">
        <f t="shared" ca="1" si="21"/>
        <v>2.2178253613438343</v>
      </c>
      <c r="H192" s="11">
        <f t="shared" ca="1" si="16"/>
        <v>0.35248960896786585</v>
      </c>
      <c r="I192" s="11">
        <f t="shared" ca="1" si="17"/>
        <v>19.817574872002826</v>
      </c>
      <c r="J192" s="11">
        <f t="shared" ca="1" si="18"/>
        <v>-17.599749510658992</v>
      </c>
      <c r="K192" s="11">
        <f t="shared" ca="1" si="19"/>
        <v>2.8568894592877783</v>
      </c>
      <c r="L192" s="20">
        <f t="shared" ca="1" si="20"/>
        <v>-0.63906409794394392</v>
      </c>
    </row>
    <row r="193" spans="4:12" x14ac:dyDescent="0.25">
      <c r="D193" s="22">
        <f t="shared" ca="1" si="22"/>
        <v>3.645765340510445E-2</v>
      </c>
      <c r="E193" s="11">
        <v>0.53055555555555556</v>
      </c>
      <c r="F193" s="11">
        <f t="shared" ca="1" si="23"/>
        <v>56.208012275785876</v>
      </c>
      <c r="G193" s="11">
        <f t="shared" ca="1" si="21"/>
        <v>2.2112083182412761</v>
      </c>
      <c r="H193" s="11">
        <f t="shared" ca="1" si="16"/>
        <v>0.35113989889521224</v>
      </c>
      <c r="I193" s="11">
        <f t="shared" ca="1" si="17"/>
        <v>19.736875747620299</v>
      </c>
      <c r="J193" s="11">
        <f t="shared" ca="1" si="18"/>
        <v>-17.525667429379023</v>
      </c>
      <c r="K193" s="11">
        <f t="shared" ca="1" si="19"/>
        <v>2.8388970841819097</v>
      </c>
      <c r="L193" s="20">
        <f t="shared" ca="1" si="20"/>
        <v>-0.62768876594063361</v>
      </c>
    </row>
    <row r="194" spans="4:12" x14ac:dyDescent="0.25">
      <c r="D194" s="22">
        <f t="shared" ca="1" si="22"/>
        <v>3.591509230919452E-2</v>
      </c>
      <c r="E194" s="11">
        <v>0.53333333333333333</v>
      </c>
      <c r="F194" s="11">
        <f t="shared" ca="1" si="23"/>
        <v>56.311025665290984</v>
      </c>
      <c r="G194" s="11">
        <f t="shared" ca="1" si="21"/>
        <v>2.2456319089666188</v>
      </c>
      <c r="H194" s="11">
        <f t="shared" ref="H194:H257" ca="1" si="24">BSGreeks(F194,$B$3,$B$6 - E194,D194, $B$5,$H$1)</f>
        <v>0.35235143584029305</v>
      </c>
      <c r="I194" s="11">
        <f t="shared" ref="I194:I257" ca="1" si="25">F194*H194</f>
        <v>19.84127074680487</v>
      </c>
      <c r="J194" s="11">
        <f t="shared" ref="J194:J257" ca="1" si="26">G194 - I194</f>
        <v>-17.595638837838251</v>
      </c>
      <c r="K194" s="11">
        <f t="shared" ref="K194:K257" ca="1" si="27">BSCall(F194,$B$3, $B$6 - E194,D194,$B$5)</f>
        <v>2.8551481058064412</v>
      </c>
      <c r="L194" s="20">
        <f t="shared" ref="L194:L257" ca="1" si="28">G194 - K194</f>
        <v>-0.60951619683982239</v>
      </c>
    </row>
    <row r="195" spans="4:12" x14ac:dyDescent="0.25">
      <c r="D195" s="22">
        <f t="shared" ca="1" si="22"/>
        <v>3.5851272718833885E-2</v>
      </c>
      <c r="E195" s="11">
        <v>0.53611111111111109</v>
      </c>
      <c r="F195" s="11">
        <f t="shared" ca="1" si="23"/>
        <v>56.406862498115714</v>
      </c>
      <c r="G195" s="11">
        <f t="shared" ref="G195:G258" ca="1" si="29" xml:space="preserve"> H194*F195 + J194* EXP(D195*(E195 - E194))</f>
        <v>2.2776477727891411</v>
      </c>
      <c r="H195" s="11">
        <f t="shared" ca="1" si="24"/>
        <v>0.35444775202878609</v>
      </c>
      <c r="I195" s="11">
        <f t="shared" ca="1" si="25"/>
        <v>19.993285611453953</v>
      </c>
      <c r="J195" s="11">
        <f t="shared" ca="1" si="26"/>
        <v>-17.715637838664811</v>
      </c>
      <c r="K195" s="11">
        <f t="shared" ca="1" si="27"/>
        <v>2.8809159369092847</v>
      </c>
      <c r="L195" s="20">
        <f t="shared" ca="1" si="28"/>
        <v>-0.60326816412014361</v>
      </c>
    </row>
    <row r="196" spans="4:12" x14ac:dyDescent="0.25">
      <c r="D196" s="22">
        <f t="shared" ref="D196:D259" ca="1" si="30">D195*1.002 + $B$5*D195*SQRT(E196-E195)*_xlfn.NORM.S.INV(RAND())</f>
        <v>3.5566586801302202E-2</v>
      </c>
      <c r="E196" s="11">
        <v>0.53888888888888886</v>
      </c>
      <c r="F196" s="11">
        <f t="shared" ref="F196:F259" ca="1" si="31">F195 + D195*F195*(E196-E195) + $B$5*F195*SQRT(E196-E195)*_xlfn.NORM.S.INV(RAND())</f>
        <v>56.078485575704285</v>
      </c>
      <c r="G196" s="11">
        <f t="shared" ca="1" si="29"/>
        <v>2.1595049888864288</v>
      </c>
      <c r="H196" s="11">
        <f t="shared" ca="1" si="24"/>
        <v>0.34450166673622473</v>
      </c>
      <c r="I196" s="11">
        <f t="shared" ca="1" si="25"/>
        <v>19.319131748873463</v>
      </c>
      <c r="J196" s="11">
        <f t="shared" ca="1" si="26"/>
        <v>-17.159626759987034</v>
      </c>
      <c r="K196" s="11">
        <f t="shared" ca="1" si="27"/>
        <v>2.7526938470290458</v>
      </c>
      <c r="L196" s="20">
        <f t="shared" ca="1" si="28"/>
        <v>-0.59318885814261701</v>
      </c>
    </row>
    <row r="197" spans="4:12" x14ac:dyDescent="0.25">
      <c r="D197" s="22">
        <f t="shared" ca="1" si="30"/>
        <v>3.5927797111031418E-2</v>
      </c>
      <c r="E197" s="11">
        <v>0.54166666666666674</v>
      </c>
      <c r="F197" s="11">
        <f t="shared" ca="1" si="31"/>
        <v>55.209555126317625</v>
      </c>
      <c r="G197" s="11">
        <f t="shared" ca="1" si="29"/>
        <v>1.8584443942578872</v>
      </c>
      <c r="H197" s="11">
        <f t="shared" ca="1" si="24"/>
        <v>0.32142983517398693</v>
      </c>
      <c r="I197" s="11">
        <f t="shared" ca="1" si="25"/>
        <v>17.74599820428142</v>
      </c>
      <c r="J197" s="11">
        <f t="shared" ca="1" si="26"/>
        <v>-15.887553810023533</v>
      </c>
      <c r="K197" s="11">
        <f t="shared" ca="1" si="27"/>
        <v>2.4655505465977878</v>
      </c>
      <c r="L197" s="20">
        <f t="shared" ca="1" si="28"/>
        <v>-0.60710615233990062</v>
      </c>
    </row>
    <row r="198" spans="4:12" x14ac:dyDescent="0.25">
      <c r="D198" s="22">
        <f t="shared" ca="1" si="30"/>
        <v>3.5938097447389239E-2</v>
      </c>
      <c r="E198" s="11">
        <v>0.54444444444444451</v>
      </c>
      <c r="F198" s="11">
        <f t="shared" ca="1" si="31"/>
        <v>55.282114509698076</v>
      </c>
      <c r="G198" s="11">
        <f t="shared" ca="1" si="29"/>
        <v>1.8801810422390055</v>
      </c>
      <c r="H198" s="11">
        <f t="shared" ca="1" si="24"/>
        <v>0.3230147425469504</v>
      </c>
      <c r="I198" s="11">
        <f t="shared" ca="1" si="25"/>
        <v>17.856937985801157</v>
      </c>
      <c r="J198" s="11">
        <f t="shared" ca="1" si="26"/>
        <v>-15.976756943562151</v>
      </c>
      <c r="K198" s="11">
        <f t="shared" ca="1" si="27"/>
        <v>2.4830712124624936</v>
      </c>
      <c r="L198" s="20">
        <f t="shared" ca="1" si="28"/>
        <v>-0.60289017022348812</v>
      </c>
    </row>
    <row r="199" spans="4:12" x14ac:dyDescent="0.25">
      <c r="D199" s="22">
        <f t="shared" ca="1" si="30"/>
        <v>3.6192277447287452E-2</v>
      </c>
      <c r="E199" s="11">
        <v>0.54722222222222228</v>
      </c>
      <c r="F199" s="11">
        <f t="shared" ca="1" si="31"/>
        <v>55.432485438544838</v>
      </c>
      <c r="G199" s="11">
        <f t="shared" ca="1" si="29"/>
        <v>1.9271467794204202</v>
      </c>
      <c r="H199" s="11">
        <f t="shared" ca="1" si="24"/>
        <v>0.32723237924015741</v>
      </c>
      <c r="I199" s="11">
        <f t="shared" ca="1" si="25"/>
        <v>18.139304097250406</v>
      </c>
      <c r="J199" s="11">
        <f t="shared" ca="1" si="26"/>
        <v>-16.212157317829984</v>
      </c>
      <c r="K199" s="11">
        <f t="shared" ca="1" si="27"/>
        <v>2.5315437128560832</v>
      </c>
      <c r="L199" s="20">
        <f t="shared" ca="1" si="28"/>
        <v>-0.60439693343566292</v>
      </c>
    </row>
    <row r="200" spans="4:12" x14ac:dyDescent="0.25">
      <c r="D200" s="22">
        <f t="shared" ca="1" si="30"/>
        <v>3.6348585970633264E-2</v>
      </c>
      <c r="E200" s="11">
        <v>0.55000000000000004</v>
      </c>
      <c r="F200" s="11">
        <f t="shared" ca="1" si="31"/>
        <v>56.370585785448284</v>
      </c>
      <c r="G200" s="11">
        <f t="shared" ca="1" si="29"/>
        <v>2.2324865913903515</v>
      </c>
      <c r="H200" s="11">
        <f t="shared" ca="1" si="24"/>
        <v>0.35270724484500493</v>
      </c>
      <c r="I200" s="11">
        <f t="shared" ca="1" si="25"/>
        <v>19.882314002684463</v>
      </c>
      <c r="J200" s="11">
        <f t="shared" ca="1" si="26"/>
        <v>-17.649827411294112</v>
      </c>
      <c r="K200" s="11">
        <f t="shared" ca="1" si="27"/>
        <v>2.8477781625075425</v>
      </c>
      <c r="L200" s="20">
        <f t="shared" ca="1" si="28"/>
        <v>-0.61529157111719091</v>
      </c>
    </row>
    <row r="201" spans="4:12" x14ac:dyDescent="0.25">
      <c r="D201" s="22">
        <f t="shared" ca="1" si="30"/>
        <v>3.5885407092119383E-2</v>
      </c>
      <c r="E201" s="11">
        <v>0.55277777777777781</v>
      </c>
      <c r="F201" s="11">
        <f t="shared" ca="1" si="31"/>
        <v>55.798918190348935</v>
      </c>
      <c r="G201" s="11">
        <f t="shared" ca="1" si="29"/>
        <v>2.0290958367041192</v>
      </c>
      <c r="H201" s="11">
        <f t="shared" ca="1" si="24"/>
        <v>0.33571521144019056</v>
      </c>
      <c r="I201" s="11">
        <f t="shared" ca="1" si="25"/>
        <v>18.732545618406888</v>
      </c>
      <c r="J201" s="11">
        <f t="shared" ca="1" si="26"/>
        <v>-16.703449781702769</v>
      </c>
      <c r="K201" s="11">
        <f t="shared" ca="1" si="27"/>
        <v>2.6334682496983892</v>
      </c>
      <c r="L201" s="20">
        <f t="shared" ca="1" si="28"/>
        <v>-0.60437241299427003</v>
      </c>
    </row>
    <row r="202" spans="4:12" x14ac:dyDescent="0.25">
      <c r="D202" s="22">
        <f t="shared" ca="1" si="30"/>
        <v>3.6188428252654538E-2</v>
      </c>
      <c r="E202" s="11">
        <v>0.55555555555555558</v>
      </c>
      <c r="F202" s="11">
        <f t="shared" ca="1" si="31"/>
        <v>55.645907755842316</v>
      </c>
      <c r="G202" s="11">
        <f t="shared" ca="1" si="29"/>
        <v>1.9760487341734283</v>
      </c>
      <c r="H202" s="11">
        <f t="shared" ca="1" si="24"/>
        <v>0.33183854590179795</v>
      </c>
      <c r="I202" s="11">
        <f t="shared" ca="1" si="25"/>
        <v>18.465457115084295</v>
      </c>
      <c r="J202" s="11">
        <f t="shared" ca="1" si="26"/>
        <v>-16.489408380910866</v>
      </c>
      <c r="K202" s="11">
        <f t="shared" ca="1" si="27"/>
        <v>2.5831190471106207</v>
      </c>
      <c r="L202" s="20">
        <f t="shared" ca="1" si="28"/>
        <v>-0.60707031293719238</v>
      </c>
    </row>
    <row r="203" spans="4:12" x14ac:dyDescent="0.25">
      <c r="D203" s="22">
        <f t="shared" ca="1" si="30"/>
        <v>3.5711944639068627E-2</v>
      </c>
      <c r="E203" s="11">
        <v>0.55833333333333335</v>
      </c>
      <c r="F203" s="11">
        <f t="shared" ca="1" si="31"/>
        <v>56.45808356050739</v>
      </c>
      <c r="G203" s="11">
        <f t="shared" ca="1" si="29"/>
        <v>2.2439241442988731</v>
      </c>
      <c r="H203" s="11">
        <f t="shared" ca="1" si="24"/>
        <v>0.35255506324511088</v>
      </c>
      <c r="I203" s="11">
        <f t="shared" ca="1" si="25"/>
        <v>19.904583220372437</v>
      </c>
      <c r="J203" s="11">
        <f t="shared" ca="1" si="26"/>
        <v>-17.660659076073564</v>
      </c>
      <c r="K203" s="11">
        <f t="shared" ca="1" si="27"/>
        <v>2.8433007568387203</v>
      </c>
      <c r="L203" s="20">
        <f t="shared" ca="1" si="28"/>
        <v>-0.5993766125398472</v>
      </c>
    </row>
    <row r="204" spans="4:12" x14ac:dyDescent="0.25">
      <c r="D204" s="22">
        <f t="shared" ca="1" si="30"/>
        <v>3.5823651928438609E-2</v>
      </c>
      <c r="E204" s="11">
        <v>0.56111111111111112</v>
      </c>
      <c r="F204" s="11">
        <f t="shared" ca="1" si="31"/>
        <v>57.453869293425633</v>
      </c>
      <c r="G204" s="11">
        <f t="shared" ca="1" si="29"/>
        <v>2.5932359441711128</v>
      </c>
      <c r="H204" s="11">
        <f t="shared" ca="1" si="24"/>
        <v>0.3798426721024204</v>
      </c>
      <c r="I204" s="11">
        <f t="shared" ca="1" si="25"/>
        <v>21.823431235037994</v>
      </c>
      <c r="J204" s="11">
        <f t="shared" ca="1" si="26"/>
        <v>-19.230195290866881</v>
      </c>
      <c r="K204" s="11">
        <f t="shared" ca="1" si="27"/>
        <v>3.2040735392878466</v>
      </c>
      <c r="L204" s="20">
        <f t="shared" ca="1" si="28"/>
        <v>-0.61083759511673374</v>
      </c>
    </row>
    <row r="205" spans="4:12" x14ac:dyDescent="0.25">
      <c r="D205" s="22">
        <f t="shared" ca="1" si="30"/>
        <v>3.5495004982120291E-2</v>
      </c>
      <c r="E205" s="11">
        <v>0.56388888888888888</v>
      </c>
      <c r="F205" s="11">
        <f t="shared" ca="1" si="31"/>
        <v>57.320295034855903</v>
      </c>
      <c r="G205" s="11">
        <f t="shared" ca="1" si="29"/>
        <v>2.5406026032918589</v>
      </c>
      <c r="H205" s="11">
        <f t="shared" ca="1" si="24"/>
        <v>0.37504626006269054</v>
      </c>
      <c r="I205" s="11">
        <f t="shared" ca="1" si="25"/>
        <v>21.497762278512717</v>
      </c>
      <c r="J205" s="11">
        <f t="shared" ca="1" si="26"/>
        <v>-18.957159675220858</v>
      </c>
      <c r="K205" s="11">
        <f t="shared" ca="1" si="27"/>
        <v>3.1380383940545888</v>
      </c>
      <c r="L205" s="20">
        <f t="shared" ca="1" si="28"/>
        <v>-0.5974357907627299</v>
      </c>
    </row>
    <row r="206" spans="4:12" x14ac:dyDescent="0.25">
      <c r="D206" s="22">
        <f t="shared" ca="1" si="30"/>
        <v>3.5790642119071112E-2</v>
      </c>
      <c r="E206" s="11">
        <v>0.56666666666666665</v>
      </c>
      <c r="F206" s="11">
        <f t="shared" ca="1" si="31"/>
        <v>57.581232458444873</v>
      </c>
      <c r="G206" s="11">
        <f t="shared" ca="1" si="29"/>
        <v>2.6365814229920588</v>
      </c>
      <c r="H206" s="11">
        <f t="shared" ca="1" si="24"/>
        <v>0.38257255962763187</v>
      </c>
      <c r="I206" s="11">
        <f t="shared" ca="1" si="25"/>
        <v>22.028999488140933</v>
      </c>
      <c r="J206" s="11">
        <f t="shared" ca="1" si="26"/>
        <v>-19.392418065148874</v>
      </c>
      <c r="K206" s="11">
        <f t="shared" ca="1" si="27"/>
        <v>3.2378550939298845</v>
      </c>
      <c r="L206" s="20">
        <f t="shared" ca="1" si="28"/>
        <v>-0.60127367093782569</v>
      </c>
    </row>
    <row r="207" spans="4:12" x14ac:dyDescent="0.25">
      <c r="D207" s="22">
        <f t="shared" ca="1" si="30"/>
        <v>3.6074423568490381E-2</v>
      </c>
      <c r="E207" s="11">
        <v>0.56944444444444442</v>
      </c>
      <c r="F207" s="11">
        <f t="shared" ca="1" si="31"/>
        <v>58.052846439193708</v>
      </c>
      <c r="G207" s="11">
        <f t="shared" ca="1" si="29"/>
        <v>2.8150646425541623</v>
      </c>
      <c r="H207" s="11">
        <f t="shared" ca="1" si="24"/>
        <v>0.39593921363685802</v>
      </c>
      <c r="I207" s="11">
        <f t="shared" ca="1" si="25"/>
        <v>22.985398368515629</v>
      </c>
      <c r="J207" s="11">
        <f t="shared" ca="1" si="26"/>
        <v>-20.170333725961466</v>
      </c>
      <c r="K207" s="11">
        <f t="shared" ca="1" si="27"/>
        <v>3.4221637165340986</v>
      </c>
      <c r="L207" s="20">
        <f t="shared" ca="1" si="28"/>
        <v>-0.60709907397993623</v>
      </c>
    </row>
    <row r="208" spans="4:12" x14ac:dyDescent="0.25">
      <c r="D208" s="22">
        <f t="shared" ca="1" si="30"/>
        <v>3.562578241648634E-2</v>
      </c>
      <c r="E208" s="11">
        <v>0.5722222222222223</v>
      </c>
      <c r="F208" s="11">
        <f t="shared" ca="1" si="31"/>
        <v>58.931595826029678</v>
      </c>
      <c r="G208" s="11">
        <f t="shared" ca="1" si="29"/>
        <v>3.1609998185466601</v>
      </c>
      <c r="H208" s="11">
        <f t="shared" ca="1" si="24"/>
        <v>0.41894426028630372</v>
      </c>
      <c r="I208" s="11">
        <f t="shared" ca="1" si="25"/>
        <v>24.689053820827429</v>
      </c>
      <c r="J208" s="11">
        <f t="shared" ca="1" si="26"/>
        <v>-21.528054002280768</v>
      </c>
      <c r="K208" s="11">
        <f t="shared" ca="1" si="27"/>
        <v>3.7599318867036233</v>
      </c>
      <c r="L208" s="20">
        <f t="shared" ca="1" si="28"/>
        <v>-0.5989320681569632</v>
      </c>
    </row>
    <row r="209" spans="4:12" x14ac:dyDescent="0.25">
      <c r="D209" s="22">
        <f t="shared" ca="1" si="30"/>
        <v>3.6098420602077519E-2</v>
      </c>
      <c r="E209" s="11">
        <v>0.57500000000000007</v>
      </c>
      <c r="F209" s="11">
        <f t="shared" ca="1" si="31"/>
        <v>60.271148335903852</v>
      </c>
      <c r="G209" s="11">
        <f t="shared" ca="1" si="29"/>
        <v>3.7200388547103103</v>
      </c>
      <c r="H209" s="11">
        <f t="shared" ca="1" si="24"/>
        <v>0.45680812927726172</v>
      </c>
      <c r="I209" s="11">
        <f t="shared" ca="1" si="25"/>
        <v>27.532350520716584</v>
      </c>
      <c r="J209" s="11">
        <f t="shared" ca="1" si="26"/>
        <v>-23.812311666006273</v>
      </c>
      <c r="K209" s="11">
        <f t="shared" ca="1" si="27"/>
        <v>4.3537192898711661</v>
      </c>
      <c r="L209" s="20">
        <f t="shared" ca="1" si="28"/>
        <v>-0.63368043516085582</v>
      </c>
    </row>
    <row r="210" spans="4:12" x14ac:dyDescent="0.25">
      <c r="D210" s="22">
        <f t="shared" ca="1" si="30"/>
        <v>3.6048361173413611E-2</v>
      </c>
      <c r="E210" s="11">
        <v>0.57777777777777783</v>
      </c>
      <c r="F210" s="11">
        <f t="shared" ca="1" si="31"/>
        <v>61.44759404249092</v>
      </c>
      <c r="G210" s="11">
        <f t="shared" ca="1" si="29"/>
        <v>4.2550642677155537</v>
      </c>
      <c r="H210" s="11">
        <f t="shared" ca="1" si="24"/>
        <v>0.48863658980422281</v>
      </c>
      <c r="I210" s="11">
        <f t="shared" ca="1" si="25"/>
        <v>30.025542804597041</v>
      </c>
      <c r="J210" s="11">
        <f t="shared" ca="1" si="26"/>
        <v>-25.770478536881487</v>
      </c>
      <c r="K210" s="11">
        <f t="shared" ca="1" si="27"/>
        <v>4.9001104225759393</v>
      </c>
      <c r="L210" s="20">
        <f t="shared" ca="1" si="28"/>
        <v>-0.64504615486038563</v>
      </c>
    </row>
    <row r="211" spans="4:12" x14ac:dyDescent="0.25">
      <c r="D211" s="22">
        <f t="shared" ca="1" si="30"/>
        <v>3.6261265482685233E-2</v>
      </c>
      <c r="E211" s="11">
        <v>0.5805555555555556</v>
      </c>
      <c r="F211" s="11">
        <f t="shared" ca="1" si="31"/>
        <v>60.69914980992862</v>
      </c>
      <c r="G211" s="11">
        <f t="shared" ca="1" si="29"/>
        <v>3.8867511490687328</v>
      </c>
      <c r="H211" s="11">
        <f t="shared" ca="1" si="24"/>
        <v>0.46838446343432205</v>
      </c>
      <c r="I211" s="11">
        <f t="shared" ca="1" si="25"/>
        <v>28.43053871464295</v>
      </c>
      <c r="J211" s="11">
        <f t="shared" ca="1" si="26"/>
        <v>-24.543787565574217</v>
      </c>
      <c r="K211" s="11">
        <f t="shared" ca="1" si="27"/>
        <v>4.541240465484881</v>
      </c>
      <c r="L211" s="20">
        <f t="shared" ca="1" si="28"/>
        <v>-0.65448931641614827</v>
      </c>
    </row>
    <row r="212" spans="4:12" x14ac:dyDescent="0.25">
      <c r="D212" s="22">
        <f t="shared" ca="1" si="30"/>
        <v>3.6878414029839136E-2</v>
      </c>
      <c r="E212" s="11">
        <v>0.58333333333333337</v>
      </c>
      <c r="F212" s="11">
        <f t="shared" ca="1" si="31"/>
        <v>61.352817100873132</v>
      </c>
      <c r="G212" s="11">
        <f t="shared" ca="1" si="29"/>
        <v>4.1904043570624303</v>
      </c>
      <c r="H212" s="11">
        <f t="shared" ca="1" si="24"/>
        <v>0.48747680749008981</v>
      </c>
      <c r="I212" s="11">
        <f t="shared" ca="1" si="25"/>
        <v>29.908075410857023</v>
      </c>
      <c r="J212" s="11">
        <f t="shared" ca="1" si="26"/>
        <v>-25.717671053794593</v>
      </c>
      <c r="K212" s="11">
        <f t="shared" ca="1" si="27"/>
        <v>4.8669090806389788</v>
      </c>
      <c r="L212" s="20">
        <f t="shared" ca="1" si="28"/>
        <v>-0.67650472357654845</v>
      </c>
    </row>
    <row r="213" spans="4:12" x14ac:dyDescent="0.25">
      <c r="D213" s="22">
        <f t="shared" ca="1" si="30"/>
        <v>3.7432316871751657E-2</v>
      </c>
      <c r="E213" s="11">
        <v>0.58611111111111114</v>
      </c>
      <c r="F213" s="11">
        <f t="shared" ca="1" si="31"/>
        <v>60.815651281775445</v>
      </c>
      <c r="G213" s="11">
        <f t="shared" ca="1" si="29"/>
        <v>3.9258742505245117</v>
      </c>
      <c r="H213" s="11">
        <f t="shared" ca="1" si="24"/>
        <v>0.47377797336676258</v>
      </c>
      <c r="I213" s="11">
        <f t="shared" ca="1" si="25"/>
        <v>28.813116013259329</v>
      </c>
      <c r="J213" s="11">
        <f t="shared" ca="1" si="26"/>
        <v>-24.887241762734817</v>
      </c>
      <c r="K213" s="11">
        <f t="shared" ca="1" si="27"/>
        <v>4.6198008205560361</v>
      </c>
      <c r="L213" s="20">
        <f t="shared" ca="1" si="28"/>
        <v>-0.69392657003152447</v>
      </c>
    </row>
    <row r="214" spans="4:12" x14ac:dyDescent="0.25">
      <c r="D214" s="22">
        <f t="shared" ca="1" si="30"/>
        <v>3.7328802921429427E-2</v>
      </c>
      <c r="E214" s="11">
        <v>0.58888888888888891</v>
      </c>
      <c r="F214" s="11">
        <f t="shared" ca="1" si="31"/>
        <v>60.987820598965513</v>
      </c>
      <c r="G214" s="11">
        <f t="shared" ca="1" si="29"/>
        <v>4.004863560949385</v>
      </c>
      <c r="H214" s="11">
        <f t="shared" ca="1" si="24"/>
        <v>0.47797834976881121</v>
      </c>
      <c r="I214" s="11">
        <f t="shared" ca="1" si="25"/>
        <v>29.150857845889846</v>
      </c>
      <c r="J214" s="11">
        <f t="shared" ca="1" si="26"/>
        <v>-25.145994284940461</v>
      </c>
      <c r="K214" s="11">
        <f t="shared" ca="1" si="27"/>
        <v>4.6899813218669077</v>
      </c>
      <c r="L214" s="20">
        <f t="shared" ca="1" si="28"/>
        <v>-0.68511776091752274</v>
      </c>
    </row>
    <row r="215" spans="4:12" x14ac:dyDescent="0.25">
      <c r="D215" s="22">
        <f t="shared" ca="1" si="30"/>
        <v>3.8297918568235986E-2</v>
      </c>
      <c r="E215" s="11">
        <v>0.59166666666666667</v>
      </c>
      <c r="F215" s="11">
        <f t="shared" ca="1" si="31"/>
        <v>60.84743777533054</v>
      </c>
      <c r="G215" s="11">
        <f t="shared" ca="1" si="29"/>
        <v>3.9350883592702033</v>
      </c>
      <c r="H215" s="11">
        <f t="shared" ca="1" si="24"/>
        <v>0.47611268324334299</v>
      </c>
      <c r="I215" s="11">
        <f t="shared" ca="1" si="25"/>
        <v>28.970236867694972</v>
      </c>
      <c r="J215" s="11">
        <f t="shared" ca="1" si="26"/>
        <v>-25.035148508424768</v>
      </c>
      <c r="K215" s="11">
        <f t="shared" ca="1" si="27"/>
        <v>4.6480972082810181</v>
      </c>
      <c r="L215" s="20">
        <f t="shared" ca="1" si="28"/>
        <v>-0.71300884901081485</v>
      </c>
    </row>
    <row r="216" spans="4:12" x14ac:dyDescent="0.25">
      <c r="D216" s="22">
        <f t="shared" ca="1" si="30"/>
        <v>3.8558597798541636E-2</v>
      </c>
      <c r="E216" s="11">
        <v>0.59444444444444444</v>
      </c>
      <c r="F216" s="11">
        <f t="shared" ca="1" si="31"/>
        <v>61.424412878096049</v>
      </c>
      <c r="G216" s="11">
        <f t="shared" ca="1" si="29"/>
        <v>4.2071119349447414</v>
      </c>
      <c r="H216" s="11">
        <f t="shared" ca="1" si="24"/>
        <v>0.49229814937157529</v>
      </c>
      <c r="I216" s="11">
        <f t="shared" ca="1" si="25"/>
        <v>30.239124786122243</v>
      </c>
      <c r="J216" s="11">
        <f t="shared" ca="1" si="26"/>
        <v>-26.032012851177502</v>
      </c>
      <c r="K216" s="11">
        <f t="shared" ca="1" si="27"/>
        <v>4.9282218524247288</v>
      </c>
      <c r="L216" s="20">
        <f t="shared" ca="1" si="28"/>
        <v>-0.72110991747998732</v>
      </c>
    </row>
    <row r="217" spans="4:12" x14ac:dyDescent="0.25">
      <c r="D217" s="22">
        <f t="shared" ca="1" si="30"/>
        <v>3.8636722605727099E-2</v>
      </c>
      <c r="E217" s="11">
        <v>0.59722222222222221</v>
      </c>
      <c r="F217" s="11">
        <f t="shared" ca="1" si="31"/>
        <v>60.863619228882506</v>
      </c>
      <c r="G217" s="11">
        <f t="shared" ca="1" si="29"/>
        <v>3.9282402436069148</v>
      </c>
      <c r="H217" s="11">
        <f t="shared" ca="1" si="24"/>
        <v>0.47676704162609262</v>
      </c>
      <c r="I217" s="11">
        <f t="shared" ca="1" si="25"/>
        <v>29.017767682411279</v>
      </c>
      <c r="J217" s="11">
        <f t="shared" ca="1" si="26"/>
        <v>-25.089527438804364</v>
      </c>
      <c r="K217" s="11">
        <f t="shared" ca="1" si="27"/>
        <v>4.6508403556131421</v>
      </c>
      <c r="L217" s="20">
        <f t="shared" ca="1" si="28"/>
        <v>-0.72260011200622731</v>
      </c>
    </row>
    <row r="218" spans="4:12" x14ac:dyDescent="0.25">
      <c r="D218" s="22">
        <f t="shared" ca="1" si="30"/>
        <v>3.8462443152204401E-2</v>
      </c>
      <c r="E218" s="11">
        <v>0.6</v>
      </c>
      <c r="F218" s="11">
        <f t="shared" ca="1" si="31"/>
        <v>61.85716607406399</v>
      </c>
      <c r="G218" s="11">
        <f t="shared" ca="1" si="29"/>
        <v>4.3992499223808466</v>
      </c>
      <c r="H218" s="11">
        <f t="shared" ca="1" si="24"/>
        <v>0.50334256676349143</v>
      </c>
      <c r="I218" s="11">
        <f t="shared" ca="1" si="25"/>
        <v>31.135344744434931</v>
      </c>
      <c r="J218" s="11">
        <f t="shared" ca="1" si="26"/>
        <v>-26.736094822054085</v>
      </c>
      <c r="K218" s="11">
        <f t="shared" ca="1" si="27"/>
        <v>5.1231707893802625</v>
      </c>
      <c r="L218" s="20">
        <f t="shared" ca="1" si="28"/>
        <v>-0.72392086699941594</v>
      </c>
    </row>
    <row r="219" spans="4:12" x14ac:dyDescent="0.25">
      <c r="D219" s="22">
        <f t="shared" ca="1" si="30"/>
        <v>3.7935364320627947E-2</v>
      </c>
      <c r="E219" s="11">
        <v>0.60277777777777775</v>
      </c>
      <c r="F219" s="11">
        <f t="shared" ca="1" si="31"/>
        <v>62.959410639224004</v>
      </c>
      <c r="G219" s="11">
        <f t="shared" ca="1" si="29"/>
        <v>4.9512390395153467</v>
      </c>
      <c r="H219" s="11">
        <f t="shared" ca="1" si="24"/>
        <v>0.53160135386326224</v>
      </c>
      <c r="I219" s="11">
        <f t="shared" ca="1" si="25"/>
        <v>33.469307934244554</v>
      </c>
      <c r="J219" s="11">
        <f t="shared" ca="1" si="26"/>
        <v>-28.518068894729208</v>
      </c>
      <c r="K219" s="11">
        <f t="shared" ca="1" si="27"/>
        <v>5.6650701307220022</v>
      </c>
      <c r="L219" s="20">
        <f t="shared" ca="1" si="28"/>
        <v>-0.71383109120665544</v>
      </c>
    </row>
    <row r="220" spans="4:12" x14ac:dyDescent="0.25">
      <c r="D220" s="22">
        <f t="shared" ca="1" si="30"/>
        <v>3.7376264383334572E-2</v>
      </c>
      <c r="E220" s="11">
        <v>0.60555555555555562</v>
      </c>
      <c r="F220" s="11">
        <f t="shared" ca="1" si="31"/>
        <v>61.855385850511986</v>
      </c>
      <c r="G220" s="11">
        <f t="shared" ca="1" si="29"/>
        <v>4.3613769832012927</v>
      </c>
      <c r="H220" s="11">
        <f t="shared" ca="1" si="24"/>
        <v>0.50019352754170354</v>
      </c>
      <c r="I220" s="11">
        <f t="shared" ca="1" si="25"/>
        <v>30.939663646020765</v>
      </c>
      <c r="J220" s="11">
        <f t="shared" ca="1" si="26"/>
        <v>-26.578286662819472</v>
      </c>
      <c r="K220" s="11">
        <f t="shared" ca="1" si="27"/>
        <v>5.06584219330413</v>
      </c>
      <c r="L220" s="20">
        <f t="shared" ca="1" si="28"/>
        <v>-0.70446521010283725</v>
      </c>
    </row>
    <row r="221" spans="4:12" x14ac:dyDescent="0.25">
      <c r="D221" s="22">
        <f t="shared" ca="1" si="30"/>
        <v>3.7448655737824674E-2</v>
      </c>
      <c r="E221" s="11">
        <v>0.60833333333333339</v>
      </c>
      <c r="F221" s="11">
        <f t="shared" ca="1" si="31"/>
        <v>62.645392639403049</v>
      </c>
      <c r="G221" s="11">
        <f t="shared" ca="1" si="29"/>
        <v>4.7537683410580662</v>
      </c>
      <c r="H221" s="11">
        <f t="shared" ca="1" si="24"/>
        <v>0.52154297651995885</v>
      </c>
      <c r="I221" s="11">
        <f t="shared" ca="1" si="25"/>
        <v>32.672264542415789</v>
      </c>
      <c r="J221" s="11">
        <f t="shared" ca="1" si="26"/>
        <v>-27.918496201357723</v>
      </c>
      <c r="K221" s="11">
        <f t="shared" ca="1" si="27"/>
        <v>5.4635251728528962</v>
      </c>
      <c r="L221" s="20">
        <f t="shared" ca="1" si="28"/>
        <v>-0.70975683179482996</v>
      </c>
    </row>
    <row r="222" spans="4:12" x14ac:dyDescent="0.25">
      <c r="D222" s="22">
        <f t="shared" ca="1" si="30"/>
        <v>3.7526394858752518E-2</v>
      </c>
      <c r="E222" s="11">
        <v>0.61111111111111116</v>
      </c>
      <c r="F222" s="11">
        <f t="shared" ca="1" si="31"/>
        <v>62.900843002766116</v>
      </c>
      <c r="G222" s="11">
        <f t="shared" ca="1" si="29"/>
        <v>4.8840863085881203</v>
      </c>
      <c r="H222" s="11">
        <f t="shared" ca="1" si="24"/>
        <v>0.52835152923879114</v>
      </c>
      <c r="I222" s="11">
        <f t="shared" ca="1" si="25"/>
        <v>33.233756590920592</v>
      </c>
      <c r="J222" s="11">
        <f t="shared" ca="1" si="26"/>
        <v>-28.349670282332472</v>
      </c>
      <c r="K222" s="11">
        <f t="shared" ca="1" si="27"/>
        <v>5.5918437508984464</v>
      </c>
      <c r="L222" s="20">
        <f t="shared" ca="1" si="28"/>
        <v>-0.70775744231032611</v>
      </c>
    </row>
    <row r="223" spans="4:12" x14ac:dyDescent="0.25">
      <c r="D223" s="22">
        <f t="shared" ca="1" si="30"/>
        <v>3.7639525368663891E-2</v>
      </c>
      <c r="E223" s="11">
        <v>0.61388888888888893</v>
      </c>
      <c r="F223" s="11">
        <f t="shared" ca="1" si="31"/>
        <v>62.844237103106877</v>
      </c>
      <c r="G223" s="11">
        <f t="shared" ca="1" si="29"/>
        <v>4.8512142618309539</v>
      </c>
      <c r="H223" s="11">
        <f t="shared" ca="1" si="24"/>
        <v>0.52685309591747098</v>
      </c>
      <c r="I223" s="11">
        <f t="shared" ca="1" si="25"/>
        <v>33.109680878343454</v>
      </c>
      <c r="J223" s="11">
        <f t="shared" ca="1" si="26"/>
        <v>-28.2584666165125</v>
      </c>
      <c r="K223" s="11">
        <f t="shared" ca="1" si="27"/>
        <v>5.5575283458722531</v>
      </c>
      <c r="L223" s="20">
        <f t="shared" ca="1" si="28"/>
        <v>-0.70631408404129914</v>
      </c>
    </row>
    <row r="224" spans="4:12" x14ac:dyDescent="0.25">
      <c r="D224" s="22">
        <f t="shared" ca="1" si="30"/>
        <v>3.7910688440944702E-2</v>
      </c>
      <c r="E224" s="11">
        <v>0.6166666666666667</v>
      </c>
      <c r="F224" s="11">
        <f t="shared" ca="1" si="31"/>
        <v>63.00625994562877</v>
      </c>
      <c r="G224" s="11">
        <f t="shared" ca="1" si="29"/>
        <v>4.9336005137631496</v>
      </c>
      <c r="H224" s="11">
        <f t="shared" ca="1" si="24"/>
        <v>0.53159874073450153</v>
      </c>
      <c r="I224" s="11">
        <f t="shared" ca="1" si="25"/>
        <v>33.494048445486918</v>
      </c>
      <c r="J224" s="11">
        <f t="shared" ca="1" si="26"/>
        <v>-28.560447931723768</v>
      </c>
      <c r="K224" s="11">
        <f t="shared" ca="1" si="27"/>
        <v>5.6448597369462377</v>
      </c>
      <c r="L224" s="20">
        <f t="shared" ca="1" si="28"/>
        <v>-0.7112592231830881</v>
      </c>
    </row>
    <row r="225" spans="4:12" x14ac:dyDescent="0.25">
      <c r="D225" s="22">
        <f t="shared" ca="1" si="30"/>
        <v>3.8203316346820837E-2</v>
      </c>
      <c r="E225" s="11">
        <v>0.61944444444444446</v>
      </c>
      <c r="F225" s="11">
        <f t="shared" ca="1" si="31"/>
        <v>62.300043267483062</v>
      </c>
      <c r="G225" s="11">
        <f t="shared" ca="1" si="29"/>
        <v>4.5551456121875837</v>
      </c>
      <c r="H225" s="11">
        <f t="shared" ca="1" si="24"/>
        <v>0.51293806805099806</v>
      </c>
      <c r="I225" s="11">
        <f t="shared" ca="1" si="25"/>
        <v>31.95606383311635</v>
      </c>
      <c r="J225" s="11">
        <f t="shared" ca="1" si="26"/>
        <v>-27.400918220928766</v>
      </c>
      <c r="K225" s="11">
        <f t="shared" ca="1" si="27"/>
        <v>5.2782541937970739</v>
      </c>
      <c r="L225" s="20">
        <f t="shared" ca="1" si="28"/>
        <v>-0.72310858160949021</v>
      </c>
    </row>
    <row r="226" spans="4:12" x14ac:dyDescent="0.25">
      <c r="D226" s="22">
        <f t="shared" ca="1" si="30"/>
        <v>3.8535869840808992E-2</v>
      </c>
      <c r="E226" s="11">
        <v>0.62222222222222223</v>
      </c>
      <c r="F226" s="11">
        <f t="shared" ca="1" si="31"/>
        <v>61.732014938699869</v>
      </c>
      <c r="G226" s="11">
        <f t="shared" ca="1" si="29"/>
        <v>4.260848995470532</v>
      </c>
      <c r="H226" s="11">
        <f t="shared" ca="1" si="24"/>
        <v>0.49789189216054774</v>
      </c>
      <c r="I226" s="11">
        <f t="shared" ca="1" si="25"/>
        <v>30.735869724712479</v>
      </c>
      <c r="J226" s="11">
        <f t="shared" ca="1" si="26"/>
        <v>-26.475020729241947</v>
      </c>
      <c r="K226" s="11">
        <f t="shared" ca="1" si="27"/>
        <v>4.9945320640061182</v>
      </c>
      <c r="L226" s="20">
        <f t="shared" ca="1" si="28"/>
        <v>-0.73368306853558618</v>
      </c>
    </row>
    <row r="227" spans="4:12" x14ac:dyDescent="0.25">
      <c r="D227" s="22">
        <f t="shared" ca="1" si="30"/>
        <v>3.8168455435788756E-2</v>
      </c>
      <c r="E227" s="11">
        <v>0.625</v>
      </c>
      <c r="F227" s="11">
        <f t="shared" ca="1" si="31"/>
        <v>61.292177246577218</v>
      </c>
      <c r="G227" s="11">
        <f t="shared" ca="1" si="29"/>
        <v>4.039050251863582</v>
      </c>
      <c r="H227" s="11">
        <f t="shared" ca="1" si="24"/>
        <v>0.48459399288634186</v>
      </c>
      <c r="I227" s="11">
        <f t="shared" ca="1" si="25"/>
        <v>29.701820904616245</v>
      </c>
      <c r="J227" s="11">
        <f t="shared" ca="1" si="26"/>
        <v>-25.662770652752663</v>
      </c>
      <c r="K227" s="11">
        <f t="shared" ca="1" si="27"/>
        <v>4.7571364379827976</v>
      </c>
      <c r="L227" s="20">
        <f t="shared" ca="1" si="28"/>
        <v>-0.7180861861192156</v>
      </c>
    </row>
    <row r="228" spans="4:12" x14ac:dyDescent="0.25">
      <c r="D228" s="22">
        <f t="shared" ca="1" si="30"/>
        <v>3.8577555408276315E-2</v>
      </c>
      <c r="E228" s="11">
        <v>0.62777777777777777</v>
      </c>
      <c r="F228" s="11">
        <f t="shared" ca="1" si="31"/>
        <v>60.873508514597354</v>
      </c>
      <c r="G228" s="11">
        <f t="shared" ca="1" si="29"/>
        <v>3.8334157326612619</v>
      </c>
      <c r="H228" s="11">
        <f t="shared" ca="1" si="24"/>
        <v>0.47360330114789168</v>
      </c>
      <c r="I228" s="11">
        <f t="shared" ca="1" si="25"/>
        <v>28.829894584967597</v>
      </c>
      <c r="J228" s="11">
        <f t="shared" ca="1" si="26"/>
        <v>-24.996478852306335</v>
      </c>
      <c r="K228" s="11">
        <f t="shared" ca="1" si="27"/>
        <v>4.5619868969707262</v>
      </c>
      <c r="L228" s="20">
        <f t="shared" ca="1" si="28"/>
        <v>-0.72857116430946434</v>
      </c>
    </row>
    <row r="229" spans="4:12" x14ac:dyDescent="0.25">
      <c r="D229" s="22">
        <f t="shared" ca="1" si="30"/>
        <v>3.8072107191236632E-2</v>
      </c>
      <c r="E229" s="11">
        <v>0.63055555555555554</v>
      </c>
      <c r="F229" s="11">
        <f t="shared" ca="1" si="31"/>
        <v>61.245030168668798</v>
      </c>
      <c r="G229" s="11">
        <f t="shared" ca="1" si="29"/>
        <v>4.0067259507376889</v>
      </c>
      <c r="H229" s="11">
        <f t="shared" ca="1" si="24"/>
        <v>0.482477163812285</v>
      </c>
      <c r="I229" s="11">
        <f t="shared" ca="1" si="25"/>
        <v>29.549328453377154</v>
      </c>
      <c r="J229" s="11">
        <f t="shared" ca="1" si="26"/>
        <v>-25.542602502639465</v>
      </c>
      <c r="K229" s="11">
        <f t="shared" ca="1" si="27"/>
        <v>4.7141949549289812</v>
      </c>
      <c r="L229" s="20">
        <f t="shared" ca="1" si="28"/>
        <v>-0.70746900419129233</v>
      </c>
    </row>
    <row r="230" spans="4:12" x14ac:dyDescent="0.25">
      <c r="D230" s="22">
        <f t="shared" ca="1" si="30"/>
        <v>3.8410314848408442E-2</v>
      </c>
      <c r="E230" s="11">
        <v>0.6333333333333333</v>
      </c>
      <c r="F230" s="11">
        <f t="shared" ca="1" si="31"/>
        <v>61.293538416655799</v>
      </c>
      <c r="G230" s="11">
        <f t="shared" ca="1" si="29"/>
        <v>4.0274046511329828</v>
      </c>
      <c r="H230" s="11">
        <f t="shared" ca="1" si="24"/>
        <v>0.48432208142534816</v>
      </c>
      <c r="I230" s="11">
        <f t="shared" ca="1" si="25"/>
        <v>29.685814103879277</v>
      </c>
      <c r="J230" s="11">
        <f t="shared" ca="1" si="26"/>
        <v>-25.658409452746294</v>
      </c>
      <c r="K230" s="11">
        <f t="shared" ca="1" si="27"/>
        <v>4.7407162466433324</v>
      </c>
      <c r="L230" s="20">
        <f t="shared" ca="1" si="28"/>
        <v>-0.71331159551034951</v>
      </c>
    </row>
    <row r="231" spans="4:12" x14ac:dyDescent="0.25">
      <c r="D231" s="22">
        <f t="shared" ca="1" si="30"/>
        <v>3.9044967196227749E-2</v>
      </c>
      <c r="E231" s="11">
        <v>0.63611111111111118</v>
      </c>
      <c r="F231" s="11">
        <f t="shared" ca="1" si="31"/>
        <v>61.620030060573683</v>
      </c>
      <c r="G231" s="11">
        <f t="shared" ca="1" si="29"/>
        <v>4.1827487467782518</v>
      </c>
      <c r="H231" s="11">
        <f t="shared" ca="1" si="24"/>
        <v>0.49457746599852453</v>
      </c>
      <c r="I231" s="11">
        <f t="shared" ca="1" si="25"/>
        <v>30.475878322111441</v>
      </c>
      <c r="J231" s="11">
        <f t="shared" ca="1" si="26"/>
        <v>-26.29312957533319</v>
      </c>
      <c r="K231" s="11">
        <f t="shared" ca="1" si="27"/>
        <v>4.9138564384913348</v>
      </c>
      <c r="L231" s="20">
        <f t="shared" ca="1" si="28"/>
        <v>-0.73110769171308299</v>
      </c>
    </row>
    <row r="232" spans="4:12" x14ac:dyDescent="0.25">
      <c r="D232" s="22">
        <f t="shared" ca="1" si="30"/>
        <v>3.9244677067076156E-2</v>
      </c>
      <c r="E232" s="11">
        <v>0.63888888888888895</v>
      </c>
      <c r="F232" s="11">
        <f t="shared" ca="1" si="31"/>
        <v>62.136051298025855</v>
      </c>
      <c r="G232" s="11">
        <f t="shared" ca="1" si="29"/>
        <v>4.4350947738413318</v>
      </c>
      <c r="H232" s="11">
        <f t="shared" ca="1" si="24"/>
        <v>0.50901360543599772</v>
      </c>
      <c r="I232" s="11">
        <f t="shared" ca="1" si="25"/>
        <v>31.628095498764246</v>
      </c>
      <c r="J232" s="11">
        <f t="shared" ca="1" si="26"/>
        <v>-27.193000724922914</v>
      </c>
      <c r="K232" s="11">
        <f t="shared" ca="1" si="27"/>
        <v>5.1711724676032667</v>
      </c>
      <c r="L232" s="20">
        <f t="shared" ca="1" si="28"/>
        <v>-0.73607769376193488</v>
      </c>
    </row>
    <row r="233" spans="4:12" x14ac:dyDescent="0.25">
      <c r="D233" s="22">
        <f t="shared" ca="1" si="30"/>
        <v>3.9684126825182325E-2</v>
      </c>
      <c r="E233" s="11">
        <v>0.64166666666666672</v>
      </c>
      <c r="F233" s="11">
        <f t="shared" ca="1" si="31"/>
        <v>62.373937957874681</v>
      </c>
      <c r="G233" s="11">
        <f t="shared" ca="1" si="29"/>
        <v>4.5531845703395071</v>
      </c>
      <c r="H233" s="11">
        <f t="shared" ca="1" si="24"/>
        <v>0.51629894931485609</v>
      </c>
      <c r="I233" s="11">
        <f t="shared" ca="1" si="25"/>
        <v>32.203598632280716</v>
      </c>
      <c r="J233" s="11">
        <f t="shared" ca="1" si="26"/>
        <v>-27.650414061941209</v>
      </c>
      <c r="K233" s="11">
        <f t="shared" ca="1" si="27"/>
        <v>5.3002308947239358</v>
      </c>
      <c r="L233" s="20">
        <f t="shared" ca="1" si="28"/>
        <v>-0.74704632438442875</v>
      </c>
    </row>
    <row r="234" spans="4:12" x14ac:dyDescent="0.25">
      <c r="D234" s="22">
        <f t="shared" ca="1" si="30"/>
        <v>3.9396649389136271E-2</v>
      </c>
      <c r="E234" s="11">
        <v>0.64444444444444449</v>
      </c>
      <c r="F234" s="11">
        <f t="shared" ca="1" si="31"/>
        <v>62.168377955536783</v>
      </c>
      <c r="G234" s="11">
        <f t="shared" ca="1" si="29"/>
        <v>4.4440280646776031</v>
      </c>
      <c r="H234" s="11">
        <f t="shared" ca="1" si="24"/>
        <v>0.50971201134011834</v>
      </c>
      <c r="I234" s="11">
        <f t="shared" ca="1" si="25"/>
        <v>31.687968969469328</v>
      </c>
      <c r="J234" s="11">
        <f t="shared" ca="1" si="26"/>
        <v>-27.243940904791724</v>
      </c>
      <c r="K234" s="11">
        <f t="shared" ca="1" si="27"/>
        <v>5.1755041075803074</v>
      </c>
      <c r="L234" s="20">
        <f t="shared" ca="1" si="28"/>
        <v>-0.73147604290270429</v>
      </c>
    </row>
    <row r="235" spans="4:12" x14ac:dyDescent="0.25">
      <c r="D235" s="22">
        <f t="shared" ca="1" si="30"/>
        <v>3.971082585614634E-2</v>
      </c>
      <c r="E235" s="11">
        <v>0.64722222222222225</v>
      </c>
      <c r="F235" s="11">
        <f t="shared" ca="1" si="31"/>
        <v>63.076848625573426</v>
      </c>
      <c r="G235" s="11">
        <f t="shared" ca="1" si="29"/>
        <v>4.9040810908538326</v>
      </c>
      <c r="H235" s="11">
        <f t="shared" ca="1" si="24"/>
        <v>0.53500405779741378</v>
      </c>
      <c r="I235" s="11">
        <f t="shared" ca="1" si="25"/>
        <v>33.746369967755008</v>
      </c>
      <c r="J235" s="11">
        <f t="shared" ca="1" si="26"/>
        <v>-28.842288876901176</v>
      </c>
      <c r="K235" s="11">
        <f t="shared" ca="1" si="27"/>
        <v>5.6527443572171574</v>
      </c>
      <c r="L235" s="20">
        <f t="shared" ca="1" si="28"/>
        <v>-0.74866326636332481</v>
      </c>
    </row>
    <row r="236" spans="4:12" x14ac:dyDescent="0.25">
      <c r="D236" s="22">
        <f t="shared" ca="1" si="30"/>
        <v>3.9169273619560407E-2</v>
      </c>
      <c r="E236" s="11">
        <v>0.65</v>
      </c>
      <c r="F236" s="11">
        <f t="shared" ca="1" si="31"/>
        <v>62.266546510117784</v>
      </c>
      <c r="G236" s="11">
        <f t="shared" ca="1" si="29"/>
        <v>4.4674278572475252</v>
      </c>
      <c r="H236" s="11">
        <f t="shared" ca="1" si="24"/>
        <v>0.51134670350235667</v>
      </c>
      <c r="I236" s="11">
        <f t="shared" ca="1" si="25"/>
        <v>31.839793296424901</v>
      </c>
      <c r="J236" s="11">
        <f t="shared" ca="1" si="26"/>
        <v>-27.372365439177376</v>
      </c>
      <c r="K236" s="11">
        <f t="shared" ca="1" si="27"/>
        <v>5.199795692488606</v>
      </c>
      <c r="L236" s="20">
        <f t="shared" ca="1" si="28"/>
        <v>-0.73236783524108073</v>
      </c>
    </row>
    <row r="237" spans="4:12" x14ac:dyDescent="0.25">
      <c r="D237" s="22">
        <f t="shared" ca="1" si="30"/>
        <v>3.8959788865103089E-2</v>
      </c>
      <c r="E237" s="11">
        <v>0.65277777777777779</v>
      </c>
      <c r="F237" s="11">
        <f t="shared" ca="1" si="31"/>
        <v>62.385845668505787</v>
      </c>
      <c r="G237" s="11">
        <f t="shared" ca="1" si="29"/>
        <v>4.5254686461607427</v>
      </c>
      <c r="H237" s="11">
        <f t="shared" ca="1" si="24"/>
        <v>0.51387913692735765</v>
      </c>
      <c r="I237" s="11">
        <f t="shared" ca="1" si="25"/>
        <v>32.058784528615085</v>
      </c>
      <c r="J237" s="11">
        <f t="shared" ca="1" si="26"/>
        <v>-27.533315882454342</v>
      </c>
      <c r="K237" s="11">
        <f t="shared" ca="1" si="27"/>
        <v>5.2445544858281963</v>
      </c>
      <c r="L237" s="20">
        <f t="shared" ca="1" si="28"/>
        <v>-0.71908583966745354</v>
      </c>
    </row>
    <row r="238" spans="4:12" x14ac:dyDescent="0.25">
      <c r="D238" s="22">
        <f t="shared" ca="1" si="30"/>
        <v>3.8963353993476814E-2</v>
      </c>
      <c r="E238" s="11">
        <v>0.65555555555555556</v>
      </c>
      <c r="F238" s="11">
        <f t="shared" ca="1" si="31"/>
        <v>63.746241207248239</v>
      </c>
      <c r="G238" s="11">
        <f t="shared" ca="1" si="29"/>
        <v>5.2215673970720182</v>
      </c>
      <c r="H238" s="11">
        <f t="shared" ca="1" si="24"/>
        <v>0.55059671052862269</v>
      </c>
      <c r="I238" s="11">
        <f t="shared" ca="1" si="25"/>
        <v>35.098470717275021</v>
      </c>
      <c r="J238" s="11">
        <f t="shared" ca="1" si="26"/>
        <v>-29.876903320203002</v>
      </c>
      <c r="K238" s="11">
        <f t="shared" ca="1" si="27"/>
        <v>5.9598255116937482</v>
      </c>
      <c r="L238" s="20">
        <f t="shared" ca="1" si="28"/>
        <v>-0.73825811462172997</v>
      </c>
    </row>
    <row r="239" spans="4:12" x14ac:dyDescent="0.25">
      <c r="D239" s="22">
        <f t="shared" ca="1" si="30"/>
        <v>3.946188626437841E-2</v>
      </c>
      <c r="E239" s="11">
        <v>0.65833333333333333</v>
      </c>
      <c r="F239" s="11">
        <f t="shared" ca="1" si="31"/>
        <v>64.164028119666142</v>
      </c>
      <c r="G239" s="11">
        <f t="shared" ca="1" si="29"/>
        <v>5.4483243201348444</v>
      </c>
      <c r="H239" s="11">
        <f t="shared" ca="1" si="24"/>
        <v>0.56264535057670639</v>
      </c>
      <c r="I239" s="11">
        <f t="shared" ca="1" si="25"/>
        <v>36.101592095803205</v>
      </c>
      <c r="J239" s="11">
        <f t="shared" ca="1" si="26"/>
        <v>-30.653267775668361</v>
      </c>
      <c r="K239" s="11">
        <f t="shared" ca="1" si="27"/>
        <v>6.2028736028617155</v>
      </c>
      <c r="L239" s="20">
        <f t="shared" ca="1" si="28"/>
        <v>-0.75454928272687116</v>
      </c>
    </row>
    <row r="240" spans="4:12" x14ac:dyDescent="0.25">
      <c r="D240" s="22">
        <f t="shared" ca="1" si="30"/>
        <v>3.8561958120334069E-2</v>
      </c>
      <c r="E240" s="11">
        <v>0.66111111111111109</v>
      </c>
      <c r="F240" s="11">
        <f t="shared" ca="1" si="31"/>
        <v>66.125618750863794</v>
      </c>
      <c r="G240" s="11">
        <f t="shared" ca="1" si="29"/>
        <v>6.5487205203490326</v>
      </c>
      <c r="H240" s="11">
        <f t="shared" ca="1" si="24"/>
        <v>0.61104636292927916</v>
      </c>
      <c r="I240" s="11">
        <f t="shared" ca="1" si="25"/>
        <v>40.405818834163462</v>
      </c>
      <c r="J240" s="11">
        <f t="shared" ca="1" si="26"/>
        <v>-33.857098313814433</v>
      </c>
      <c r="K240" s="11">
        <f t="shared" ca="1" si="27"/>
        <v>7.3069771308198561</v>
      </c>
      <c r="L240" s="20">
        <f t="shared" ca="1" si="28"/>
        <v>-0.75825661047082349</v>
      </c>
    </row>
    <row r="241" spans="4:12" x14ac:dyDescent="0.25">
      <c r="D241" s="22">
        <f t="shared" ca="1" si="30"/>
        <v>3.9121987587833064E-2</v>
      </c>
      <c r="E241" s="11">
        <v>0.66388888888888886</v>
      </c>
      <c r="F241" s="11">
        <f t="shared" ca="1" si="31"/>
        <v>66.324888035369781</v>
      </c>
      <c r="G241" s="11">
        <f t="shared" ca="1" si="29"/>
        <v>6.6668037670181235</v>
      </c>
      <c r="H241" s="11">
        <f t="shared" ca="1" si="24"/>
        <v>0.61710605090400095</v>
      </c>
      <c r="I241" s="11">
        <f t="shared" ca="1" si="25"/>
        <v>40.929489732157066</v>
      </c>
      <c r="J241" s="11">
        <f t="shared" ca="1" si="26"/>
        <v>-34.262685965138942</v>
      </c>
      <c r="K241" s="11">
        <f t="shared" ca="1" si="27"/>
        <v>7.4446046731727167</v>
      </c>
      <c r="L241" s="20">
        <f t="shared" ca="1" si="28"/>
        <v>-0.77780090615459319</v>
      </c>
    </row>
    <row r="242" spans="4:12" x14ac:dyDescent="0.25">
      <c r="D242" s="22">
        <f t="shared" ca="1" si="30"/>
        <v>3.9011900588242568E-2</v>
      </c>
      <c r="E242" s="11">
        <v>0.66666666666666674</v>
      </c>
      <c r="F242" s="11">
        <f t="shared" ca="1" si="31"/>
        <v>66.02143499269458</v>
      </c>
      <c r="G242" s="11">
        <f t="shared" ca="1" si="29"/>
        <v>6.4758279334250304</v>
      </c>
      <c r="H242" s="11">
        <f t="shared" ca="1" si="24"/>
        <v>0.60910822930757047</v>
      </c>
      <c r="I242" s="11">
        <f t="shared" ca="1" si="25"/>
        <v>40.21419936474507</v>
      </c>
      <c r="J242" s="11">
        <f t="shared" ca="1" si="26"/>
        <v>-33.73837143132004</v>
      </c>
      <c r="K242" s="11">
        <f t="shared" ca="1" si="27"/>
        <v>7.2439743394445513</v>
      </c>
      <c r="L242" s="20">
        <f t="shared" ca="1" si="28"/>
        <v>-0.76814640601952089</v>
      </c>
    </row>
    <row r="243" spans="4:12" x14ac:dyDescent="0.25">
      <c r="D243" s="22">
        <f t="shared" ca="1" si="30"/>
        <v>3.8853189128185882E-2</v>
      </c>
      <c r="E243" s="11">
        <v>0.66944444444444451</v>
      </c>
      <c r="F243" s="11">
        <f t="shared" ca="1" si="31"/>
        <v>66.089268494526976</v>
      </c>
      <c r="G243" s="11">
        <f t="shared" ca="1" si="29"/>
        <v>6.5135044496545262</v>
      </c>
      <c r="H243" s="11">
        <f t="shared" ca="1" si="24"/>
        <v>0.61030341870400673</v>
      </c>
      <c r="I243" s="11">
        <f t="shared" ca="1" si="25"/>
        <v>40.334506501856815</v>
      </c>
      <c r="J243" s="11">
        <f t="shared" ca="1" si="26"/>
        <v>-33.821002052202289</v>
      </c>
      <c r="K243" s="11">
        <f t="shared" ca="1" si="27"/>
        <v>7.2686809008243971</v>
      </c>
      <c r="L243" s="20">
        <f t="shared" ca="1" si="28"/>
        <v>-0.75517645116987087</v>
      </c>
    </row>
    <row r="244" spans="4:12" x14ac:dyDescent="0.25">
      <c r="D244" s="22">
        <f t="shared" ca="1" si="30"/>
        <v>3.9242285301390643E-2</v>
      </c>
      <c r="E244" s="11">
        <v>0.67222222222222228</v>
      </c>
      <c r="F244" s="11">
        <f t="shared" ca="1" si="31"/>
        <v>66.09154114218984</v>
      </c>
      <c r="G244" s="11">
        <f t="shared" ca="1" si="29"/>
        <v>6.5112045494268997</v>
      </c>
      <c r="H244" s="11">
        <f t="shared" ca="1" si="24"/>
        <v>0.61106059676755076</v>
      </c>
      <c r="I244" s="11">
        <f t="shared" ca="1" si="25"/>
        <v>40.385936571633657</v>
      </c>
      <c r="J244" s="11">
        <f t="shared" ca="1" si="26"/>
        <v>-33.874732022206757</v>
      </c>
      <c r="K244" s="11">
        <f t="shared" ca="1" si="27"/>
        <v>7.2774851494982693</v>
      </c>
      <c r="L244" s="20">
        <f t="shared" ca="1" si="28"/>
        <v>-0.76628060007136956</v>
      </c>
    </row>
    <row r="245" spans="4:12" x14ac:dyDescent="0.25">
      <c r="D245" s="22">
        <f t="shared" ca="1" si="30"/>
        <v>3.9987466395392184E-2</v>
      </c>
      <c r="E245" s="11">
        <v>0.67500000000000004</v>
      </c>
      <c r="F245" s="11">
        <f t="shared" ca="1" si="31"/>
        <v>66.452595905291275</v>
      </c>
      <c r="G245" s="11">
        <f t="shared" ca="1" si="29"/>
        <v>6.7280679997079034</v>
      </c>
      <c r="H245" s="11">
        <f t="shared" ca="1" si="24"/>
        <v>0.62157460874458348</v>
      </c>
      <c r="I245" s="11">
        <f t="shared" ca="1" si="25"/>
        <v>41.305246299893334</v>
      </c>
      <c r="J245" s="11">
        <f t="shared" ca="1" si="26"/>
        <v>-34.57717830018543</v>
      </c>
      <c r="K245" s="11">
        <f t="shared" ca="1" si="27"/>
        <v>7.5232866116948429</v>
      </c>
      <c r="L245" s="20">
        <f t="shared" ca="1" si="28"/>
        <v>-0.79521861198693955</v>
      </c>
    </row>
    <row r="246" spans="4:12" x14ac:dyDescent="0.25">
      <c r="D246" s="22">
        <f t="shared" ca="1" si="30"/>
        <v>3.9732138626775701E-2</v>
      </c>
      <c r="E246" s="11">
        <v>0.67777777777777781</v>
      </c>
      <c r="F246" s="11">
        <f t="shared" ca="1" si="31"/>
        <v>66.198023275742315</v>
      </c>
      <c r="G246" s="11">
        <f t="shared" ca="1" si="29"/>
        <v>6.5660157252743332</v>
      </c>
      <c r="H246" s="11">
        <f t="shared" ca="1" si="24"/>
        <v>0.6144979079593631</v>
      </c>
      <c r="I246" s="11">
        <f t="shared" ca="1" si="25"/>
        <v>40.678546813988881</v>
      </c>
      <c r="J246" s="11">
        <f t="shared" ca="1" si="26"/>
        <v>-34.112531088714547</v>
      </c>
      <c r="K246" s="11">
        <f t="shared" ca="1" si="27"/>
        <v>7.3447863061470295</v>
      </c>
      <c r="L246" s="20">
        <f t="shared" ca="1" si="28"/>
        <v>-0.77877058087269635</v>
      </c>
    </row>
    <row r="247" spans="4:12" x14ac:dyDescent="0.25">
      <c r="D247" s="22">
        <f t="shared" ca="1" si="30"/>
        <v>3.9123342057121369E-2</v>
      </c>
      <c r="E247" s="11">
        <v>0.68055555555555558</v>
      </c>
      <c r="F247" s="11">
        <f t="shared" ca="1" si="31"/>
        <v>66.7098967502627</v>
      </c>
      <c r="G247" s="11">
        <f t="shared" ca="1" si="29"/>
        <v>6.8768534913289372</v>
      </c>
      <c r="H247" s="11">
        <f t="shared" ca="1" si="24"/>
        <v>0.62577275385392805</v>
      </c>
      <c r="I247" s="11">
        <f t="shared" ca="1" si="25"/>
        <v>41.745235798723094</v>
      </c>
      <c r="J247" s="11">
        <f t="shared" ca="1" si="26"/>
        <v>-34.868382307394157</v>
      </c>
      <c r="K247" s="11">
        <f t="shared" ca="1" si="27"/>
        <v>7.6252954294218718</v>
      </c>
      <c r="L247" s="20">
        <f t="shared" ca="1" si="28"/>
        <v>-0.74844193809293458</v>
      </c>
    </row>
    <row r="248" spans="4:12" x14ac:dyDescent="0.25">
      <c r="D248" s="22">
        <f t="shared" ca="1" si="30"/>
        <v>3.8737908638232628E-2</v>
      </c>
      <c r="E248" s="11">
        <v>0.68333333333333335</v>
      </c>
      <c r="F248" s="11">
        <f t="shared" ca="1" si="31"/>
        <v>66.167686535630082</v>
      </c>
      <c r="G248" s="11">
        <f t="shared" ca="1" si="29"/>
        <v>6.5338008874740225</v>
      </c>
      <c r="H248" s="11">
        <f t="shared" ca="1" si="24"/>
        <v>0.61123046239860424</v>
      </c>
      <c r="I248" s="11">
        <f t="shared" ca="1" si="25"/>
        <v>40.443705637019072</v>
      </c>
      <c r="J248" s="11">
        <f t="shared" ca="1" si="26"/>
        <v>-33.909904749545049</v>
      </c>
      <c r="K248" s="11">
        <f t="shared" ca="1" si="27"/>
        <v>7.2630614205382873</v>
      </c>
      <c r="L248" s="20">
        <f t="shared" ca="1" si="28"/>
        <v>-0.72926053306426475</v>
      </c>
    </row>
    <row r="249" spans="4:12" x14ac:dyDescent="0.25">
      <c r="D249" s="22">
        <f t="shared" ca="1" si="30"/>
        <v>3.915520564478641E-2</v>
      </c>
      <c r="E249" s="11">
        <v>0.68611111111111112</v>
      </c>
      <c r="F249" s="11">
        <f t="shared" ca="1" si="31"/>
        <v>66.485897153953388</v>
      </c>
      <c r="G249" s="11">
        <f t="shared" ca="1" si="29"/>
        <v>6.7246125177895664</v>
      </c>
      <c r="H249" s="11">
        <f t="shared" ca="1" si="24"/>
        <v>0.61998195326725414</v>
      </c>
      <c r="I249" s="11">
        <f t="shared" ca="1" si="25"/>
        <v>41.220056382233793</v>
      </c>
      <c r="J249" s="11">
        <f t="shared" ca="1" si="26"/>
        <v>-34.495443864444226</v>
      </c>
      <c r="K249" s="11">
        <f t="shared" ca="1" si="27"/>
        <v>7.4675662008937529</v>
      </c>
      <c r="L249" s="20">
        <f t="shared" ca="1" si="28"/>
        <v>-0.74295368310418652</v>
      </c>
    </row>
    <row r="250" spans="4:12" x14ac:dyDescent="0.25">
      <c r="D250" s="22">
        <f t="shared" ca="1" si="30"/>
        <v>3.9247567117729316E-2</v>
      </c>
      <c r="E250" s="11">
        <v>0.68888888888888888</v>
      </c>
      <c r="F250" s="11">
        <f t="shared" ca="1" si="31"/>
        <v>65.922110847624779</v>
      </c>
      <c r="G250" s="11">
        <f t="shared" ca="1" si="29"/>
        <v>6.3713142488923822</v>
      </c>
      <c r="H250" s="11">
        <f t="shared" ca="1" si="24"/>
        <v>0.60579724281049918</v>
      </c>
      <c r="I250" s="11">
        <f t="shared" ca="1" si="25"/>
        <v>39.935432991739191</v>
      </c>
      <c r="J250" s="11">
        <f t="shared" ca="1" si="26"/>
        <v>-33.564118742846809</v>
      </c>
      <c r="K250" s="11">
        <f t="shared" ca="1" si="27"/>
        <v>7.1162785190357143</v>
      </c>
      <c r="L250" s="20">
        <f t="shared" ca="1" si="28"/>
        <v>-0.74496427014333211</v>
      </c>
    </row>
    <row r="251" spans="4:12" x14ac:dyDescent="0.25">
      <c r="D251" s="22">
        <f t="shared" ca="1" si="30"/>
        <v>4.0296884857638306E-2</v>
      </c>
      <c r="E251" s="11">
        <v>0.69166666666666665</v>
      </c>
      <c r="F251" s="11">
        <f t="shared" ca="1" si="31"/>
        <v>65.577278864349694</v>
      </c>
      <c r="G251" s="11">
        <f t="shared" ca="1" si="29"/>
        <v>6.1586587477209633</v>
      </c>
      <c r="H251" s="11">
        <f t="shared" ca="1" si="24"/>
        <v>0.59910159312666567</v>
      </c>
      <c r="I251" s="11">
        <f t="shared" ca="1" si="25"/>
        <v>39.287452240543523</v>
      </c>
      <c r="J251" s="11">
        <f t="shared" ca="1" si="26"/>
        <v>-33.12879349282256</v>
      </c>
      <c r="K251" s="11">
        <f t="shared" ca="1" si="27"/>
        <v>6.94355468953695</v>
      </c>
      <c r="L251" s="20">
        <f t="shared" ca="1" si="28"/>
        <v>-0.78489594181598665</v>
      </c>
    </row>
    <row r="252" spans="4:12" x14ac:dyDescent="0.25">
      <c r="D252" s="22">
        <f t="shared" ca="1" si="30"/>
        <v>4.054766795847875E-2</v>
      </c>
      <c r="E252" s="11">
        <v>0.69444444444444442</v>
      </c>
      <c r="F252" s="11">
        <f t="shared" ca="1" si="31"/>
        <v>66.566234519217446</v>
      </c>
      <c r="G252" s="11">
        <f t="shared" ca="1" si="29"/>
        <v>6.7474120700545512</v>
      </c>
      <c r="H252" s="11">
        <f t="shared" ca="1" si="24"/>
        <v>0.62456374172041651</v>
      </c>
      <c r="I252" s="11">
        <f t="shared" ca="1" si="25"/>
        <v>41.5748565035612</v>
      </c>
      <c r="J252" s="11">
        <f t="shared" ca="1" si="26"/>
        <v>-34.827444433506649</v>
      </c>
      <c r="K252" s="11">
        <f t="shared" ca="1" si="27"/>
        <v>7.5496973939105745</v>
      </c>
      <c r="L252" s="20">
        <f t="shared" ca="1" si="28"/>
        <v>-0.80228532385602325</v>
      </c>
    </row>
    <row r="253" spans="4:12" x14ac:dyDescent="0.25">
      <c r="D253" s="22">
        <f t="shared" ca="1" si="30"/>
        <v>4.0719568971431058E-2</v>
      </c>
      <c r="E253" s="11">
        <v>0.6972222222222223</v>
      </c>
      <c r="F253" s="11">
        <f t="shared" ca="1" si="31"/>
        <v>66.916596071395034</v>
      </c>
      <c r="G253" s="11">
        <f t="shared" ca="1" si="29"/>
        <v>6.9622956400024805</v>
      </c>
      <c r="H253" s="11">
        <f t="shared" ca="1" si="24"/>
        <v>0.63347376414488576</v>
      </c>
      <c r="I253" s="11">
        <f t="shared" ca="1" si="25"/>
        <v>42.389907997109489</v>
      </c>
      <c r="J253" s="11">
        <f t="shared" ca="1" si="26"/>
        <v>-35.427612357107009</v>
      </c>
      <c r="K253" s="11">
        <f t="shared" ca="1" si="27"/>
        <v>7.7677704626212298</v>
      </c>
      <c r="L253" s="20">
        <f t="shared" ca="1" si="28"/>
        <v>-0.80547482261874936</v>
      </c>
    </row>
    <row r="254" spans="4:12" x14ac:dyDescent="0.25">
      <c r="D254" s="22">
        <f t="shared" ca="1" si="30"/>
        <v>4.0804744494288302E-2</v>
      </c>
      <c r="E254" s="11">
        <v>0.70000000000000007</v>
      </c>
      <c r="F254" s="11">
        <f t="shared" ca="1" si="31"/>
        <v>67.667322563145433</v>
      </c>
      <c r="G254" s="11">
        <f t="shared" ca="1" si="29"/>
        <v>7.4338453526830577</v>
      </c>
      <c r="H254" s="11">
        <f t="shared" ca="1" si="24"/>
        <v>0.65176942032661578</v>
      </c>
      <c r="I254" s="11">
        <f t="shared" ca="1" si="25"/>
        <v>44.103491602035426</v>
      </c>
      <c r="J254" s="11">
        <f t="shared" ca="1" si="26"/>
        <v>-36.669646249352368</v>
      </c>
      <c r="K254" s="11">
        <f t="shared" ca="1" si="27"/>
        <v>8.2440368182394153</v>
      </c>
      <c r="L254" s="20">
        <f t="shared" ca="1" si="28"/>
        <v>-0.81019146555635757</v>
      </c>
    </row>
    <row r="255" spans="4:12" x14ac:dyDescent="0.25">
      <c r="D255" s="22">
        <f t="shared" ca="1" si="30"/>
        <v>4.0257228285709441E-2</v>
      </c>
      <c r="E255" s="11">
        <v>0.70277777777777783</v>
      </c>
      <c r="F255" s="11">
        <f t="shared" ca="1" si="31"/>
        <v>67.977363218595798</v>
      </c>
      <c r="G255" s="11">
        <f t="shared" ca="1" si="29"/>
        <v>7.6318195352335749</v>
      </c>
      <c r="H255" s="11">
        <f t="shared" ca="1" si="24"/>
        <v>0.65789617960476376</v>
      </c>
      <c r="I255" s="11">
        <f t="shared" ca="1" si="25"/>
        <v>44.722047561119567</v>
      </c>
      <c r="J255" s="11">
        <f t="shared" ca="1" si="26"/>
        <v>-37.090228025885992</v>
      </c>
      <c r="K255" s="11">
        <f t="shared" ca="1" si="27"/>
        <v>8.4112513837271017</v>
      </c>
      <c r="L255" s="20">
        <f t="shared" ca="1" si="28"/>
        <v>-0.77943184849352676</v>
      </c>
    </row>
    <row r="256" spans="4:12" x14ac:dyDescent="0.25">
      <c r="D256" s="22">
        <f t="shared" ca="1" si="30"/>
        <v>4.0118320647560213E-2</v>
      </c>
      <c r="E256" s="11">
        <v>0.7055555555555556</v>
      </c>
      <c r="F256" s="11">
        <f t="shared" ca="1" si="31"/>
        <v>67.534806145406478</v>
      </c>
      <c r="G256" s="11">
        <f t="shared" ca="1" si="29"/>
        <v>7.3365293703725314</v>
      </c>
      <c r="H256" s="11">
        <f t="shared" ca="1" si="24"/>
        <v>0.64688867493777957</v>
      </c>
      <c r="I256" s="11">
        <f t="shared" ca="1" si="25"/>
        <v>43.687501259581808</v>
      </c>
      <c r="J256" s="11">
        <f t="shared" ca="1" si="26"/>
        <v>-36.350971889209276</v>
      </c>
      <c r="K256" s="11">
        <f t="shared" ca="1" si="27"/>
        <v>8.1059306374711078</v>
      </c>
      <c r="L256" s="20">
        <f t="shared" ca="1" si="28"/>
        <v>-0.76940126709857637</v>
      </c>
    </row>
    <row r="257" spans="4:12" x14ac:dyDescent="0.25">
      <c r="D257" s="22">
        <f t="shared" ca="1" si="30"/>
        <v>4.0832828540810447E-2</v>
      </c>
      <c r="E257" s="11">
        <v>0.70833333333333337</v>
      </c>
      <c r="F257" s="11">
        <f t="shared" ca="1" si="31"/>
        <v>67.053016344987569</v>
      </c>
      <c r="G257" s="11">
        <f t="shared" ca="1" si="29"/>
        <v>7.0207416792688591</v>
      </c>
      <c r="H257" s="11">
        <f t="shared" ca="1" si="24"/>
        <v>0.6365180241840811</v>
      </c>
      <c r="I257" s="11">
        <f t="shared" ca="1" si="25"/>
        <v>42.680453479494382</v>
      </c>
      <c r="J257" s="11">
        <f t="shared" ca="1" si="26"/>
        <v>-35.659711800225523</v>
      </c>
      <c r="K257" s="11">
        <f t="shared" ca="1" si="27"/>
        <v>7.8191980805253767</v>
      </c>
      <c r="L257" s="20">
        <f t="shared" ca="1" si="28"/>
        <v>-0.79845640125651762</v>
      </c>
    </row>
    <row r="258" spans="4:12" x14ac:dyDescent="0.25">
      <c r="D258" s="22">
        <f t="shared" ca="1" si="30"/>
        <v>4.0768183415540546E-2</v>
      </c>
      <c r="E258" s="11">
        <v>0.71111111111111114</v>
      </c>
      <c r="F258" s="11">
        <f t="shared" ca="1" si="31"/>
        <v>67.02190660250119</v>
      </c>
      <c r="G258" s="11">
        <f t="shared" ca="1" si="29"/>
        <v>6.996901256362321</v>
      </c>
      <c r="H258" s="11">
        <f t="shared" ref="H258:H321" ca="1" si="32">BSGreeks(F258,$B$3,$B$6 - E258,D258, $B$5,$H$1)</f>
        <v>0.63547444994634794</v>
      </c>
      <c r="I258" s="11">
        <f t="shared" ref="I258:I321" ca="1" si="33">F258*H258</f>
        <v>42.590709232579947</v>
      </c>
      <c r="J258" s="11">
        <f t="shared" ref="J258:J321" ca="1" si="34">G258 - I258</f>
        <v>-35.593807976217626</v>
      </c>
      <c r="K258" s="11">
        <f t="shared" ref="K258:K321" ca="1" si="35">BSCall(F258,$B$3, $B$6 - E258,D258,$B$5)</f>
        <v>7.7864029194528497</v>
      </c>
      <c r="L258" s="20">
        <f t="shared" ref="L258:L321" ca="1" si="36">G258 - K258</f>
        <v>-0.78950166309052872</v>
      </c>
    </row>
    <row r="259" spans="4:12" x14ac:dyDescent="0.25">
      <c r="D259" s="22">
        <f t="shared" ca="1" si="30"/>
        <v>4.1151099005293512E-2</v>
      </c>
      <c r="E259" s="11">
        <v>0.71388888888888891</v>
      </c>
      <c r="F259" s="11">
        <f t="shared" ca="1" si="31"/>
        <v>66.504554761272502</v>
      </c>
      <c r="G259" s="11">
        <f t="shared" ref="G259:G322" ca="1" si="37" xml:space="preserve"> H258*F259 + J258* EXP(D259*(E259 - E258))</f>
        <v>6.664068468421867</v>
      </c>
      <c r="H259" s="11">
        <f t="shared" ca="1" si="32"/>
        <v>0.62324857471165673</v>
      </c>
      <c r="I259" s="11">
        <f t="shared" ca="1" si="33"/>
        <v>41.448868966796411</v>
      </c>
      <c r="J259" s="11">
        <f t="shared" ca="1" si="34"/>
        <v>-34.784800498374544</v>
      </c>
      <c r="K259" s="11">
        <f t="shared" ca="1" si="35"/>
        <v>7.4676594460112709</v>
      </c>
      <c r="L259" s="20">
        <f t="shared" ca="1" si="36"/>
        <v>-0.8035909775894039</v>
      </c>
    </row>
    <row r="260" spans="4:12" x14ac:dyDescent="0.25">
      <c r="D260" s="22">
        <f t="shared" ref="D260:D323" ca="1" si="38">D259*1.002 + $B$5*D259*SQRT(E260-E259)*_xlfn.NORM.S.INV(RAND())</f>
        <v>4.1925696219537852E-2</v>
      </c>
      <c r="E260" s="11">
        <v>0.71666666666666667</v>
      </c>
      <c r="F260" s="11">
        <f t="shared" ref="F260:F323" ca="1" si="39">F259 + D259*F259*(E260-E259) + $B$5*F259*SQRT(E260-E259)*_xlfn.NORM.S.INV(RAND())</f>
        <v>65.921071197137465</v>
      </c>
      <c r="G260" s="11">
        <f t="shared" ca="1" si="37"/>
        <v>6.2963618856416517</v>
      </c>
      <c r="H260" s="11">
        <f t="shared" ca="1" si="32"/>
        <v>0.60991854646813193</v>
      </c>
      <c r="I260" s="11">
        <f t="shared" ca="1" si="33"/>
        <v>40.206483926180319</v>
      </c>
      <c r="J260" s="11">
        <f t="shared" ca="1" si="34"/>
        <v>-33.910122040538667</v>
      </c>
      <c r="K260" s="11">
        <f t="shared" ca="1" si="35"/>
        <v>7.1311814864611671</v>
      </c>
      <c r="L260" s="20">
        <f t="shared" ca="1" si="36"/>
        <v>-0.83481960081951545</v>
      </c>
    </row>
    <row r="261" spans="4:12" x14ac:dyDescent="0.25">
      <c r="D261" s="22">
        <f t="shared" ca="1" si="38"/>
        <v>4.1908680958574571E-2</v>
      </c>
      <c r="E261" s="11">
        <v>0.71944444444444444</v>
      </c>
      <c r="F261" s="11">
        <f t="shared" ca="1" si="39"/>
        <v>64.316377293094206</v>
      </c>
      <c r="G261" s="11">
        <f t="shared" ca="1" si="37"/>
        <v>5.3136815032502369</v>
      </c>
      <c r="H261" s="11">
        <f t="shared" ca="1" si="32"/>
        <v>0.56736328394537683</v>
      </c>
      <c r="I261" s="11">
        <f t="shared" ca="1" si="33"/>
        <v>36.490751032479793</v>
      </c>
      <c r="J261" s="11">
        <f t="shared" ca="1" si="34"/>
        <v>-31.177069529229556</v>
      </c>
      <c r="K261" s="11">
        <f t="shared" ca="1" si="35"/>
        <v>6.1757073542267094</v>
      </c>
      <c r="L261" s="20">
        <f t="shared" ca="1" si="36"/>
        <v>-0.86202585097647244</v>
      </c>
    </row>
    <row r="262" spans="4:12" x14ac:dyDescent="0.25">
      <c r="D262" s="22">
        <f t="shared" ca="1" si="38"/>
        <v>4.1746748185005025E-2</v>
      </c>
      <c r="E262" s="11">
        <v>0.72222222222222221</v>
      </c>
      <c r="F262" s="11">
        <f t="shared" ca="1" si="39"/>
        <v>64.023736698454186</v>
      </c>
      <c r="G262" s="11">
        <f t="shared" ca="1" si="37"/>
        <v>5.144032372406393</v>
      </c>
      <c r="H262" s="11">
        <f t="shared" ca="1" si="32"/>
        <v>0.55882933013010949</v>
      </c>
      <c r="I262" s="11">
        <f t="shared" ca="1" si="33"/>
        <v>35.778341891623661</v>
      </c>
      <c r="J262" s="11">
        <f t="shared" ca="1" si="34"/>
        <v>-30.634309519217268</v>
      </c>
      <c r="K262" s="11">
        <f t="shared" ca="1" si="35"/>
        <v>5.9949961376635663</v>
      </c>
      <c r="L262" s="20">
        <f t="shared" ca="1" si="36"/>
        <v>-0.85096376525717332</v>
      </c>
    </row>
    <row r="263" spans="4:12" x14ac:dyDescent="0.25">
      <c r="D263" s="22">
        <f t="shared" ca="1" si="38"/>
        <v>4.1903107122082242E-2</v>
      </c>
      <c r="E263" s="11">
        <v>0.72499999999999998</v>
      </c>
      <c r="F263" s="11">
        <f t="shared" ca="1" si="39"/>
        <v>63.881556546051421</v>
      </c>
      <c r="G263" s="11">
        <f t="shared" ca="1" si="37"/>
        <v>5.0610119679023171</v>
      </c>
      <c r="H263" s="11">
        <f t="shared" ca="1" si="32"/>
        <v>0.55505431868056565</v>
      </c>
      <c r="I263" s="11">
        <f t="shared" ca="1" si="33"/>
        <v>35.4577338449226</v>
      </c>
      <c r="J263" s="11">
        <f t="shared" ca="1" si="34"/>
        <v>-30.396721877020283</v>
      </c>
      <c r="K263" s="11">
        <f t="shared" ca="1" si="35"/>
        <v>5.9120747110823721</v>
      </c>
      <c r="L263" s="20">
        <f t="shared" ca="1" si="36"/>
        <v>-0.85106274318005504</v>
      </c>
    </row>
    <row r="264" spans="4:12" x14ac:dyDescent="0.25">
      <c r="D264" s="22">
        <f t="shared" ca="1" si="38"/>
        <v>4.157092703206279E-2</v>
      </c>
      <c r="E264" s="11">
        <v>0.72777777777777786</v>
      </c>
      <c r="F264" s="11">
        <f t="shared" ca="1" si="39"/>
        <v>63.392779865645657</v>
      </c>
      <c r="G264" s="11">
        <f t="shared" ca="1" si="37"/>
        <v>4.7862041026058044</v>
      </c>
      <c r="H264" s="11">
        <f t="shared" ca="1" si="32"/>
        <v>0.54058562811473565</v>
      </c>
      <c r="I264" s="11">
        <f t="shared" ca="1" si="33"/>
        <v>34.269225721609224</v>
      </c>
      <c r="J264" s="11">
        <f t="shared" ca="1" si="34"/>
        <v>-29.48302161900342</v>
      </c>
      <c r="K264" s="11">
        <f t="shared" ca="1" si="35"/>
        <v>5.6224182178916493</v>
      </c>
      <c r="L264" s="20">
        <f t="shared" ca="1" si="36"/>
        <v>-0.83621411528584488</v>
      </c>
    </row>
    <row r="265" spans="4:12" x14ac:dyDescent="0.25">
      <c r="D265" s="22">
        <f t="shared" ca="1" si="38"/>
        <v>4.2008222926861648E-2</v>
      </c>
      <c r="E265" s="11">
        <v>0.73055555555555562</v>
      </c>
      <c r="F265" s="11">
        <f t="shared" ca="1" si="39"/>
        <v>61.712043136472474</v>
      </c>
      <c r="G265" s="11">
        <f t="shared" ca="1" si="37"/>
        <v>3.8741814221445772</v>
      </c>
      <c r="H265" s="11">
        <f t="shared" ca="1" si="32"/>
        <v>0.49380820471565362</v>
      </c>
      <c r="I265" s="11">
        <f t="shared" ca="1" si="33"/>
        <v>30.473913230556445</v>
      </c>
      <c r="J265" s="11">
        <f t="shared" ca="1" si="34"/>
        <v>-26.599731808411867</v>
      </c>
      <c r="K265" s="11">
        <f t="shared" ca="1" si="35"/>
        <v>4.7587313369107767</v>
      </c>
      <c r="L265" s="20">
        <f t="shared" ca="1" si="36"/>
        <v>-0.88454991476619949</v>
      </c>
    </row>
    <row r="266" spans="4:12" x14ac:dyDescent="0.25">
      <c r="D266" s="22">
        <f t="shared" ca="1" si="38"/>
        <v>4.2108330006889981E-2</v>
      </c>
      <c r="E266" s="11">
        <v>0.73333333333333339</v>
      </c>
      <c r="F266" s="11">
        <f t="shared" ca="1" si="39"/>
        <v>62.059168748405263</v>
      </c>
      <c r="G266" s="11">
        <f t="shared" ca="1" si="37"/>
        <v>4.0424834090683888</v>
      </c>
      <c r="H266" s="11">
        <f t="shared" ca="1" si="32"/>
        <v>0.50366196706883681</v>
      </c>
      <c r="I266" s="11">
        <f t="shared" ca="1" si="33"/>
        <v>31.256843006478679</v>
      </c>
      <c r="J266" s="11">
        <f t="shared" ca="1" si="34"/>
        <v>-27.21435959741029</v>
      </c>
      <c r="K266" s="11">
        <f t="shared" ca="1" si="35"/>
        <v>4.9260292181052439</v>
      </c>
      <c r="L266" s="20">
        <f t="shared" ca="1" si="36"/>
        <v>-0.88354580903685509</v>
      </c>
    </row>
    <row r="267" spans="4:12" x14ac:dyDescent="0.25">
      <c r="D267" s="22">
        <f t="shared" ca="1" si="38"/>
        <v>4.2172671446848067E-2</v>
      </c>
      <c r="E267" s="11">
        <v>0.73611111111111116</v>
      </c>
      <c r="F267" s="11">
        <f t="shared" ca="1" si="39"/>
        <v>62.235951239517668</v>
      </c>
      <c r="G267" s="11">
        <f t="shared" ca="1" si="37"/>
        <v>4.1283337777489919</v>
      </c>
      <c r="H267" s="11">
        <f t="shared" ca="1" si="32"/>
        <v>0.50855065565305957</v>
      </c>
      <c r="I267" s="11">
        <f t="shared" ca="1" si="33"/>
        <v>31.650133808048555</v>
      </c>
      <c r="J267" s="11">
        <f t="shared" ca="1" si="34"/>
        <v>-27.521800030299563</v>
      </c>
      <c r="K267" s="11">
        <f t="shared" ca="1" si="35"/>
        <v>5.0084339751832632</v>
      </c>
      <c r="L267" s="20">
        <f t="shared" ca="1" si="36"/>
        <v>-0.88010019743427126</v>
      </c>
    </row>
    <row r="268" spans="4:12" x14ac:dyDescent="0.25">
      <c r="D268" s="22">
        <f t="shared" ca="1" si="38"/>
        <v>4.1841774878585064E-2</v>
      </c>
      <c r="E268" s="11">
        <v>0.73888888888888893</v>
      </c>
      <c r="F268" s="11">
        <f t="shared" ca="1" si="39"/>
        <v>62.691766644413235</v>
      </c>
      <c r="G268" s="11">
        <f t="shared" ca="1" si="37"/>
        <v>4.3569400344180629</v>
      </c>
      <c r="H268" s="11">
        <f t="shared" ca="1" si="32"/>
        <v>0.52046555973248632</v>
      </c>
      <c r="I268" s="11">
        <f t="shared" ca="1" si="33"/>
        <v>32.628905417202951</v>
      </c>
      <c r="J268" s="11">
        <f t="shared" ca="1" si="34"/>
        <v>-28.271965382784888</v>
      </c>
      <c r="K268" s="11">
        <f t="shared" ca="1" si="35"/>
        <v>5.2223586855391186</v>
      </c>
      <c r="L268" s="20">
        <f t="shared" ca="1" si="36"/>
        <v>-0.86541865112105576</v>
      </c>
    </row>
    <row r="269" spans="4:12" x14ac:dyDescent="0.25">
      <c r="D269" s="22">
        <f t="shared" ca="1" si="38"/>
        <v>4.1539586711699265E-2</v>
      </c>
      <c r="E269" s="11">
        <v>0.7416666666666667</v>
      </c>
      <c r="F269" s="11">
        <f t="shared" ca="1" si="39"/>
        <v>63.431742575140731</v>
      </c>
      <c r="G269" s="11">
        <f t="shared" ca="1" si="37"/>
        <v>4.7388095949589761</v>
      </c>
      <c r="H269" s="11">
        <f t="shared" ca="1" si="32"/>
        <v>0.5403126238071857</v>
      </c>
      <c r="I269" s="11">
        <f t="shared" ca="1" si="33"/>
        <v>34.272971263436261</v>
      </c>
      <c r="J269" s="11">
        <f t="shared" ca="1" si="34"/>
        <v>-29.534161668477285</v>
      </c>
      <c r="K269" s="11">
        <f t="shared" ca="1" si="35"/>
        <v>5.5947206324749388</v>
      </c>
      <c r="L269" s="20">
        <f t="shared" ca="1" si="36"/>
        <v>-0.85591103751596265</v>
      </c>
    </row>
    <row r="270" spans="4:12" x14ac:dyDescent="0.25">
      <c r="D270" s="22">
        <f t="shared" ca="1" si="38"/>
        <v>4.168085504090345E-2</v>
      </c>
      <c r="E270" s="11">
        <v>0.74444444444444446</v>
      </c>
      <c r="F270" s="11">
        <f t="shared" ca="1" si="39"/>
        <v>62.974810670538908</v>
      </c>
      <c r="G270" s="11">
        <f t="shared" ca="1" si="37"/>
        <v>4.4885038509678417</v>
      </c>
      <c r="H270" s="11">
        <f t="shared" ca="1" si="32"/>
        <v>0.5275457156878387</v>
      </c>
      <c r="I270" s="11">
        <f t="shared" ca="1" si="33"/>
        <v>33.222091565495589</v>
      </c>
      <c r="J270" s="11">
        <f t="shared" ca="1" si="34"/>
        <v>-28.733587714527747</v>
      </c>
      <c r="K270" s="11">
        <f t="shared" ca="1" si="35"/>
        <v>5.3462737818597175</v>
      </c>
      <c r="L270" s="20">
        <f t="shared" ca="1" si="36"/>
        <v>-0.85776993089187581</v>
      </c>
    </row>
    <row r="271" spans="4:12" x14ac:dyDescent="0.25">
      <c r="D271" s="22">
        <f t="shared" ca="1" si="38"/>
        <v>4.2911380460472451E-2</v>
      </c>
      <c r="E271" s="11">
        <v>0.74722222222222223</v>
      </c>
      <c r="F271" s="11">
        <f t="shared" ca="1" si="39"/>
        <v>62.644598778303674</v>
      </c>
      <c r="G271" s="11">
        <f t="shared" ca="1" si="37"/>
        <v>4.3108767836084496</v>
      </c>
      <c r="H271" s="11">
        <f t="shared" ca="1" si="32"/>
        <v>0.52066154323592961</v>
      </c>
      <c r="I271" s="11">
        <f t="shared" ca="1" si="33"/>
        <v>32.616633475307225</v>
      </c>
      <c r="J271" s="11">
        <f t="shared" ca="1" si="34"/>
        <v>-28.305756691698775</v>
      </c>
      <c r="K271" s="11">
        <f t="shared" ca="1" si="35"/>
        <v>5.2064162302846277</v>
      </c>
      <c r="L271" s="20">
        <f t="shared" ca="1" si="36"/>
        <v>-0.89553944667617813</v>
      </c>
    </row>
    <row r="272" spans="4:12" x14ac:dyDescent="0.25">
      <c r="D272" s="22">
        <f t="shared" ca="1" si="38"/>
        <v>4.3213396568622935E-2</v>
      </c>
      <c r="E272" s="11">
        <v>0.75</v>
      </c>
      <c r="F272" s="11">
        <f t="shared" ca="1" si="39"/>
        <v>63.416899091690389</v>
      </c>
      <c r="G272" s="11">
        <f t="shared" ca="1" si="37"/>
        <v>4.7095859085455665</v>
      </c>
      <c r="H272" s="11">
        <f t="shared" ca="1" si="32"/>
        <v>0.54283358224790967</v>
      </c>
      <c r="I272" s="11">
        <f t="shared" ca="1" si="33"/>
        <v>34.424822508996506</v>
      </c>
      <c r="J272" s="11">
        <f t="shared" ca="1" si="34"/>
        <v>-29.71523660045094</v>
      </c>
      <c r="K272" s="11">
        <f t="shared" ca="1" si="35"/>
        <v>5.6181431060823916</v>
      </c>
      <c r="L272" s="20">
        <f t="shared" ca="1" si="36"/>
        <v>-0.90855719753682518</v>
      </c>
    </row>
    <row r="273" spans="4:12" x14ac:dyDescent="0.25">
      <c r="D273" s="22">
        <f t="shared" ca="1" si="38"/>
        <v>4.3404149154491249E-2</v>
      </c>
      <c r="E273" s="11">
        <v>0.75277777777777777</v>
      </c>
      <c r="F273" s="11">
        <f t="shared" ca="1" si="39"/>
        <v>63.562243780683346</v>
      </c>
      <c r="G273" s="11">
        <f t="shared" ca="1" si="37"/>
        <v>4.784900991409355</v>
      </c>
      <c r="H273" s="11">
        <f t="shared" ca="1" si="32"/>
        <v>0.5470545342955464</v>
      </c>
      <c r="I273" s="11">
        <f t="shared" ca="1" si="33"/>
        <v>34.772013670221718</v>
      </c>
      <c r="J273" s="11">
        <f t="shared" ca="1" si="34"/>
        <v>-29.987112678812363</v>
      </c>
      <c r="K273" s="11">
        <f t="shared" ca="1" si="35"/>
        <v>5.694502968604124</v>
      </c>
      <c r="L273" s="20">
        <f t="shared" ca="1" si="36"/>
        <v>-0.90960197719476898</v>
      </c>
    </row>
    <row r="274" spans="4:12" x14ac:dyDescent="0.25">
      <c r="D274" s="22">
        <f t="shared" ca="1" si="38"/>
        <v>4.3954958414614241E-2</v>
      </c>
      <c r="E274" s="11">
        <v>0.75555555555555554</v>
      </c>
      <c r="F274" s="11">
        <f t="shared" ca="1" si="39"/>
        <v>63.634032177363082</v>
      </c>
      <c r="G274" s="11">
        <f t="shared" ca="1" si="37"/>
        <v>4.8205115960976386</v>
      </c>
      <c r="H274" s="11">
        <f t="shared" ca="1" si="32"/>
        <v>0.55001415228664241</v>
      </c>
      <c r="I274" s="11">
        <f t="shared" ca="1" si="33"/>
        <v>34.999618264613282</v>
      </c>
      <c r="J274" s="11">
        <f t="shared" ca="1" si="34"/>
        <v>-30.179106668515644</v>
      </c>
      <c r="K274" s="11">
        <f t="shared" ca="1" si="35"/>
        <v>5.7440896075577621</v>
      </c>
      <c r="L274" s="20">
        <f t="shared" ca="1" si="36"/>
        <v>-0.92357801146012353</v>
      </c>
    </row>
    <row r="275" spans="4:12" x14ac:dyDescent="0.25">
      <c r="D275" s="22">
        <f t="shared" ca="1" si="38"/>
        <v>4.3519418486381724E-2</v>
      </c>
      <c r="E275" s="11">
        <v>0.75833333333333341</v>
      </c>
      <c r="F275" s="11">
        <f t="shared" ca="1" si="39"/>
        <v>63.851106573436205</v>
      </c>
      <c r="G275" s="11">
        <f t="shared" ca="1" si="37"/>
        <v>4.9362570955893048</v>
      </c>
      <c r="H275" s="11">
        <f t="shared" ca="1" si="32"/>
        <v>0.55483817794279355</v>
      </c>
      <c r="I275" s="11">
        <f t="shared" ca="1" si="33"/>
        <v>35.427031630836474</v>
      </c>
      <c r="J275" s="11">
        <f t="shared" ca="1" si="34"/>
        <v>-30.490774535247169</v>
      </c>
      <c r="K275" s="11">
        <f t="shared" ca="1" si="35"/>
        <v>5.8382229422365599</v>
      </c>
      <c r="L275" s="20">
        <f t="shared" ca="1" si="36"/>
        <v>-0.9019658466472551</v>
      </c>
    </row>
    <row r="276" spans="4:12" x14ac:dyDescent="0.25">
      <c r="D276" s="22">
        <f t="shared" ca="1" si="38"/>
        <v>4.4636963406214744E-2</v>
      </c>
      <c r="E276" s="11">
        <v>0.76111111111111118</v>
      </c>
      <c r="F276" s="11">
        <f t="shared" ca="1" si="39"/>
        <v>63.5197338944539</v>
      </c>
      <c r="G276" s="11">
        <f t="shared" ca="1" si="37"/>
        <v>4.7486180489186545</v>
      </c>
      <c r="H276" s="11">
        <f t="shared" ca="1" si="32"/>
        <v>0.54779887065900434</v>
      </c>
      <c r="I276" s="11">
        <f t="shared" ca="1" si="33"/>
        <v>34.796038491942326</v>
      </c>
      <c r="J276" s="11">
        <f t="shared" ca="1" si="34"/>
        <v>-30.047420443023672</v>
      </c>
      <c r="K276" s="11">
        <f t="shared" ca="1" si="35"/>
        <v>5.6863311152131999</v>
      </c>
      <c r="L276" s="20">
        <f t="shared" ca="1" si="36"/>
        <v>-0.93771306629454543</v>
      </c>
    </row>
    <row r="277" spans="4:12" x14ac:dyDescent="0.25">
      <c r="D277" s="22">
        <f t="shared" ca="1" si="38"/>
        <v>4.4639147820198295E-2</v>
      </c>
      <c r="E277" s="11">
        <v>0.76388888888888895</v>
      </c>
      <c r="F277" s="11">
        <f t="shared" ca="1" si="39"/>
        <v>63.120025207729661</v>
      </c>
      <c r="G277" s="11">
        <f t="shared" ca="1" si="37"/>
        <v>4.5259320417255218</v>
      </c>
      <c r="H277" s="11">
        <f t="shared" ca="1" si="32"/>
        <v>0.53627473069585185</v>
      </c>
      <c r="I277" s="11">
        <f t="shared" ca="1" si="33"/>
        <v>33.849674519790604</v>
      </c>
      <c r="J277" s="11">
        <f t="shared" ca="1" si="34"/>
        <v>-29.323742478065082</v>
      </c>
      <c r="K277" s="11">
        <f t="shared" ca="1" si="35"/>
        <v>5.4599103008183105</v>
      </c>
      <c r="L277" s="20">
        <f t="shared" ca="1" si="36"/>
        <v>-0.93397825909278875</v>
      </c>
    </row>
    <row r="278" spans="4:12" x14ac:dyDescent="0.25">
      <c r="D278" s="22">
        <f t="shared" ca="1" si="38"/>
        <v>4.4917586370419038E-2</v>
      </c>
      <c r="E278" s="11">
        <v>0.76666666666666672</v>
      </c>
      <c r="F278" s="11">
        <f t="shared" ca="1" si="39"/>
        <v>63.075489358388232</v>
      </c>
      <c r="G278" s="11">
        <f t="shared" ca="1" si="37"/>
        <v>4.4983896080300347</v>
      </c>
      <c r="H278" s="11">
        <f t="shared" ca="1" si="32"/>
        <v>0.53534592299692074</v>
      </c>
      <c r="I278" s="11">
        <f t="shared" ca="1" si="33"/>
        <v>33.767206069048797</v>
      </c>
      <c r="J278" s="11">
        <f t="shared" ca="1" si="34"/>
        <v>-29.268816461018762</v>
      </c>
      <c r="K278" s="11">
        <f t="shared" ca="1" si="35"/>
        <v>5.4360027672096347</v>
      </c>
      <c r="L278" s="20">
        <f t="shared" ca="1" si="36"/>
        <v>-0.93761315917959998</v>
      </c>
    </row>
    <row r="279" spans="4:12" x14ac:dyDescent="0.25">
      <c r="D279" s="22">
        <f t="shared" ca="1" si="38"/>
        <v>4.5235836907589221E-2</v>
      </c>
      <c r="E279" s="11">
        <v>0.76944444444444449</v>
      </c>
      <c r="F279" s="11">
        <f t="shared" ca="1" si="39"/>
        <v>63.013661066155407</v>
      </c>
      <c r="G279" s="11">
        <f t="shared" ca="1" si="37"/>
        <v>4.4616120766489082</v>
      </c>
      <c r="H279" s="11">
        <f t="shared" ca="1" si="32"/>
        <v>0.53400740153243442</v>
      </c>
      <c r="I279" s="11">
        <f t="shared" ca="1" si="33"/>
        <v>33.649761406983181</v>
      </c>
      <c r="J279" s="11">
        <f t="shared" ca="1" si="34"/>
        <v>-29.188149330334273</v>
      </c>
      <c r="K279" s="11">
        <f t="shared" ca="1" si="35"/>
        <v>5.404222781216097</v>
      </c>
      <c r="L279" s="20">
        <f t="shared" ca="1" si="36"/>
        <v>-0.94261070456718876</v>
      </c>
    </row>
    <row r="280" spans="4:12" x14ac:dyDescent="0.25">
      <c r="D280" s="22">
        <f t="shared" ca="1" si="38"/>
        <v>4.568917056950756E-2</v>
      </c>
      <c r="E280" s="11">
        <v>0.77222222222222225</v>
      </c>
      <c r="F280" s="11">
        <f t="shared" ca="1" si="39"/>
        <v>62.808168434944029</v>
      </c>
      <c r="G280" s="11">
        <f t="shared" ca="1" si="37"/>
        <v>4.3481728601707736</v>
      </c>
      <c r="H280" s="11">
        <f t="shared" ca="1" si="32"/>
        <v>0.52885755524853251</v>
      </c>
      <c r="I280" s="11">
        <f t="shared" ca="1" si="33"/>
        <v>33.216574408142549</v>
      </c>
      <c r="J280" s="11">
        <f t="shared" ca="1" si="34"/>
        <v>-28.868401547971775</v>
      </c>
      <c r="K280" s="11">
        <f t="shared" ca="1" si="35"/>
        <v>5.3008491045731834</v>
      </c>
      <c r="L280" s="20">
        <f t="shared" ca="1" si="36"/>
        <v>-0.95267624440240972</v>
      </c>
    </row>
    <row r="281" spans="4:12" x14ac:dyDescent="0.25">
      <c r="D281" s="22">
        <f t="shared" ca="1" si="38"/>
        <v>4.6081446468808823E-2</v>
      </c>
      <c r="E281" s="11">
        <v>0.77500000000000002</v>
      </c>
      <c r="F281" s="11">
        <f t="shared" ca="1" si="39"/>
        <v>62.511518130659169</v>
      </c>
      <c r="G281" s="11">
        <f t="shared" ca="1" si="37"/>
        <v>4.1875915975775833</v>
      </c>
      <c r="H281" s="11">
        <f t="shared" ca="1" si="32"/>
        <v>0.52091075714111401</v>
      </c>
      <c r="I281" s="11">
        <f t="shared" ca="1" si="33"/>
        <v>32.562922239482141</v>
      </c>
      <c r="J281" s="11">
        <f t="shared" ca="1" si="34"/>
        <v>-28.375330641904558</v>
      </c>
      <c r="K281" s="11">
        <f t="shared" ca="1" si="35"/>
        <v>5.1486655160710448</v>
      </c>
      <c r="L281" s="20">
        <f t="shared" ca="1" si="36"/>
        <v>-0.96107391849346158</v>
      </c>
    </row>
    <row r="282" spans="4:12" x14ac:dyDescent="0.25">
      <c r="D282" s="22">
        <f t="shared" ca="1" si="38"/>
        <v>4.6064898169750852E-2</v>
      </c>
      <c r="E282" s="11">
        <v>0.77777777777777779</v>
      </c>
      <c r="F282" s="11">
        <f t="shared" ca="1" si="39"/>
        <v>60.734006701181521</v>
      </c>
      <c r="G282" s="11">
        <f t="shared" ca="1" si="37"/>
        <v>3.2580356887226962</v>
      </c>
      <c r="H282" s="11">
        <f t="shared" ca="1" si="32"/>
        <v>0.46856075286122323</v>
      </c>
      <c r="I282" s="11">
        <f t="shared" ca="1" si="33"/>
        <v>28.457571904184189</v>
      </c>
      <c r="J282" s="11">
        <f t="shared" ca="1" si="34"/>
        <v>-25.199536215461492</v>
      </c>
      <c r="K282" s="11">
        <f t="shared" ca="1" si="35"/>
        <v>4.2590469517004266</v>
      </c>
      <c r="L282" s="20">
        <f t="shared" ca="1" si="36"/>
        <v>-1.0010112629777304</v>
      </c>
    </row>
    <row r="283" spans="4:12" x14ac:dyDescent="0.25">
      <c r="D283" s="22">
        <f t="shared" ca="1" si="38"/>
        <v>4.6410884955141452E-2</v>
      </c>
      <c r="E283" s="11">
        <v>0.78055555555555556</v>
      </c>
      <c r="F283" s="11">
        <f t="shared" ca="1" si="39"/>
        <v>61.724781310454816</v>
      </c>
      <c r="G283" s="11">
        <f t="shared" ca="1" si="37"/>
        <v>3.7190248739844947</v>
      </c>
      <c r="H283" s="11">
        <f t="shared" ca="1" si="32"/>
        <v>0.49815258792189526</v>
      </c>
      <c r="I283" s="11">
        <f t="shared" ca="1" si="33"/>
        <v>30.748359548716099</v>
      </c>
      <c r="J283" s="11">
        <f t="shared" ca="1" si="34"/>
        <v>-27.029334674731604</v>
      </c>
      <c r="K283" s="11">
        <f t="shared" ca="1" si="35"/>
        <v>4.7392151459496814</v>
      </c>
      <c r="L283" s="20">
        <f t="shared" ca="1" si="36"/>
        <v>-1.0201902719651867</v>
      </c>
    </row>
    <row r="284" spans="4:12" x14ac:dyDescent="0.25">
      <c r="D284" s="22">
        <f t="shared" ca="1" si="38"/>
        <v>4.6465452346446709E-2</v>
      </c>
      <c r="E284" s="11">
        <v>0.78333333333333333</v>
      </c>
      <c r="F284" s="11">
        <f t="shared" ca="1" si="39"/>
        <v>61.392618841694826</v>
      </c>
      <c r="G284" s="11">
        <f t="shared" ca="1" si="37"/>
        <v>3.5500683602343166</v>
      </c>
      <c r="H284" s="11">
        <f t="shared" ca="1" si="32"/>
        <v>0.48818075781472225</v>
      </c>
      <c r="I284" s="11">
        <f t="shared" ca="1" si="33"/>
        <v>29.970695190368975</v>
      </c>
      <c r="J284" s="11">
        <f t="shared" ca="1" si="34"/>
        <v>-26.420626830134658</v>
      </c>
      <c r="K284" s="11">
        <f t="shared" ca="1" si="35"/>
        <v>4.5676143405282437</v>
      </c>
      <c r="L284" s="20">
        <f t="shared" ca="1" si="36"/>
        <v>-1.0175459802939271</v>
      </c>
    </row>
    <row r="285" spans="4:12" x14ac:dyDescent="0.25">
      <c r="D285" s="22">
        <f t="shared" ca="1" si="38"/>
        <v>4.6416710153142436E-2</v>
      </c>
      <c r="E285" s="11">
        <v>0.78611111111111109</v>
      </c>
      <c r="F285" s="11">
        <f t="shared" ca="1" si="39"/>
        <v>61.086885172027522</v>
      </c>
      <c r="G285" s="11">
        <f t="shared" ca="1" si="37"/>
        <v>3.3974082944602806</v>
      </c>
      <c r="H285" s="11">
        <f t="shared" ca="1" si="32"/>
        <v>0.47869566232778915</v>
      </c>
      <c r="I285" s="11">
        <f t="shared" ca="1" si="33"/>
        <v>29.242026956965315</v>
      </c>
      <c r="J285" s="11">
        <f t="shared" ca="1" si="34"/>
        <v>-25.844618662505034</v>
      </c>
      <c r="K285" s="11">
        <f t="shared" ca="1" si="35"/>
        <v>4.4089307245074849</v>
      </c>
      <c r="L285" s="20">
        <f t="shared" ca="1" si="36"/>
        <v>-1.0115224300472043</v>
      </c>
    </row>
    <row r="286" spans="4:12" x14ac:dyDescent="0.25">
      <c r="D286" s="22">
        <f t="shared" ca="1" si="38"/>
        <v>4.5857163058818699E-2</v>
      </c>
      <c r="E286" s="11">
        <v>0.78888888888888897</v>
      </c>
      <c r="F286" s="11">
        <f t="shared" ca="1" si="39"/>
        <v>60.673671258093847</v>
      </c>
      <c r="G286" s="11">
        <f t="shared" ca="1" si="37"/>
        <v>3.1963122629720218</v>
      </c>
      <c r="H286" s="11">
        <f t="shared" ca="1" si="32"/>
        <v>0.46484167321162512</v>
      </c>
      <c r="I286" s="11">
        <f t="shared" ca="1" si="33"/>
        <v>28.203650867504432</v>
      </c>
      <c r="J286" s="11">
        <f t="shared" ca="1" si="34"/>
        <v>-25.007338604532411</v>
      </c>
      <c r="K286" s="11">
        <f t="shared" ca="1" si="35"/>
        <v>4.1881744286106857</v>
      </c>
      <c r="L286" s="20">
        <f t="shared" ca="1" si="36"/>
        <v>-0.99186216563866392</v>
      </c>
    </row>
    <row r="287" spans="4:12" x14ac:dyDescent="0.25">
      <c r="D287" s="22">
        <f t="shared" ca="1" si="38"/>
        <v>4.7132755352015707E-2</v>
      </c>
      <c r="E287" s="11">
        <v>0.79166666666666674</v>
      </c>
      <c r="F287" s="11">
        <f t="shared" ca="1" si="39"/>
        <v>60.598466309777635</v>
      </c>
      <c r="G287" s="11">
        <f t="shared" ca="1" si="37"/>
        <v>3.1580795858135779</v>
      </c>
      <c r="H287" s="11">
        <f t="shared" ca="1" si="32"/>
        <v>0.46501493276555261</v>
      </c>
      <c r="I287" s="11">
        <f t="shared" ca="1" si="33"/>
        <v>28.179191736736851</v>
      </c>
      <c r="J287" s="11">
        <f t="shared" ca="1" si="34"/>
        <v>-25.021112150923273</v>
      </c>
      <c r="K287" s="11">
        <f t="shared" ca="1" si="35"/>
        <v>4.1810684294140756</v>
      </c>
      <c r="L287" s="20">
        <f t="shared" ca="1" si="36"/>
        <v>-1.0229888436004977</v>
      </c>
    </row>
    <row r="288" spans="4:12" x14ac:dyDescent="0.25">
      <c r="D288" s="22">
        <f t="shared" ca="1" si="38"/>
        <v>4.7361700909094369E-2</v>
      </c>
      <c r="E288" s="11">
        <v>0.79444444444444451</v>
      </c>
      <c r="F288" s="11">
        <f t="shared" ca="1" si="39"/>
        <v>59.87233796586554</v>
      </c>
      <c r="G288" s="11">
        <f t="shared" ca="1" si="37"/>
        <v>2.8171270617185193</v>
      </c>
      <c r="H288" s="11">
        <f t="shared" ca="1" si="32"/>
        <v>0.44338321807510522</v>
      </c>
      <c r="I288" s="11">
        <f t="shared" ca="1" si="33"/>
        <v>26.546389880985764</v>
      </c>
      <c r="J288" s="11">
        <f t="shared" ca="1" si="34"/>
        <v>-23.729262819267245</v>
      </c>
      <c r="K288" s="11">
        <f t="shared" ca="1" si="35"/>
        <v>3.8486030758697822</v>
      </c>
      <c r="L288" s="20">
        <f t="shared" ca="1" si="36"/>
        <v>-1.0314760141512629</v>
      </c>
    </row>
    <row r="289" spans="4:12" x14ac:dyDescent="0.25">
      <c r="D289" s="22">
        <f t="shared" ca="1" si="38"/>
        <v>4.7517084871090874E-2</v>
      </c>
      <c r="E289" s="11">
        <v>0.79722222222222228</v>
      </c>
      <c r="F289" s="11">
        <f t="shared" ca="1" si="39"/>
        <v>59.536188799378394</v>
      </c>
      <c r="G289" s="11">
        <f t="shared" ca="1" si="37"/>
        <v>2.6649518852725791</v>
      </c>
      <c r="H289" s="11">
        <f t="shared" ca="1" si="32"/>
        <v>0.43320072801419357</v>
      </c>
      <c r="I289" s="11">
        <f t="shared" ca="1" si="33"/>
        <v>25.791120331081196</v>
      </c>
      <c r="J289" s="11">
        <f t="shared" ca="1" si="34"/>
        <v>-23.126168445808617</v>
      </c>
      <c r="K289" s="11">
        <f t="shared" ca="1" si="35"/>
        <v>3.6965527924603587</v>
      </c>
      <c r="L289" s="20">
        <f t="shared" ca="1" si="36"/>
        <v>-1.0316009071877796</v>
      </c>
    </row>
    <row r="290" spans="4:12" x14ac:dyDescent="0.25">
      <c r="D290" s="22">
        <f t="shared" ca="1" si="38"/>
        <v>4.6740028721164249E-2</v>
      </c>
      <c r="E290" s="11">
        <v>0.8</v>
      </c>
      <c r="F290" s="11">
        <f t="shared" ca="1" si="39"/>
        <v>59.149217736114167</v>
      </c>
      <c r="G290" s="11">
        <f t="shared" ca="1" si="37"/>
        <v>2.4943129946404632</v>
      </c>
      <c r="H290" s="11">
        <f t="shared" ca="1" si="32"/>
        <v>0.41944952630502425</v>
      </c>
      <c r="I290" s="11">
        <f t="shared" ca="1" si="33"/>
        <v>24.810111360725827</v>
      </c>
      <c r="J290" s="11">
        <f t="shared" ca="1" si="34"/>
        <v>-22.315798366085364</v>
      </c>
      <c r="K290" s="11">
        <f t="shared" ca="1" si="35"/>
        <v>3.5025802621979412</v>
      </c>
      <c r="L290" s="20">
        <f t="shared" ca="1" si="36"/>
        <v>-1.008267267557478</v>
      </c>
    </row>
    <row r="291" spans="4:12" x14ac:dyDescent="0.25">
      <c r="D291" s="22">
        <f t="shared" ca="1" si="38"/>
        <v>4.7049563727926035E-2</v>
      </c>
      <c r="E291" s="11">
        <v>0.80277777777777781</v>
      </c>
      <c r="F291" s="11">
        <f t="shared" ca="1" si="39"/>
        <v>58.939441928477173</v>
      </c>
      <c r="G291" s="11">
        <f t="shared" ca="1" si="37"/>
        <v>2.4034059170775919</v>
      </c>
      <c r="H291" s="11">
        <f t="shared" ca="1" si="32"/>
        <v>0.41335358674654088</v>
      </c>
      <c r="I291" s="11">
        <f t="shared" ca="1" si="33"/>
        <v>24.362829721975498</v>
      </c>
      <c r="J291" s="11">
        <f t="shared" ca="1" si="34"/>
        <v>-21.959423804897906</v>
      </c>
      <c r="K291" s="11">
        <f t="shared" ca="1" si="35"/>
        <v>3.4144707781889183</v>
      </c>
      <c r="L291" s="20">
        <f t="shared" ca="1" si="36"/>
        <v>-1.0110648611113264</v>
      </c>
    </row>
    <row r="292" spans="4:12" x14ac:dyDescent="0.25">
      <c r="D292" s="22">
        <f t="shared" ca="1" si="38"/>
        <v>4.6971118185000708E-2</v>
      </c>
      <c r="E292" s="11">
        <v>0.80555555555555558</v>
      </c>
      <c r="F292" s="11">
        <f t="shared" ca="1" si="39"/>
        <v>59.680207838990533</v>
      </c>
      <c r="G292" s="11">
        <f t="shared" ca="1" si="37"/>
        <v>2.7067388131731427</v>
      </c>
      <c r="H292" s="11">
        <f t="shared" ca="1" si="32"/>
        <v>0.4351328735843798</v>
      </c>
      <c r="I292" s="11">
        <f t="shared" ca="1" si="33"/>
        <v>25.968820333092982</v>
      </c>
      <c r="J292" s="11">
        <f t="shared" ca="1" si="34"/>
        <v>-23.262081519919839</v>
      </c>
      <c r="K292" s="11">
        <f t="shared" ca="1" si="35"/>
        <v>3.7179881158853951</v>
      </c>
      <c r="L292" s="20">
        <f t="shared" ca="1" si="36"/>
        <v>-1.0112493027122524</v>
      </c>
    </row>
    <row r="293" spans="4:12" x14ac:dyDescent="0.25">
      <c r="D293" s="22">
        <f t="shared" ca="1" si="38"/>
        <v>4.6091275833165773E-2</v>
      </c>
      <c r="E293" s="11">
        <v>0.80833333333333335</v>
      </c>
      <c r="F293" s="11">
        <f t="shared" ca="1" si="39"/>
        <v>59.041298328411997</v>
      </c>
      <c r="G293" s="11">
        <f t="shared" ca="1" si="37"/>
        <v>2.4257498161664728</v>
      </c>
      <c r="H293" s="11">
        <f t="shared" ca="1" si="32"/>
        <v>0.41353363335877075</v>
      </c>
      <c r="I293" s="11">
        <f t="shared" ca="1" si="33"/>
        <v>24.415562615967332</v>
      </c>
      <c r="J293" s="11">
        <f t="shared" ca="1" si="34"/>
        <v>-21.989812799800859</v>
      </c>
      <c r="K293" s="11">
        <f t="shared" ca="1" si="35"/>
        <v>3.4154683702688233</v>
      </c>
      <c r="L293" s="20">
        <f t="shared" ca="1" si="36"/>
        <v>-0.98971855410235055</v>
      </c>
    </row>
    <row r="294" spans="4:12" x14ac:dyDescent="0.25">
      <c r="D294" s="22">
        <f t="shared" ca="1" si="38"/>
        <v>4.645230448566566E-2</v>
      </c>
      <c r="E294" s="11">
        <v>0.81111111111111112</v>
      </c>
      <c r="F294" s="11">
        <f t="shared" ca="1" si="39"/>
        <v>58.631293067721558</v>
      </c>
      <c r="G294" s="11">
        <f t="shared" ca="1" si="37"/>
        <v>2.2533612305020867</v>
      </c>
      <c r="H294" s="11">
        <f t="shared" ca="1" si="32"/>
        <v>0.40146823574499851</v>
      </c>
      <c r="I294" s="11">
        <f t="shared" ca="1" si="33"/>
        <v>23.538601787346135</v>
      </c>
      <c r="J294" s="11">
        <f t="shared" ca="1" si="34"/>
        <v>-21.285240556844048</v>
      </c>
      <c r="K294" s="11">
        <f t="shared" ca="1" si="35"/>
        <v>3.2487932505640664</v>
      </c>
      <c r="L294" s="20">
        <f t="shared" ca="1" si="36"/>
        <v>-0.99543202006197973</v>
      </c>
    </row>
    <row r="295" spans="4:12" x14ac:dyDescent="0.25">
      <c r="D295" s="22">
        <f t="shared" ca="1" si="38"/>
        <v>4.5628599845589472E-2</v>
      </c>
      <c r="E295" s="11">
        <v>0.81388888888888888</v>
      </c>
      <c r="F295" s="11">
        <f t="shared" ca="1" si="39"/>
        <v>58.886094900706304</v>
      </c>
      <c r="G295" s="11">
        <f t="shared" ca="1" si="37"/>
        <v>2.3529580804231394</v>
      </c>
      <c r="H295" s="11">
        <f t="shared" ca="1" si="32"/>
        <v>0.40700152766012138</v>
      </c>
      <c r="I295" s="11">
        <f t="shared" ca="1" si="33"/>
        <v>23.966730582526349</v>
      </c>
      <c r="J295" s="11">
        <f t="shared" ca="1" si="34"/>
        <v>-21.61377250210321</v>
      </c>
      <c r="K295" s="11">
        <f t="shared" ca="1" si="35"/>
        <v>3.3233540639419283</v>
      </c>
      <c r="L295" s="20">
        <f t="shared" ca="1" si="36"/>
        <v>-0.97039598351878897</v>
      </c>
    </row>
    <row r="296" spans="4:12" x14ac:dyDescent="0.25">
      <c r="D296" s="22">
        <f t="shared" ca="1" si="38"/>
        <v>4.5126794995656826E-2</v>
      </c>
      <c r="E296" s="11">
        <v>0.81666666666666665</v>
      </c>
      <c r="F296" s="11">
        <f t="shared" ca="1" si="39"/>
        <v>58.850180121261317</v>
      </c>
      <c r="G296" s="11">
        <f t="shared" ca="1" si="37"/>
        <v>2.3356312063925593</v>
      </c>
      <c r="H296" s="11">
        <f t="shared" ca="1" si="32"/>
        <v>0.40442400096603082</v>
      </c>
      <c r="I296" s="11">
        <f t="shared" ca="1" si="33"/>
        <v>23.800425302212073</v>
      </c>
      <c r="J296" s="11">
        <f t="shared" ca="1" si="34"/>
        <v>-21.464794095819514</v>
      </c>
      <c r="K296" s="11">
        <f t="shared" ca="1" si="35"/>
        <v>3.28813033616284</v>
      </c>
      <c r="L296" s="20">
        <f t="shared" ca="1" si="36"/>
        <v>-0.95249912977028073</v>
      </c>
    </row>
    <row r="297" spans="4:12" x14ac:dyDescent="0.25">
      <c r="D297" s="22">
        <f t="shared" ca="1" si="38"/>
        <v>4.5357851832666725E-2</v>
      </c>
      <c r="E297" s="11">
        <v>0.81944444444444453</v>
      </c>
      <c r="F297" s="11">
        <f t="shared" ca="1" si="39"/>
        <v>57.556973900469544</v>
      </c>
      <c r="G297" s="11">
        <f t="shared" ca="1" si="37"/>
        <v>1.8099229661544136</v>
      </c>
      <c r="H297" s="11">
        <f t="shared" ca="1" si="32"/>
        <v>0.36541411792606665</v>
      </c>
      <c r="I297" s="11">
        <f t="shared" ca="1" si="33"/>
        <v>21.032130848333718</v>
      </c>
      <c r="J297" s="11">
        <f t="shared" ca="1" si="34"/>
        <v>-19.222207882179305</v>
      </c>
      <c r="K297" s="11">
        <f t="shared" ca="1" si="35"/>
        <v>2.7875470561816464</v>
      </c>
      <c r="L297" s="20">
        <f t="shared" ca="1" si="36"/>
        <v>-0.97762409002723283</v>
      </c>
    </row>
    <row r="298" spans="4:12" x14ac:dyDescent="0.25">
      <c r="D298" s="22">
        <f t="shared" ca="1" si="38"/>
        <v>4.5293818292717745E-2</v>
      </c>
      <c r="E298" s="11">
        <v>0.8222222222222223</v>
      </c>
      <c r="F298" s="11">
        <f t="shared" ca="1" si="39"/>
        <v>57.701949040992794</v>
      </c>
      <c r="G298" s="11">
        <f t="shared" ca="1" si="37"/>
        <v>1.8604803126831477</v>
      </c>
      <c r="H298" s="11">
        <f t="shared" ca="1" si="32"/>
        <v>0.3691810096971585</v>
      </c>
      <c r="I298" s="11">
        <f t="shared" ca="1" si="33"/>
        <v>21.302463808447705</v>
      </c>
      <c r="J298" s="11">
        <f t="shared" ca="1" si="34"/>
        <v>-19.441983495764557</v>
      </c>
      <c r="K298" s="11">
        <f t="shared" ca="1" si="35"/>
        <v>2.8315457923920415</v>
      </c>
      <c r="L298" s="20">
        <f t="shared" ca="1" si="36"/>
        <v>-0.97106547970889379</v>
      </c>
    </row>
    <row r="299" spans="4:12" x14ac:dyDescent="0.25">
      <c r="D299" s="22">
        <f t="shared" ca="1" si="38"/>
        <v>4.5295907204885487E-2</v>
      </c>
      <c r="E299" s="11">
        <v>0.82500000000000007</v>
      </c>
      <c r="F299" s="11">
        <f t="shared" ca="1" si="39"/>
        <v>57.414622639749687</v>
      </c>
      <c r="G299" s="11">
        <f t="shared" ca="1" si="37"/>
        <v>1.7519584793020719</v>
      </c>
      <c r="H299" s="11">
        <f t="shared" ca="1" si="32"/>
        <v>0.36007093946396873</v>
      </c>
      <c r="I299" s="11">
        <f t="shared" ca="1" si="33"/>
        <v>20.673337112863919</v>
      </c>
      <c r="J299" s="11">
        <f t="shared" ca="1" si="34"/>
        <v>-18.921378633561847</v>
      </c>
      <c r="K299" s="11">
        <f t="shared" ca="1" si="35"/>
        <v>2.7189938910350064</v>
      </c>
      <c r="L299" s="20">
        <f t="shared" ca="1" si="36"/>
        <v>-0.9670354117329345</v>
      </c>
    </row>
    <row r="300" spans="4:12" x14ac:dyDescent="0.25">
      <c r="D300" s="22">
        <f t="shared" ca="1" si="38"/>
        <v>4.5569041800696722E-2</v>
      </c>
      <c r="E300" s="11">
        <v>0.82777777777777783</v>
      </c>
      <c r="F300" s="11">
        <f t="shared" ca="1" si="39"/>
        <v>57.128769893142319</v>
      </c>
      <c r="G300" s="11">
        <f t="shared" ca="1" si="37"/>
        <v>1.6466359798746026</v>
      </c>
      <c r="H300" s="11">
        <f t="shared" ca="1" si="32"/>
        <v>0.35156367136073169</v>
      </c>
      <c r="I300" s="11">
        <f t="shared" ca="1" si="33"/>
        <v>20.084400083955551</v>
      </c>
      <c r="J300" s="11">
        <f t="shared" ca="1" si="34"/>
        <v>-18.437764104080948</v>
      </c>
      <c r="K300" s="11">
        <f t="shared" ca="1" si="35"/>
        <v>2.6152535509017594</v>
      </c>
      <c r="L300" s="20">
        <f t="shared" ca="1" si="36"/>
        <v>-0.96861757102715673</v>
      </c>
    </row>
    <row r="301" spans="4:12" x14ac:dyDescent="0.25">
      <c r="D301" s="22">
        <f t="shared" ca="1" si="38"/>
        <v>4.5691702455832331E-2</v>
      </c>
      <c r="E301" s="11">
        <v>0.8305555555555556</v>
      </c>
      <c r="F301" s="11">
        <f t="shared" ca="1" si="39"/>
        <v>57.655165399336994</v>
      </c>
      <c r="G301" s="11">
        <f t="shared" ca="1" si="37"/>
        <v>1.8293572213526907</v>
      </c>
      <c r="H301" s="11">
        <f t="shared" ca="1" si="32"/>
        <v>0.36718212500637498</v>
      </c>
      <c r="I301" s="11">
        <f t="shared" ca="1" si="33"/>
        <v>21.16994614892258</v>
      </c>
      <c r="J301" s="11">
        <f t="shared" ca="1" si="34"/>
        <v>-19.34058892756989</v>
      </c>
      <c r="K301" s="11">
        <f t="shared" ca="1" si="35"/>
        <v>2.7992141583048782</v>
      </c>
      <c r="L301" s="20">
        <f t="shared" ca="1" si="36"/>
        <v>-0.96985693695218744</v>
      </c>
    </row>
    <row r="302" spans="4:12" x14ac:dyDescent="0.25">
      <c r="D302" s="22">
        <f t="shared" ca="1" si="38"/>
        <v>4.6094122732123585E-2</v>
      </c>
      <c r="E302" s="11">
        <v>0.83333333333333337</v>
      </c>
      <c r="F302" s="11">
        <f t="shared" ca="1" si="39"/>
        <v>56.431103125353012</v>
      </c>
      <c r="G302" s="11">
        <f t="shared" ca="1" si="37"/>
        <v>1.3774269217987332</v>
      </c>
      <c r="H302" s="11">
        <f t="shared" ca="1" si="32"/>
        <v>0.33078791945888003</v>
      </c>
      <c r="I302" s="11">
        <f t="shared" ca="1" si="33"/>
        <v>18.666727195605024</v>
      </c>
      <c r="J302" s="11">
        <f t="shared" ca="1" si="34"/>
        <v>-17.28930027380629</v>
      </c>
      <c r="K302" s="11">
        <f t="shared" ca="1" si="35"/>
        <v>2.372600215942744</v>
      </c>
      <c r="L302" s="20">
        <f t="shared" ca="1" si="36"/>
        <v>-0.99517329414401079</v>
      </c>
    </row>
    <row r="303" spans="4:12" x14ac:dyDescent="0.25">
      <c r="D303" s="22">
        <f t="shared" ca="1" si="38"/>
        <v>4.5613358388413294E-2</v>
      </c>
      <c r="E303" s="11">
        <v>0.83611111111111114</v>
      </c>
      <c r="F303" s="11">
        <f t="shared" ca="1" si="39"/>
        <v>55.728592232466163</v>
      </c>
      <c r="G303" s="11">
        <f t="shared" ca="1" si="37"/>
        <v>1.142854046775323</v>
      </c>
      <c r="H303" s="11">
        <f t="shared" ca="1" si="32"/>
        <v>0.30862086160452917</v>
      </c>
      <c r="I303" s="11">
        <f t="shared" ca="1" si="33"/>
        <v>17.199006150791178</v>
      </c>
      <c r="J303" s="11">
        <f t="shared" ca="1" si="34"/>
        <v>-16.056152104015855</v>
      </c>
      <c r="K303" s="11">
        <f t="shared" ca="1" si="35"/>
        <v>2.1320861188568903</v>
      </c>
      <c r="L303" s="20">
        <f t="shared" ca="1" si="36"/>
        <v>-0.98923207208156727</v>
      </c>
    </row>
    <row r="304" spans="4:12" x14ac:dyDescent="0.25">
      <c r="D304" s="22">
        <f t="shared" ca="1" si="38"/>
        <v>4.5878082892232518E-2</v>
      </c>
      <c r="E304" s="11">
        <v>0.83888888888888891</v>
      </c>
      <c r="F304" s="11">
        <f t="shared" ca="1" si="39"/>
        <v>56.982882844237473</v>
      </c>
      <c r="G304" s="11">
        <f t="shared" ca="1" si="37"/>
        <v>1.5279079838143126</v>
      </c>
      <c r="H304" s="11">
        <f t="shared" ca="1" si="32"/>
        <v>0.34586756489281367</v>
      </c>
      <c r="I304" s="11">
        <f t="shared" ca="1" si="33"/>
        <v>19.708530929908903</v>
      </c>
      <c r="J304" s="11">
        <f t="shared" ca="1" si="34"/>
        <v>-18.180622946094591</v>
      </c>
      <c r="K304" s="11">
        <f t="shared" ca="1" si="35"/>
        <v>2.5401152395261204</v>
      </c>
      <c r="L304" s="20">
        <f t="shared" ca="1" si="36"/>
        <v>-1.0122072557118078</v>
      </c>
    </row>
    <row r="305" spans="4:12" x14ac:dyDescent="0.25">
      <c r="D305" s="22">
        <f t="shared" ca="1" si="38"/>
        <v>4.5389694321619163E-2</v>
      </c>
      <c r="E305" s="11">
        <v>0.84166666666666667</v>
      </c>
      <c r="F305" s="11">
        <f t="shared" ca="1" si="39"/>
        <v>56.815117653849143</v>
      </c>
      <c r="G305" s="11">
        <f t="shared" ca="1" si="37"/>
        <v>1.4675910433222192</v>
      </c>
      <c r="H305" s="11">
        <f t="shared" ca="1" si="32"/>
        <v>0.33938113920968216</v>
      </c>
      <c r="I305" s="11">
        <f t="shared" ca="1" si="33"/>
        <v>19.281979353695448</v>
      </c>
      <c r="J305" s="11">
        <f t="shared" ca="1" si="34"/>
        <v>-17.814388310373229</v>
      </c>
      <c r="K305" s="11">
        <f t="shared" ca="1" si="35"/>
        <v>2.4654633614849915</v>
      </c>
      <c r="L305" s="20">
        <f t="shared" ca="1" si="36"/>
        <v>-0.99787231816277222</v>
      </c>
    </row>
    <row r="306" spans="4:12" x14ac:dyDescent="0.25">
      <c r="D306" s="22">
        <f t="shared" ca="1" si="38"/>
        <v>4.4948582489816737E-2</v>
      </c>
      <c r="E306" s="11">
        <v>0.84444444444444444</v>
      </c>
      <c r="F306" s="11">
        <f t="shared" ca="1" si="39"/>
        <v>57.030563399841462</v>
      </c>
      <c r="G306" s="11">
        <f t="shared" ca="1" si="37"/>
        <v>1.5384848729986054</v>
      </c>
      <c r="H306" s="11">
        <f t="shared" ca="1" si="32"/>
        <v>0.34448202390244692</v>
      </c>
      <c r="I306" s="11">
        <f t="shared" ca="1" si="33"/>
        <v>19.646003904274203</v>
      </c>
      <c r="J306" s="11">
        <f t="shared" ca="1" si="34"/>
        <v>-18.107519031275597</v>
      </c>
      <c r="K306" s="11">
        <f t="shared" ca="1" si="35"/>
        <v>2.5229433391644198</v>
      </c>
      <c r="L306" s="20">
        <f t="shared" ca="1" si="36"/>
        <v>-0.98445846616581445</v>
      </c>
    </row>
    <row r="307" spans="4:12" x14ac:dyDescent="0.25">
      <c r="D307" s="22">
        <f t="shared" ca="1" si="38"/>
        <v>4.5286782318908307E-2</v>
      </c>
      <c r="E307" s="11">
        <v>0.84722222222222221</v>
      </c>
      <c r="F307" s="11">
        <f t="shared" ca="1" si="39"/>
        <v>57.562231228705024</v>
      </c>
      <c r="G307" s="11">
        <f t="shared" ca="1" si="37"/>
        <v>1.7193568748031005</v>
      </c>
      <c r="H307" s="11">
        <f t="shared" ca="1" si="32"/>
        <v>0.36071249861862253</v>
      </c>
      <c r="I307" s="11">
        <f t="shared" ca="1" si="33"/>
        <v>20.76341625256909</v>
      </c>
      <c r="J307" s="11">
        <f t="shared" ca="1" si="34"/>
        <v>-19.04405937776599</v>
      </c>
      <c r="K307" s="11">
        <f t="shared" ca="1" si="35"/>
        <v>2.7095601180617428</v>
      </c>
      <c r="L307" s="20">
        <f t="shared" ca="1" si="36"/>
        <v>-0.99020324325864228</v>
      </c>
    </row>
    <row r="308" spans="4:12" x14ac:dyDescent="0.25">
      <c r="D308" s="22">
        <f t="shared" ca="1" si="38"/>
        <v>4.5291129741745872E-2</v>
      </c>
      <c r="E308" s="11">
        <v>0.85</v>
      </c>
      <c r="F308" s="11">
        <f t="shared" ca="1" si="39"/>
        <v>56.991580481903895</v>
      </c>
      <c r="G308" s="11">
        <f t="shared" ca="1" si="37"/>
        <v>1.5111199591329409</v>
      </c>
      <c r="H308" s="11">
        <f t="shared" ca="1" si="32"/>
        <v>0.34301048789017863</v>
      </c>
      <c r="I308" s="11">
        <f t="shared" ca="1" si="33"/>
        <v>19.548709826730235</v>
      </c>
      <c r="J308" s="11">
        <f t="shared" ca="1" si="34"/>
        <v>-18.037589867597294</v>
      </c>
      <c r="K308" s="11">
        <f t="shared" ca="1" si="35"/>
        <v>2.5011531235457571</v>
      </c>
      <c r="L308" s="20">
        <f t="shared" ca="1" si="36"/>
        <v>-0.99003316441281619</v>
      </c>
    </row>
    <row r="309" spans="4:12" x14ac:dyDescent="0.25">
      <c r="D309" s="22">
        <f t="shared" ca="1" si="38"/>
        <v>4.5516727807605191E-2</v>
      </c>
      <c r="E309" s="11">
        <v>0.85277777777777786</v>
      </c>
      <c r="F309" s="11">
        <f t="shared" ca="1" si="39"/>
        <v>56.143120183980507</v>
      </c>
      <c r="G309" s="11">
        <f t="shared" ca="1" si="37"/>
        <v>1.21780844512854</v>
      </c>
      <c r="H309" s="11">
        <f t="shared" ca="1" si="32"/>
        <v>0.31760448693565257</v>
      </c>
      <c r="I309" s="11">
        <f t="shared" ca="1" si="33"/>
        <v>17.831306880999808</v>
      </c>
      <c r="J309" s="11">
        <f t="shared" ca="1" si="34"/>
        <v>-16.613498435871268</v>
      </c>
      <c r="K309" s="11">
        <f t="shared" ca="1" si="35"/>
        <v>2.2177854766257243</v>
      </c>
      <c r="L309" s="20">
        <f t="shared" ca="1" si="36"/>
        <v>-0.99997703149718431</v>
      </c>
    </row>
    <row r="310" spans="4:12" x14ac:dyDescent="0.25">
      <c r="D310" s="22">
        <f t="shared" ca="1" si="38"/>
        <v>4.6393535134771874E-2</v>
      </c>
      <c r="E310" s="11">
        <v>0.85555555555555562</v>
      </c>
      <c r="F310" s="11">
        <f t="shared" ca="1" si="39"/>
        <v>55.980917028431854</v>
      </c>
      <c r="G310" s="11">
        <f t="shared" ca="1" si="37"/>
        <v>1.1641508601596691</v>
      </c>
      <c r="H310" s="11">
        <f t="shared" ca="1" si="32"/>
        <v>0.31395638793543607</v>
      </c>
      <c r="I310" s="11">
        <f t="shared" ca="1" si="33"/>
        <v>17.575566503559809</v>
      </c>
      <c r="J310" s="11">
        <f t="shared" ca="1" si="34"/>
        <v>-16.41141564340014</v>
      </c>
      <c r="K310" s="11">
        <f t="shared" ca="1" si="35"/>
        <v>2.1749913518425665</v>
      </c>
      <c r="L310" s="20">
        <f t="shared" ca="1" si="36"/>
        <v>-1.0108404916828975</v>
      </c>
    </row>
    <row r="311" spans="4:12" x14ac:dyDescent="0.25">
      <c r="D311" s="22">
        <f t="shared" ca="1" si="38"/>
        <v>4.6003673603979577E-2</v>
      </c>
      <c r="E311" s="11">
        <v>0.85833333333333339</v>
      </c>
      <c r="F311" s="11">
        <f t="shared" ca="1" si="39"/>
        <v>56.922534843382749</v>
      </c>
      <c r="G311" s="11">
        <f t="shared" ca="1" si="37"/>
        <v>1.4576804724636325</v>
      </c>
      <c r="H311" s="11">
        <f t="shared" ca="1" si="32"/>
        <v>0.3408495942740612</v>
      </c>
      <c r="I311" s="11">
        <f t="shared" ca="1" si="33"/>
        <v>19.402022906418122</v>
      </c>
      <c r="J311" s="11">
        <f t="shared" ca="1" si="34"/>
        <v>-17.944342433954489</v>
      </c>
      <c r="K311" s="11">
        <f t="shared" ca="1" si="35"/>
        <v>2.4686710763563706</v>
      </c>
      <c r="L311" s="20">
        <f t="shared" ca="1" si="36"/>
        <v>-1.0109906038927381</v>
      </c>
    </row>
    <row r="312" spans="4:12" x14ac:dyDescent="0.25">
      <c r="D312" s="22">
        <f t="shared" ca="1" si="38"/>
        <v>4.5596566482387996E-2</v>
      </c>
      <c r="E312" s="11">
        <v>0.86111111111111116</v>
      </c>
      <c r="F312" s="11">
        <f t="shared" ca="1" si="39"/>
        <v>56.201695313213698</v>
      </c>
      <c r="G312" s="11">
        <f t="shared" ca="1" si="37"/>
        <v>1.2097096882343124</v>
      </c>
      <c r="H312" s="11">
        <f t="shared" ca="1" si="32"/>
        <v>0.31796860033893826</v>
      </c>
      <c r="I312" s="11">
        <f t="shared" ca="1" si="33"/>
        <v>17.870374395418025</v>
      </c>
      <c r="J312" s="11">
        <f t="shared" ca="1" si="34"/>
        <v>-16.660664707183713</v>
      </c>
      <c r="K312" s="11">
        <f t="shared" ca="1" si="35"/>
        <v>2.2162796310235455</v>
      </c>
      <c r="L312" s="20">
        <f t="shared" ca="1" si="36"/>
        <v>-1.0065699427892332</v>
      </c>
    </row>
    <row r="313" spans="4:12" x14ac:dyDescent="0.25">
      <c r="D313" s="22">
        <f t="shared" ca="1" si="38"/>
        <v>4.5957939765130185E-2</v>
      </c>
      <c r="E313" s="11">
        <v>0.86388888888888893</v>
      </c>
      <c r="F313" s="11">
        <f t="shared" ca="1" si="39"/>
        <v>56.471108885705661</v>
      </c>
      <c r="G313" s="11">
        <f t="shared" ca="1" si="37"/>
        <v>1.2932476928433339</v>
      </c>
      <c r="H313" s="11">
        <f t="shared" ca="1" si="32"/>
        <v>0.326189077545609</v>
      </c>
      <c r="I313" s="11">
        <f t="shared" ca="1" si="33"/>
        <v>18.420258915405974</v>
      </c>
      <c r="J313" s="11">
        <f t="shared" ca="1" si="34"/>
        <v>-17.12701122256264</v>
      </c>
      <c r="K313" s="11">
        <f t="shared" ca="1" si="35"/>
        <v>2.3022992710556291</v>
      </c>
      <c r="L313" s="20">
        <f t="shared" ca="1" si="36"/>
        <v>-1.0090515782122953</v>
      </c>
    </row>
    <row r="314" spans="4:12" x14ac:dyDescent="0.25">
      <c r="D314" s="22">
        <f t="shared" ca="1" si="38"/>
        <v>4.6999884270097894E-2</v>
      </c>
      <c r="E314" s="11">
        <v>0.8666666666666667</v>
      </c>
      <c r="F314" s="11">
        <f t="shared" ca="1" si="39"/>
        <v>55.541059886449048</v>
      </c>
      <c r="G314" s="11">
        <f t="shared" ca="1" si="37"/>
        <v>0.98763970077581931</v>
      </c>
      <c r="H314" s="11">
        <f t="shared" ca="1" si="32"/>
        <v>0.30002701553432687</v>
      </c>
      <c r="I314" s="11">
        <f t="shared" ca="1" si="33"/>
        <v>16.663818437344627</v>
      </c>
      <c r="J314" s="11">
        <f t="shared" ca="1" si="34"/>
        <v>-15.676178736568808</v>
      </c>
      <c r="K314" s="11">
        <f t="shared" ca="1" si="35"/>
        <v>2.0221462628484059</v>
      </c>
      <c r="L314" s="20">
        <f t="shared" ca="1" si="36"/>
        <v>-1.0345065620725866</v>
      </c>
    </row>
    <row r="315" spans="4:12" x14ac:dyDescent="0.25">
      <c r="D315" s="22">
        <f t="shared" ca="1" si="38"/>
        <v>4.661174207072611E-2</v>
      </c>
      <c r="E315" s="11">
        <v>0.86944444444444446</v>
      </c>
      <c r="F315" s="11">
        <f t="shared" ca="1" si="39"/>
        <v>54.66513692410544</v>
      </c>
      <c r="G315" s="11">
        <f t="shared" ca="1" si="37"/>
        <v>0.72280931158470807</v>
      </c>
      <c r="H315" s="11">
        <f t="shared" ca="1" si="32"/>
        <v>0.27336835156639394</v>
      </c>
      <c r="I315" s="11">
        <f t="shared" ca="1" si="33"/>
        <v>14.943718369093919</v>
      </c>
      <c r="J315" s="11">
        <f t="shared" ca="1" si="34"/>
        <v>-14.220909057509211</v>
      </c>
      <c r="K315" s="11">
        <f t="shared" ca="1" si="35"/>
        <v>1.7582570345717288</v>
      </c>
      <c r="L315" s="20">
        <f t="shared" ca="1" si="36"/>
        <v>-1.0354477229870207</v>
      </c>
    </row>
    <row r="316" spans="4:12" x14ac:dyDescent="0.25">
      <c r="D316" s="22">
        <f t="shared" ca="1" si="38"/>
        <v>4.7649178199989983E-2</v>
      </c>
      <c r="E316" s="11">
        <v>0.87222222222222223</v>
      </c>
      <c r="F316" s="11">
        <f t="shared" ca="1" si="39"/>
        <v>54.107787264302424</v>
      </c>
      <c r="G316" s="11">
        <f t="shared" ca="1" si="37"/>
        <v>0.56856516640503152</v>
      </c>
      <c r="H316" s="11">
        <f t="shared" ca="1" si="32"/>
        <v>0.25881216810482299</v>
      </c>
      <c r="I316" s="11">
        <f t="shared" ca="1" si="33"/>
        <v>14.00375373322864</v>
      </c>
      <c r="J316" s="11">
        <f t="shared" ca="1" si="34"/>
        <v>-13.435188566823609</v>
      </c>
      <c r="K316" s="11">
        <f t="shared" ca="1" si="35"/>
        <v>1.6185969224400867</v>
      </c>
      <c r="L316" s="20">
        <f t="shared" ca="1" si="36"/>
        <v>-1.0500317560350552</v>
      </c>
    </row>
    <row r="317" spans="4:12" x14ac:dyDescent="0.25">
      <c r="D317" s="22">
        <f t="shared" ca="1" si="38"/>
        <v>4.738940694777518E-2</v>
      </c>
      <c r="E317" s="11">
        <v>0.875</v>
      </c>
      <c r="F317" s="11">
        <f t="shared" ca="1" si="39"/>
        <v>53.522133280787479</v>
      </c>
      <c r="G317" s="11">
        <f t="shared" ca="1" si="37"/>
        <v>0.41522210160002082</v>
      </c>
      <c r="H317" s="11">
        <f t="shared" ca="1" si="32"/>
        <v>0.24153427969415481</v>
      </c>
      <c r="I317" s="11">
        <f t="shared" ca="1" si="33"/>
        <v>12.927429909669554</v>
      </c>
      <c r="J317" s="11">
        <f t="shared" ca="1" si="34"/>
        <v>-12.512207808069533</v>
      </c>
      <c r="K317" s="11">
        <f t="shared" ca="1" si="35"/>
        <v>1.4625631020725349</v>
      </c>
      <c r="L317" s="20">
        <f t="shared" ca="1" si="36"/>
        <v>-1.0473410004725141</v>
      </c>
    </row>
    <row r="318" spans="4:12" x14ac:dyDescent="0.25">
      <c r="D318" s="22">
        <f t="shared" ca="1" si="38"/>
        <v>4.7673923696956458E-2</v>
      </c>
      <c r="E318" s="11">
        <v>0.87777777777777777</v>
      </c>
      <c r="F318" s="11">
        <f t="shared" ca="1" si="39"/>
        <v>54.322261458398039</v>
      </c>
      <c r="G318" s="11">
        <f t="shared" ca="1" si="37"/>
        <v>0.60682341370055148</v>
      </c>
      <c r="H318" s="11">
        <f t="shared" ca="1" si="32"/>
        <v>0.26382993720479181</v>
      </c>
      <c r="I318" s="11">
        <f t="shared" ca="1" si="33"/>
        <v>14.331838829391437</v>
      </c>
      <c r="J318" s="11">
        <f t="shared" ca="1" si="34"/>
        <v>-13.725015415690885</v>
      </c>
      <c r="K318" s="11">
        <f t="shared" ca="1" si="35"/>
        <v>1.6624395154447011</v>
      </c>
      <c r="L318" s="20">
        <f t="shared" ca="1" si="36"/>
        <v>-1.0556161017441497</v>
      </c>
    </row>
    <row r="319" spans="4:12" x14ac:dyDescent="0.25">
      <c r="D319" s="22">
        <f t="shared" ca="1" si="38"/>
        <v>4.8431519646025399E-2</v>
      </c>
      <c r="E319" s="11">
        <v>0.88055555555555554</v>
      </c>
      <c r="F319" s="11">
        <f t="shared" ca="1" si="39"/>
        <v>54.357133433817118</v>
      </c>
      <c r="G319" s="11">
        <f t="shared" ca="1" si="37"/>
        <v>0.61417710681603666</v>
      </c>
      <c r="H319" s="11">
        <f t="shared" ca="1" si="32"/>
        <v>0.26558754648305993</v>
      </c>
      <c r="I319" s="11">
        <f t="shared" ca="1" si="33"/>
        <v>14.436577702539795</v>
      </c>
      <c r="J319" s="11">
        <f t="shared" ca="1" si="34"/>
        <v>-13.822400595723758</v>
      </c>
      <c r="K319" s="11">
        <f t="shared" ca="1" si="35"/>
        <v>1.6761025908832381</v>
      </c>
      <c r="L319" s="20">
        <f t="shared" ca="1" si="36"/>
        <v>-1.0619254840672014</v>
      </c>
    </row>
    <row r="320" spans="4:12" x14ac:dyDescent="0.25">
      <c r="D320" s="22">
        <f t="shared" ca="1" si="38"/>
        <v>4.8945645027520052E-2</v>
      </c>
      <c r="E320" s="11">
        <v>0.88333333333333341</v>
      </c>
      <c r="F320" s="11">
        <f t="shared" ca="1" si="39"/>
        <v>53.723311981580821</v>
      </c>
      <c r="G320" s="11">
        <f t="shared" ca="1" si="37"/>
        <v>0.44396259933401439</v>
      </c>
      <c r="H320" s="11">
        <f t="shared" ca="1" si="32"/>
        <v>0.2480399213503261</v>
      </c>
      <c r="I320" s="11">
        <f t="shared" ca="1" si="33"/>
        <v>13.325526078590338</v>
      </c>
      <c r="J320" s="11">
        <f t="shared" ca="1" si="34"/>
        <v>-12.881563479256323</v>
      </c>
      <c r="K320" s="11">
        <f t="shared" ca="1" si="35"/>
        <v>1.5141727204651743</v>
      </c>
      <c r="L320" s="20">
        <f t="shared" ca="1" si="36"/>
        <v>-1.0702101211311599</v>
      </c>
    </row>
    <row r="321" spans="4:12" x14ac:dyDescent="0.25">
      <c r="D321" s="22">
        <f t="shared" ca="1" si="38"/>
        <v>4.841790780949877E-2</v>
      </c>
      <c r="E321" s="11">
        <v>0.88611111111111118</v>
      </c>
      <c r="F321" s="11">
        <f t="shared" ca="1" si="39"/>
        <v>53.005130555777512</v>
      </c>
      <c r="G321" s="11">
        <f t="shared" ca="1" si="37"/>
        <v>0.26409232302704311</v>
      </c>
      <c r="H321" s="11">
        <f t="shared" ca="1" si="32"/>
        <v>0.22693768281717425</v>
      </c>
      <c r="I321" s="11">
        <f t="shared" ca="1" si="33"/>
        <v>12.028861505749948</v>
      </c>
      <c r="J321" s="11">
        <f t="shared" ca="1" si="34"/>
        <v>-11.764769182722905</v>
      </c>
      <c r="K321" s="11">
        <f t="shared" ca="1" si="35"/>
        <v>1.3311751298544547</v>
      </c>
      <c r="L321" s="20">
        <f t="shared" ca="1" si="36"/>
        <v>-1.0670828068274116</v>
      </c>
    </row>
    <row r="322" spans="4:12" x14ac:dyDescent="0.25">
      <c r="D322" s="22">
        <f t="shared" ca="1" si="38"/>
        <v>4.8418970071322343E-2</v>
      </c>
      <c r="E322" s="11">
        <v>0.88888888888888895</v>
      </c>
      <c r="F322" s="11">
        <f t="shared" ca="1" si="39"/>
        <v>53.98906723582698</v>
      </c>
      <c r="G322" s="11">
        <f t="shared" ca="1" si="37"/>
        <v>0.48580219902514443</v>
      </c>
      <c r="H322" s="11">
        <f t="shared" ref="H322:H385" ca="1" si="40">BSGreeks(F322,$B$3,$B$6 - E322,D322, $B$5,$H$1)</f>
        <v>0.25348713209150819</v>
      </c>
      <c r="I322" s="11">
        <f t="shared" ref="I322:I385" ca="1" si="41">F322*H322</f>
        <v>13.685533817905391</v>
      </c>
      <c r="J322" s="11">
        <f t="shared" ref="J322:J385" ca="1" si="42">G322 - I322</f>
        <v>-13.199731618880246</v>
      </c>
      <c r="K322" s="11">
        <f t="shared" ref="K322:K385" ca="1" si="43">BSCall(F322,$B$3, $B$6 - E322,D322,$B$5)</f>
        <v>1.5615327591138026</v>
      </c>
      <c r="L322" s="20">
        <f t="shared" ref="L322:L385" ca="1" si="44">G322 - K322</f>
        <v>-1.0757305600886582</v>
      </c>
    </row>
    <row r="323" spans="4:12" x14ac:dyDescent="0.25">
      <c r="D323" s="22">
        <f t="shared" ca="1" si="38"/>
        <v>4.7540626079103095E-2</v>
      </c>
      <c r="E323" s="11">
        <v>0.89166666666666672</v>
      </c>
      <c r="F323" s="11">
        <f t="shared" ca="1" si="39"/>
        <v>53.074316590016323</v>
      </c>
      <c r="G323" s="11">
        <f t="shared" ref="G323:G386" ca="1" si="45" xml:space="preserve"> H322*F323 + J322* EXP(D323*(E323 - E322))</f>
        <v>0.25218144529088704</v>
      </c>
      <c r="H323" s="11">
        <f t="shared" ca="1" si="40"/>
        <v>0.2263044782009298</v>
      </c>
      <c r="I323" s="11">
        <f t="shared" ca="1" si="41"/>
        <v>12.010955521774596</v>
      </c>
      <c r="J323" s="11">
        <f t="shared" ca="1" si="42"/>
        <v>-11.758774076483709</v>
      </c>
      <c r="K323" s="11">
        <f t="shared" ca="1" si="43"/>
        <v>1.3251643951472281</v>
      </c>
      <c r="L323" s="20">
        <f t="shared" ca="1" si="44"/>
        <v>-1.072982949856341</v>
      </c>
    </row>
    <row r="324" spans="4:12" x14ac:dyDescent="0.25">
      <c r="D324" s="22">
        <f t="shared" ref="D324:D387" ca="1" si="46">D323*1.002 + $B$5*D323*SQRT(E324-E323)*_xlfn.NORM.S.INV(RAND())</f>
        <v>4.7496222537260248E-2</v>
      </c>
      <c r="E324" s="11">
        <v>0.89444444444444449</v>
      </c>
      <c r="F324" s="11">
        <f t="shared" ref="F324:F387" ca="1" si="47">F323 + D323*F323*(E324-E323) + $B$5*F323*SQRT(E324-E323)*_xlfn.NORM.S.INV(RAND())</f>
        <v>52.080025283838566</v>
      </c>
      <c r="G324" s="11">
        <f t="shared" ca="1" si="45"/>
        <v>2.5617386193543368E-2</v>
      </c>
      <c r="H324" s="11">
        <f t="shared" ca="1" si="40"/>
        <v>0.19959405733902574</v>
      </c>
      <c r="I324" s="11">
        <f t="shared" ca="1" si="41"/>
        <v>10.394863552720386</v>
      </c>
      <c r="J324" s="11">
        <f t="shared" ca="1" si="42"/>
        <v>-10.369246166526843</v>
      </c>
      <c r="K324" s="11">
        <f t="shared" ca="1" si="43"/>
        <v>1.1077078686117787</v>
      </c>
      <c r="L324" s="20">
        <f t="shared" ca="1" si="44"/>
        <v>-1.0820904824182354</v>
      </c>
    </row>
    <row r="325" spans="4:12" x14ac:dyDescent="0.25">
      <c r="D325" s="22">
        <f t="shared" ca="1" si="46"/>
        <v>4.7960554189207964E-2</v>
      </c>
      <c r="E325" s="11">
        <v>0.89722222222222225</v>
      </c>
      <c r="F325" s="11">
        <f t="shared" ca="1" si="47"/>
        <v>50.857367491457005</v>
      </c>
      <c r="G325" s="11">
        <f t="shared" ca="1" si="45"/>
        <v>-0.21979936532844668</v>
      </c>
      <c r="H325" s="11">
        <f t="shared" ca="1" si="40"/>
        <v>0.16961197113067311</v>
      </c>
      <c r="I325" s="11">
        <f t="shared" ca="1" si="41"/>
        <v>8.626018346743038</v>
      </c>
      <c r="J325" s="11">
        <f t="shared" ca="1" si="42"/>
        <v>-8.8458177120714847</v>
      </c>
      <c r="K325" s="11">
        <f t="shared" ca="1" si="43"/>
        <v>0.88183898342943368</v>
      </c>
      <c r="L325" s="20">
        <f t="shared" ca="1" si="44"/>
        <v>-1.1016383487578802</v>
      </c>
    </row>
    <row r="326" spans="4:12" x14ac:dyDescent="0.25">
      <c r="D326" s="22">
        <f t="shared" ca="1" si="46"/>
        <v>4.7879173348269022E-2</v>
      </c>
      <c r="E326" s="11">
        <v>0.9</v>
      </c>
      <c r="F326" s="11">
        <f t="shared" ca="1" si="47"/>
        <v>50.772873893400316</v>
      </c>
      <c r="G326" s="11">
        <f t="shared" ca="1" si="45"/>
        <v>-0.23530704272381975</v>
      </c>
      <c r="H326" s="11">
        <f t="shared" ca="1" si="40"/>
        <v>0.16698222483381248</v>
      </c>
      <c r="I326" s="11">
        <f t="shared" ca="1" si="41"/>
        <v>8.4781674439265799</v>
      </c>
      <c r="J326" s="11">
        <f t="shared" ca="1" si="42"/>
        <v>-8.7134744866503997</v>
      </c>
      <c r="K326" s="11">
        <f t="shared" ca="1" si="43"/>
        <v>0.86252685360451531</v>
      </c>
      <c r="L326" s="20">
        <f t="shared" ca="1" si="44"/>
        <v>-1.0978338963283352</v>
      </c>
    </row>
    <row r="327" spans="4:12" x14ac:dyDescent="0.25">
      <c r="D327" s="22">
        <f t="shared" ca="1" si="46"/>
        <v>4.762808568228255E-2</v>
      </c>
      <c r="E327" s="11">
        <v>0.90277777777777779</v>
      </c>
      <c r="F327" s="11">
        <f t="shared" ca="1" si="47"/>
        <v>51.137911990564277</v>
      </c>
      <c r="G327" s="11">
        <f t="shared" ca="1" si="45"/>
        <v>-0.17550504011959944</v>
      </c>
      <c r="H327" s="11">
        <f t="shared" ca="1" si="40"/>
        <v>0.17479087734985801</v>
      </c>
      <c r="I327" s="11">
        <f t="shared" ca="1" si="41"/>
        <v>8.938440502670554</v>
      </c>
      <c r="J327" s="11">
        <f t="shared" ca="1" si="42"/>
        <v>-9.1139455427901535</v>
      </c>
      <c r="K327" s="11">
        <f t="shared" ca="1" si="43"/>
        <v>0.91827975017055086</v>
      </c>
      <c r="L327" s="20">
        <f t="shared" ca="1" si="44"/>
        <v>-1.0937847902901503</v>
      </c>
    </row>
    <row r="328" spans="4:12" x14ac:dyDescent="0.25">
      <c r="D328" s="22">
        <f t="shared" ca="1" si="46"/>
        <v>4.7306580638214864E-2</v>
      </c>
      <c r="E328" s="11">
        <v>0.90555555555555556</v>
      </c>
      <c r="F328" s="11">
        <f t="shared" ca="1" si="47"/>
        <v>51.179916797179487</v>
      </c>
      <c r="G328" s="11">
        <f t="shared" ca="1" si="45"/>
        <v>-0.16936069958804723</v>
      </c>
      <c r="H328" s="11">
        <f t="shared" ca="1" si="40"/>
        <v>0.17483166333657668</v>
      </c>
      <c r="I328" s="11">
        <f t="shared" ca="1" si="41"/>
        <v>8.9478699830784905</v>
      </c>
      <c r="J328" s="11">
        <f t="shared" ca="1" si="42"/>
        <v>-9.1172306826665377</v>
      </c>
      <c r="K328" s="11">
        <f t="shared" ca="1" si="43"/>
        <v>0.91824029482850655</v>
      </c>
      <c r="L328" s="20">
        <f t="shared" ca="1" si="44"/>
        <v>-1.0876009944165537</v>
      </c>
    </row>
    <row r="329" spans="4:12" x14ac:dyDescent="0.25">
      <c r="D329" s="22">
        <f t="shared" ca="1" si="46"/>
        <v>4.7126580848824463E-2</v>
      </c>
      <c r="E329" s="11">
        <v>0.90833333333333333</v>
      </c>
      <c r="F329" s="11">
        <f t="shared" ca="1" si="47"/>
        <v>50.865271470365073</v>
      </c>
      <c r="G329" s="11">
        <f t="shared" ca="1" si="45"/>
        <v>-0.22556425441707617</v>
      </c>
      <c r="H329" s="11">
        <f t="shared" ca="1" si="40"/>
        <v>0.1665776823548249</v>
      </c>
      <c r="I329" s="11">
        <f t="shared" ca="1" si="41"/>
        <v>8.4730190338824105</v>
      </c>
      <c r="J329" s="11">
        <f t="shared" ca="1" si="42"/>
        <v>-8.6985832882994867</v>
      </c>
      <c r="K329" s="11">
        <f t="shared" ca="1" si="43"/>
        <v>0.85852997367942563</v>
      </c>
      <c r="L329" s="20">
        <f t="shared" ca="1" si="44"/>
        <v>-1.0840942280965018</v>
      </c>
    </row>
    <row r="330" spans="4:12" x14ac:dyDescent="0.25">
      <c r="D330" s="22">
        <f t="shared" ca="1" si="46"/>
        <v>4.7388179801209941E-2</v>
      </c>
      <c r="E330" s="11">
        <v>0.91111111111111109</v>
      </c>
      <c r="F330" s="11">
        <f t="shared" ca="1" si="47"/>
        <v>51.126767979690037</v>
      </c>
      <c r="G330" s="11">
        <f t="shared" ca="1" si="45"/>
        <v>-0.18314987517336156</v>
      </c>
      <c r="H330" s="11">
        <f t="shared" ca="1" si="40"/>
        <v>0.17259255196088336</v>
      </c>
      <c r="I330" s="11">
        <f t="shared" ca="1" si="41"/>
        <v>8.8240993591266808</v>
      </c>
      <c r="J330" s="11">
        <f t="shared" ca="1" si="42"/>
        <v>-9.0072492343000423</v>
      </c>
      <c r="K330" s="11">
        <f t="shared" ca="1" si="43"/>
        <v>0.90064168171306191</v>
      </c>
      <c r="L330" s="20">
        <f t="shared" ca="1" si="44"/>
        <v>-1.0837915568864234</v>
      </c>
    </row>
    <row r="331" spans="4:12" x14ac:dyDescent="0.25">
      <c r="D331" s="22">
        <f t="shared" ca="1" si="46"/>
        <v>4.7757802801181339E-2</v>
      </c>
      <c r="E331" s="11">
        <v>0.91388888888888897</v>
      </c>
      <c r="F331" s="11">
        <f t="shared" ca="1" si="47"/>
        <v>52.043532115792381</v>
      </c>
      <c r="G331" s="11">
        <f t="shared" ca="1" si="45"/>
        <v>-2.6118199396785613E-2</v>
      </c>
      <c r="H331" s="11">
        <f t="shared" ca="1" si="40"/>
        <v>0.19520284382971248</v>
      </c>
      <c r="I331" s="11">
        <f t="shared" ca="1" si="41"/>
        <v>10.159045471945646</v>
      </c>
      <c r="J331" s="11">
        <f t="shared" ca="1" si="42"/>
        <v>-10.185163671342432</v>
      </c>
      <c r="K331" s="11">
        <f t="shared" ca="1" si="43"/>
        <v>1.0677676802098837</v>
      </c>
      <c r="L331" s="20">
        <f t="shared" ca="1" si="44"/>
        <v>-1.0938858796066693</v>
      </c>
    </row>
    <row r="332" spans="4:12" x14ac:dyDescent="0.25">
      <c r="D332" s="22">
        <f t="shared" ca="1" si="46"/>
        <v>4.7918105310365007E-2</v>
      </c>
      <c r="E332" s="11">
        <v>0.91666666666666674</v>
      </c>
      <c r="F332" s="11">
        <f t="shared" ca="1" si="47"/>
        <v>52.060451910963948</v>
      </c>
      <c r="G332" s="11">
        <f t="shared" ca="1" si="45"/>
        <v>-2.4171202340756537E-2</v>
      </c>
      <c r="H332" s="11">
        <f t="shared" ca="1" si="40"/>
        <v>0.19531077947721376</v>
      </c>
      <c r="I332" s="11">
        <f t="shared" ca="1" si="41"/>
        <v>10.167967442666372</v>
      </c>
      <c r="J332" s="11">
        <f t="shared" ca="1" si="42"/>
        <v>-10.192138645007129</v>
      </c>
      <c r="K332" s="11">
        <f t="shared" ca="1" si="43"/>
        <v>1.0676136553052504</v>
      </c>
      <c r="L332" s="20">
        <f t="shared" ca="1" si="44"/>
        <v>-1.091784857646007</v>
      </c>
    </row>
    <row r="333" spans="4:12" x14ac:dyDescent="0.25">
      <c r="D333" s="22">
        <f t="shared" ca="1" si="46"/>
        <v>4.833983186363109E-2</v>
      </c>
      <c r="E333" s="11">
        <v>0.91944444444444451</v>
      </c>
      <c r="F333" s="11">
        <f t="shared" ca="1" si="47"/>
        <v>52.769234185659315</v>
      </c>
      <c r="G333" s="11">
        <f t="shared" ca="1" si="45"/>
        <v>0.11289295135350486</v>
      </c>
      <c r="H333" s="11">
        <f t="shared" ca="1" si="40"/>
        <v>0.21381191235048172</v>
      </c>
      <c r="I333" s="11">
        <f t="shared" ca="1" si="41"/>
        <v>11.282690874506233</v>
      </c>
      <c r="J333" s="11">
        <f t="shared" ca="1" si="42"/>
        <v>-11.169797923152728</v>
      </c>
      <c r="K333" s="11">
        <f t="shared" ca="1" si="43"/>
        <v>1.2116762297446868</v>
      </c>
      <c r="L333" s="20">
        <f t="shared" ca="1" si="44"/>
        <v>-1.098783278391182</v>
      </c>
    </row>
    <row r="334" spans="4:12" x14ac:dyDescent="0.25">
      <c r="D334" s="22">
        <f t="shared" ca="1" si="46"/>
        <v>4.9297388701874348E-2</v>
      </c>
      <c r="E334" s="11">
        <v>0.92222222222222228</v>
      </c>
      <c r="F334" s="11">
        <f t="shared" ca="1" si="47"/>
        <v>53.52770026937074</v>
      </c>
      <c r="G334" s="11">
        <f t="shared" ca="1" si="45"/>
        <v>0.27353236968333761</v>
      </c>
      <c r="H334" s="11">
        <f t="shared" ca="1" si="40"/>
        <v>0.23530163210061647</v>
      </c>
      <c r="I334" s="11">
        <f t="shared" ca="1" si="41"/>
        <v>12.595155235975543</v>
      </c>
      <c r="J334" s="11">
        <f t="shared" ca="1" si="42"/>
        <v>-12.321622866292206</v>
      </c>
      <c r="K334" s="11">
        <f t="shared" ca="1" si="43"/>
        <v>1.3872269405523752</v>
      </c>
      <c r="L334" s="20">
        <f t="shared" ca="1" si="44"/>
        <v>-1.1136945708690376</v>
      </c>
    </row>
    <row r="335" spans="4:12" x14ac:dyDescent="0.25">
      <c r="D335" s="22">
        <f t="shared" ca="1" si="46"/>
        <v>4.9455187816776575E-2</v>
      </c>
      <c r="E335" s="11">
        <v>0.92500000000000004</v>
      </c>
      <c r="F335" s="11">
        <f t="shared" ca="1" si="47"/>
        <v>53.564790795460844</v>
      </c>
      <c r="G335" s="11">
        <f t="shared" ca="1" si="45"/>
        <v>0.28056702536583344</v>
      </c>
      <c r="H335" s="11">
        <f t="shared" ca="1" si="40"/>
        <v>0.23600908412512206</v>
      </c>
      <c r="I335" s="11">
        <f t="shared" ca="1" si="41"/>
        <v>12.641777216990482</v>
      </c>
      <c r="J335" s="11">
        <f t="shared" ca="1" si="42"/>
        <v>-12.361210191624648</v>
      </c>
      <c r="K335" s="11">
        <f t="shared" ca="1" si="43"/>
        <v>1.3919222740536867</v>
      </c>
      <c r="L335" s="20">
        <f t="shared" ca="1" si="44"/>
        <v>-1.1113552486878533</v>
      </c>
    </row>
    <row r="336" spans="4:12" x14ac:dyDescent="0.25">
      <c r="D336" s="22">
        <f t="shared" ca="1" si="46"/>
        <v>4.9870518763036976E-2</v>
      </c>
      <c r="E336" s="11">
        <v>0.92777777777777781</v>
      </c>
      <c r="F336" s="11">
        <f t="shared" ca="1" si="47"/>
        <v>53.933073773878952</v>
      </c>
      <c r="G336" s="11">
        <f t="shared" ca="1" si="45"/>
        <v>0.36577264639664797</v>
      </c>
      <c r="H336" s="11">
        <f t="shared" ca="1" si="40"/>
        <v>0.24641149974827747</v>
      </c>
      <c r="I336" s="11">
        <f t="shared" ca="1" si="41"/>
        <v>13.289729594656004</v>
      </c>
      <c r="J336" s="11">
        <f t="shared" ca="1" si="42"/>
        <v>-12.923956948259356</v>
      </c>
      <c r="K336" s="11">
        <f t="shared" ca="1" si="43"/>
        <v>1.4798086029661499</v>
      </c>
      <c r="L336" s="20">
        <f t="shared" ca="1" si="44"/>
        <v>-1.1140359565695019</v>
      </c>
    </row>
    <row r="337" spans="4:12" x14ac:dyDescent="0.25">
      <c r="D337" s="22">
        <f t="shared" ca="1" si="46"/>
        <v>4.9835589993281033E-2</v>
      </c>
      <c r="E337" s="11">
        <v>0.93055555555555558</v>
      </c>
      <c r="F337" s="11">
        <f t="shared" ca="1" si="47"/>
        <v>53.390334030310655</v>
      </c>
      <c r="G337" s="11">
        <f t="shared" ca="1" si="45"/>
        <v>0.23024611665031536</v>
      </c>
      <c r="H337" s="11">
        <f t="shared" ca="1" si="40"/>
        <v>0.23064136470386654</v>
      </c>
      <c r="I337" s="11">
        <f t="shared" ca="1" si="41"/>
        <v>12.314019502746136</v>
      </c>
      <c r="J337" s="11">
        <f t="shared" ca="1" si="42"/>
        <v>-12.083773386095821</v>
      </c>
      <c r="K337" s="11">
        <f t="shared" ca="1" si="43"/>
        <v>1.3439026896501653</v>
      </c>
      <c r="L337" s="20">
        <f t="shared" ca="1" si="44"/>
        <v>-1.11365657299985</v>
      </c>
    </row>
    <row r="338" spans="4:12" x14ac:dyDescent="0.25">
      <c r="D338" s="22">
        <f t="shared" ca="1" si="46"/>
        <v>4.9419398960378676E-2</v>
      </c>
      <c r="E338" s="11">
        <v>0.93333333333333335</v>
      </c>
      <c r="F338" s="11">
        <f t="shared" ca="1" si="47"/>
        <v>53.454861876589028</v>
      </c>
      <c r="G338" s="11">
        <f t="shared" ca="1" si="45"/>
        <v>0.24346997993133357</v>
      </c>
      <c r="H338" s="11">
        <f t="shared" ca="1" si="40"/>
        <v>0.23118932673130516</v>
      </c>
      <c r="I338" s="11">
        <f t="shared" ca="1" si="41"/>
        <v>12.358193527763529</v>
      </c>
      <c r="J338" s="11">
        <f t="shared" ca="1" si="42"/>
        <v>-12.114723547832195</v>
      </c>
      <c r="K338" s="11">
        <f t="shared" ca="1" si="43"/>
        <v>1.3480330545504775</v>
      </c>
      <c r="L338" s="20">
        <f t="shared" ca="1" si="44"/>
        <v>-1.1045630746191439</v>
      </c>
    </row>
    <row r="339" spans="4:12" x14ac:dyDescent="0.25">
      <c r="D339" s="22">
        <f t="shared" ca="1" si="46"/>
        <v>4.8203790646625687E-2</v>
      </c>
      <c r="E339" s="11">
        <v>0.93611111111111112</v>
      </c>
      <c r="F339" s="11">
        <f t="shared" ca="1" si="47"/>
        <v>52.620042691035145</v>
      </c>
      <c r="G339" s="11">
        <f t="shared" ca="1" si="45"/>
        <v>4.8846431435247695E-2</v>
      </c>
      <c r="H339" s="11">
        <f t="shared" ca="1" si="40"/>
        <v>0.20627874644292682</v>
      </c>
      <c r="I339" s="11">
        <f t="shared" ca="1" si="41"/>
        <v>10.854396444080024</v>
      </c>
      <c r="J339" s="11">
        <f t="shared" ca="1" si="42"/>
        <v>-10.805550012644776</v>
      </c>
      <c r="K339" s="11">
        <f t="shared" ca="1" si="43"/>
        <v>1.1464946133979408</v>
      </c>
      <c r="L339" s="20">
        <f t="shared" ca="1" si="44"/>
        <v>-1.0976481819626931</v>
      </c>
    </row>
    <row r="340" spans="4:12" x14ac:dyDescent="0.25">
      <c r="D340" s="22">
        <f t="shared" ca="1" si="46"/>
        <v>4.8437919809297153E-2</v>
      </c>
      <c r="E340" s="11">
        <v>0.93888888888888888</v>
      </c>
      <c r="F340" s="11">
        <f t="shared" ca="1" si="47"/>
        <v>53.014580713650851</v>
      </c>
      <c r="G340" s="11">
        <f t="shared" ca="1" si="45"/>
        <v>0.12877725800294826</v>
      </c>
      <c r="H340" s="11">
        <f t="shared" ca="1" si="40"/>
        <v>0.21654094601177842</v>
      </c>
      <c r="I340" s="11">
        <f t="shared" ca="1" si="41"/>
        <v>11.479827460151739</v>
      </c>
      <c r="J340" s="11">
        <f t="shared" ca="1" si="42"/>
        <v>-11.351050202148791</v>
      </c>
      <c r="K340" s="11">
        <f t="shared" ca="1" si="43"/>
        <v>1.2269210490679876</v>
      </c>
      <c r="L340" s="20">
        <f t="shared" ca="1" si="44"/>
        <v>-1.0981437910650393</v>
      </c>
    </row>
    <row r="341" spans="4:12" x14ac:dyDescent="0.25">
      <c r="D341" s="22">
        <f t="shared" ca="1" si="46"/>
        <v>4.8636675128876844E-2</v>
      </c>
      <c r="E341" s="11">
        <v>0.94166666666666665</v>
      </c>
      <c r="F341" s="11">
        <f t="shared" ca="1" si="47"/>
        <v>53.627750105936151</v>
      </c>
      <c r="G341" s="11">
        <f t="shared" ca="1" si="45"/>
        <v>0.26001988650699914</v>
      </c>
      <c r="H341" s="11">
        <f t="shared" ca="1" si="40"/>
        <v>0.23301086760271053</v>
      </c>
      <c r="I341" s="11">
        <f t="shared" ca="1" si="41"/>
        <v>12.495848579765534</v>
      </c>
      <c r="J341" s="11">
        <f t="shared" ca="1" si="42"/>
        <v>-12.235828693258535</v>
      </c>
      <c r="K341" s="11">
        <f t="shared" ca="1" si="43"/>
        <v>1.3612178773462764</v>
      </c>
      <c r="L341" s="20">
        <f t="shared" ca="1" si="44"/>
        <v>-1.1011979908392773</v>
      </c>
    </row>
    <row r="342" spans="4:12" x14ac:dyDescent="0.25">
      <c r="D342" s="22">
        <f t="shared" ca="1" si="46"/>
        <v>4.8103419359554325E-2</v>
      </c>
      <c r="E342" s="11">
        <v>0.94444444444444453</v>
      </c>
      <c r="F342" s="11">
        <f t="shared" ca="1" si="47"/>
        <v>54.102888182101964</v>
      </c>
      <c r="G342" s="11">
        <f t="shared" ca="1" si="45"/>
        <v>0.36909715374283358</v>
      </c>
      <c r="H342" s="11">
        <f t="shared" ca="1" si="40"/>
        <v>0.24488813677669369</v>
      </c>
      <c r="I342" s="11">
        <f t="shared" ca="1" si="41"/>
        <v>13.24915548115275</v>
      </c>
      <c r="J342" s="11">
        <f t="shared" ca="1" si="42"/>
        <v>-12.880058327409916</v>
      </c>
      <c r="K342" s="11">
        <f t="shared" ca="1" si="43"/>
        <v>1.4622309662663548</v>
      </c>
      <c r="L342" s="20">
        <f t="shared" ca="1" si="44"/>
        <v>-1.0931338125235213</v>
      </c>
    </row>
    <row r="343" spans="4:12" x14ac:dyDescent="0.25">
      <c r="D343" s="22">
        <f t="shared" ca="1" si="46"/>
        <v>4.8085606794445165E-2</v>
      </c>
      <c r="E343" s="11">
        <v>0.9472222222222223</v>
      </c>
      <c r="F343" s="11">
        <f t="shared" ca="1" si="47"/>
        <v>54.940674534302921</v>
      </c>
      <c r="G343" s="11">
        <f t="shared" ca="1" si="45"/>
        <v>0.57254057370194467</v>
      </c>
      <c r="H343" s="11">
        <f t="shared" ca="1" si="40"/>
        <v>0.26838417854269681</v>
      </c>
      <c r="I343" s="11">
        <f t="shared" ca="1" si="41"/>
        <v>14.745207803470551</v>
      </c>
      <c r="J343" s="11">
        <f t="shared" ca="1" si="42"/>
        <v>-14.172667229768606</v>
      </c>
      <c r="K343" s="11">
        <f t="shared" ca="1" si="43"/>
        <v>1.6705361626356583</v>
      </c>
      <c r="L343" s="20">
        <f t="shared" ca="1" si="44"/>
        <v>-1.0979955889337136</v>
      </c>
    </row>
    <row r="344" spans="4:12" x14ac:dyDescent="0.25">
      <c r="D344" s="22">
        <f t="shared" ca="1" si="46"/>
        <v>4.8703927299760814E-2</v>
      </c>
      <c r="E344" s="11">
        <v>0.95000000000000007</v>
      </c>
      <c r="F344" s="11">
        <f t="shared" ca="1" si="47"/>
        <v>54.9728842727095</v>
      </c>
      <c r="G344" s="11">
        <f t="shared" ca="1" si="45"/>
        <v>0.57926762663804432</v>
      </c>
      <c r="H344" s="11">
        <f t="shared" ca="1" si="40"/>
        <v>0.26979972845703931</v>
      </c>
      <c r="I344" s="11">
        <f t="shared" ca="1" si="41"/>
        <v>14.831669249277271</v>
      </c>
      <c r="J344" s="11">
        <f t="shared" ca="1" si="42"/>
        <v>-14.252401622639226</v>
      </c>
      <c r="K344" s="11">
        <f t="shared" ca="1" si="43"/>
        <v>1.6810508968722262</v>
      </c>
      <c r="L344" s="20">
        <f t="shared" ca="1" si="44"/>
        <v>-1.1017832702341819</v>
      </c>
    </row>
    <row r="345" spans="4:12" x14ac:dyDescent="0.25">
      <c r="D345" s="22">
        <f t="shared" ca="1" si="46"/>
        <v>4.879439172872696E-2</v>
      </c>
      <c r="E345" s="11">
        <v>0.95277777777777783</v>
      </c>
      <c r="F345" s="11">
        <f t="shared" ca="1" si="47"/>
        <v>54.010208073154999</v>
      </c>
      <c r="G345" s="11">
        <f t="shared" ca="1" si="45"/>
        <v>0.31760594829575339</v>
      </c>
      <c r="H345" s="11">
        <f t="shared" ca="1" si="40"/>
        <v>0.24164473532160613</v>
      </c>
      <c r="I345" s="11">
        <f t="shared" ca="1" si="41"/>
        <v>13.051282434502415</v>
      </c>
      <c r="J345" s="11">
        <f t="shared" ca="1" si="42"/>
        <v>-12.733676486206662</v>
      </c>
      <c r="K345" s="11">
        <f t="shared" ca="1" si="43"/>
        <v>1.4297043733915129</v>
      </c>
      <c r="L345" s="20">
        <f t="shared" ca="1" si="44"/>
        <v>-1.1120984250957595</v>
      </c>
    </row>
    <row r="346" spans="4:12" x14ac:dyDescent="0.25">
      <c r="D346" s="22">
        <f t="shared" ca="1" si="46"/>
        <v>4.9117261079277705E-2</v>
      </c>
      <c r="E346" s="11">
        <v>0.9555555555555556</v>
      </c>
      <c r="F346" s="11">
        <f t="shared" ca="1" si="47"/>
        <v>53.782851008764744</v>
      </c>
      <c r="G346" s="11">
        <f t="shared" ca="1" si="45"/>
        <v>0.2609288495888773</v>
      </c>
      <c r="H346" s="11">
        <f t="shared" ca="1" si="40"/>
        <v>0.23518512174225051</v>
      </c>
      <c r="I346" s="11">
        <f t="shared" ca="1" si="41"/>
        <v>12.648926362141657</v>
      </c>
      <c r="J346" s="11">
        <f t="shared" ca="1" si="42"/>
        <v>-12.387997512552779</v>
      </c>
      <c r="K346" s="11">
        <f t="shared" ca="1" si="43"/>
        <v>1.3732744273391646</v>
      </c>
      <c r="L346" s="20">
        <f t="shared" ca="1" si="44"/>
        <v>-1.1123455777502873</v>
      </c>
    </row>
    <row r="347" spans="4:12" x14ac:dyDescent="0.25">
      <c r="D347" s="22">
        <f t="shared" ca="1" si="46"/>
        <v>4.9294227315894848E-2</v>
      </c>
      <c r="E347" s="11">
        <v>0.95833333333333337</v>
      </c>
      <c r="F347" s="11">
        <f t="shared" ca="1" si="47"/>
        <v>53.777884355292265</v>
      </c>
      <c r="G347" s="11">
        <f t="shared" ca="1" si="45"/>
        <v>0.25806438165560408</v>
      </c>
      <c r="H347" s="11">
        <f t="shared" ca="1" si="40"/>
        <v>0.23473902911887282</v>
      </c>
      <c r="I347" s="11">
        <f t="shared" ca="1" si="41"/>
        <v>12.623768361628326</v>
      </c>
      <c r="J347" s="11">
        <f t="shared" ca="1" si="42"/>
        <v>-12.365703979972722</v>
      </c>
      <c r="K347" s="11">
        <f t="shared" ca="1" si="43"/>
        <v>1.3681524857257534</v>
      </c>
      <c r="L347" s="20">
        <f t="shared" ca="1" si="44"/>
        <v>-1.1100881040701494</v>
      </c>
    </row>
    <row r="348" spans="4:12" x14ac:dyDescent="0.25">
      <c r="D348" s="22">
        <f t="shared" ca="1" si="46"/>
        <v>4.9384433799303518E-2</v>
      </c>
      <c r="E348" s="11">
        <v>0.96111111111111114</v>
      </c>
      <c r="F348" s="11">
        <f t="shared" ca="1" si="47"/>
        <v>54.095819225830297</v>
      </c>
      <c r="G348" s="11">
        <f t="shared" ca="1" si="45"/>
        <v>0.33099967344077363</v>
      </c>
      <c r="H348" s="11">
        <f t="shared" ca="1" si="40"/>
        <v>0.24325720148231855</v>
      </c>
      <c r="I348" s="11">
        <f t="shared" ca="1" si="41"/>
        <v>13.159197596768882</v>
      </c>
      <c r="J348" s="11">
        <f t="shared" ca="1" si="42"/>
        <v>-12.828197923328108</v>
      </c>
      <c r="K348" s="11">
        <f t="shared" ca="1" si="43"/>
        <v>1.4390823661578982</v>
      </c>
      <c r="L348" s="20">
        <f t="shared" ca="1" si="44"/>
        <v>-1.1080826927171246</v>
      </c>
    </row>
    <row r="349" spans="4:12" x14ac:dyDescent="0.25">
      <c r="D349" s="22">
        <f t="shared" ca="1" si="46"/>
        <v>4.9020595865562774E-2</v>
      </c>
      <c r="E349" s="11">
        <v>0.96388888888888891</v>
      </c>
      <c r="F349" s="11">
        <f t="shared" ca="1" si="47"/>
        <v>53.744147838760128</v>
      </c>
      <c r="G349" s="11">
        <f t="shared" ca="1" si="45"/>
        <v>0.24370616286269886</v>
      </c>
      <c r="H349" s="11">
        <f t="shared" ca="1" si="40"/>
        <v>0.23219682260444194</v>
      </c>
      <c r="I349" s="11">
        <f t="shared" ca="1" si="41"/>
        <v>12.479220361743486</v>
      </c>
      <c r="J349" s="11">
        <f t="shared" ca="1" si="42"/>
        <v>-12.235514198880788</v>
      </c>
      <c r="K349" s="11">
        <f t="shared" ca="1" si="43"/>
        <v>1.3450641599855453</v>
      </c>
      <c r="L349" s="20">
        <f t="shared" ca="1" si="44"/>
        <v>-1.1013579971228464</v>
      </c>
    </row>
    <row r="350" spans="4:12" x14ac:dyDescent="0.25">
      <c r="D350" s="22">
        <f t="shared" ca="1" si="46"/>
        <v>4.8731720106213627E-2</v>
      </c>
      <c r="E350" s="11">
        <v>0.96666666666666667</v>
      </c>
      <c r="F350" s="11">
        <f t="shared" ca="1" si="47"/>
        <v>52.214834089894168</v>
      </c>
      <c r="G350" s="11">
        <f t="shared" ca="1" si="45"/>
        <v>-0.11305201375479257</v>
      </c>
      <c r="H350" s="11">
        <f t="shared" ca="1" si="40"/>
        <v>0.19023819024141675</v>
      </c>
      <c r="I350" s="11">
        <f t="shared" ca="1" si="41"/>
        <v>9.9332555410172994</v>
      </c>
      <c r="J350" s="11">
        <f t="shared" ca="1" si="42"/>
        <v>-10.046307554772092</v>
      </c>
      <c r="K350" s="11">
        <f t="shared" ca="1" si="43"/>
        <v>1.0139791339619428</v>
      </c>
      <c r="L350" s="20">
        <f t="shared" ca="1" si="44"/>
        <v>-1.1270311477167354</v>
      </c>
    </row>
    <row r="351" spans="4:12" x14ac:dyDescent="0.25">
      <c r="D351" s="22">
        <f t="shared" ca="1" si="46"/>
        <v>4.8461996507878691E-2</v>
      </c>
      <c r="E351" s="11">
        <v>0.96944444444444444</v>
      </c>
      <c r="F351" s="11">
        <f t="shared" ca="1" si="47"/>
        <v>53.436342341494502</v>
      </c>
      <c r="G351" s="11">
        <f t="shared" ca="1" si="45"/>
        <v>0.11797301402484095</v>
      </c>
      <c r="H351" s="11">
        <f t="shared" ca="1" si="40"/>
        <v>0.22165546670177044</v>
      </c>
      <c r="I351" s="11">
        <f t="shared" ca="1" si="41"/>
        <v>11.844457400539541</v>
      </c>
      <c r="J351" s="11">
        <f t="shared" ca="1" si="42"/>
        <v>-11.7264843865147</v>
      </c>
      <c r="K351" s="11">
        <f t="shared" ca="1" si="43"/>
        <v>1.257184631025716</v>
      </c>
      <c r="L351" s="20">
        <f t="shared" ca="1" si="44"/>
        <v>-1.139211617000875</v>
      </c>
    </row>
    <row r="352" spans="4:12" x14ac:dyDescent="0.25">
      <c r="D352" s="22">
        <f t="shared" ca="1" si="46"/>
        <v>4.8803779625604116E-2</v>
      </c>
      <c r="E352" s="11">
        <v>0.97222222222222221</v>
      </c>
      <c r="F352" s="11">
        <f t="shared" ca="1" si="47"/>
        <v>53.76813959944861</v>
      </c>
      <c r="G352" s="11">
        <f t="shared" ca="1" si="45"/>
        <v>0.18992786910496307</v>
      </c>
      <c r="H352" s="11">
        <f t="shared" ca="1" si="40"/>
        <v>0.23076617463141422</v>
      </c>
      <c r="I352" s="11">
        <f t="shared" ca="1" si="41"/>
        <v>12.407867892412616</v>
      </c>
      <c r="J352" s="11">
        <f t="shared" ca="1" si="42"/>
        <v>-12.217940023307653</v>
      </c>
      <c r="K352" s="11">
        <f t="shared" ca="1" si="43"/>
        <v>1.3301677311573927</v>
      </c>
      <c r="L352" s="20">
        <f t="shared" ca="1" si="44"/>
        <v>-1.1402398620524297</v>
      </c>
    </row>
    <row r="353" spans="4:12" x14ac:dyDescent="0.25">
      <c r="D353" s="22">
        <f t="shared" ca="1" si="46"/>
        <v>4.8982745329849128E-2</v>
      </c>
      <c r="E353" s="11">
        <v>0.97500000000000009</v>
      </c>
      <c r="F353" s="11">
        <f t="shared" ca="1" si="47"/>
        <v>54.466349907556385</v>
      </c>
      <c r="G353" s="11">
        <f t="shared" ca="1" si="45"/>
        <v>0.34938866610296415</v>
      </c>
      <c r="H353" s="11">
        <f t="shared" ca="1" si="40"/>
        <v>0.25026928616386057</v>
      </c>
      <c r="I353" s="11">
        <f t="shared" ca="1" si="41"/>
        <v>13.63125451131519</v>
      </c>
      <c r="J353" s="11">
        <f t="shared" ca="1" si="42"/>
        <v>-13.281865845212225</v>
      </c>
      <c r="K353" s="11">
        <f t="shared" ca="1" si="43"/>
        <v>1.4939997772566713</v>
      </c>
      <c r="L353" s="20">
        <f t="shared" ca="1" si="44"/>
        <v>-1.1446111111537072</v>
      </c>
    </row>
    <row r="354" spans="4:12" x14ac:dyDescent="0.25">
      <c r="D354" s="22">
        <f t="shared" ca="1" si="46"/>
        <v>4.8638557689099471E-2</v>
      </c>
      <c r="E354" s="11">
        <v>0.97777777777777786</v>
      </c>
      <c r="F354" s="11">
        <f t="shared" ca="1" si="47"/>
        <v>54.476390668036309</v>
      </c>
      <c r="G354" s="11">
        <f t="shared" ca="1" si="45"/>
        <v>0.35010696439297995</v>
      </c>
      <c r="H354" s="11">
        <f t="shared" ca="1" si="40"/>
        <v>0.24941454825710946</v>
      </c>
      <c r="I354" s="11">
        <f t="shared" ca="1" si="41"/>
        <v>13.58720436914609</v>
      </c>
      <c r="J354" s="11">
        <f t="shared" ca="1" si="42"/>
        <v>-13.23709740475311</v>
      </c>
      <c r="K354" s="11">
        <f t="shared" ca="1" si="43"/>
        <v>1.4858444909311226</v>
      </c>
      <c r="L354" s="20">
        <f t="shared" ca="1" si="44"/>
        <v>-1.1357375265381426</v>
      </c>
    </row>
    <row r="355" spans="4:12" x14ac:dyDescent="0.25">
      <c r="D355" s="22">
        <f t="shared" ca="1" si="46"/>
        <v>4.866343337178676E-2</v>
      </c>
      <c r="E355" s="11">
        <v>0.98055555555555562</v>
      </c>
      <c r="F355" s="11">
        <f t="shared" ca="1" si="47"/>
        <v>56.097831328015971</v>
      </c>
      <c r="G355" s="11">
        <f t="shared" ca="1" si="45"/>
        <v>0.75272839260729185</v>
      </c>
      <c r="H355" s="11">
        <f t="shared" ca="1" si="40"/>
        <v>0.29707590865456424</v>
      </c>
      <c r="I355" s="11">
        <f t="shared" ca="1" si="41"/>
        <v>16.665314215320823</v>
      </c>
      <c r="J355" s="11">
        <f t="shared" ca="1" si="42"/>
        <v>-15.912585822713531</v>
      </c>
      <c r="K355" s="11">
        <f t="shared" ca="1" si="43"/>
        <v>1.9219893926104841</v>
      </c>
      <c r="L355" s="20">
        <f t="shared" ca="1" si="44"/>
        <v>-1.1692610000031922</v>
      </c>
    </row>
    <row r="356" spans="4:12" x14ac:dyDescent="0.25">
      <c r="D356" s="22">
        <f t="shared" ca="1" si="46"/>
        <v>4.8308859712849359E-2</v>
      </c>
      <c r="E356" s="11">
        <v>0.98333333333333339</v>
      </c>
      <c r="F356" s="11">
        <f t="shared" ca="1" si="47"/>
        <v>56.426882785738535</v>
      </c>
      <c r="G356" s="11">
        <f t="shared" ca="1" si="45"/>
        <v>0.84834617991497474</v>
      </c>
      <c r="H356" s="11">
        <f t="shared" ca="1" si="40"/>
        <v>0.30597637444659337</v>
      </c>
      <c r="I356" s="11">
        <f t="shared" ca="1" si="41"/>
        <v>17.265293016103168</v>
      </c>
      <c r="J356" s="11">
        <f t="shared" ca="1" si="42"/>
        <v>-16.416946836188195</v>
      </c>
      <c r="K356" s="11">
        <f t="shared" ca="1" si="43"/>
        <v>2.008372428478713</v>
      </c>
      <c r="L356" s="20">
        <f t="shared" ca="1" si="44"/>
        <v>-1.1600262485637383</v>
      </c>
    </row>
    <row r="357" spans="4:12" x14ac:dyDescent="0.25">
      <c r="D357" s="22">
        <f t="shared" ca="1" si="46"/>
        <v>4.8385603656786132E-2</v>
      </c>
      <c r="E357" s="11">
        <v>0.98611111111111116</v>
      </c>
      <c r="F357" s="11">
        <f t="shared" ca="1" si="47"/>
        <v>56.575815418692422</v>
      </c>
      <c r="G357" s="11">
        <f t="shared" ca="1" si="45"/>
        <v>0.89170938790815413</v>
      </c>
      <c r="H357" s="11">
        <f t="shared" ca="1" si="40"/>
        <v>0.31014150087900244</v>
      </c>
      <c r="I357" s="11">
        <f t="shared" ca="1" si="41"/>
        <v>17.546508307406675</v>
      </c>
      <c r="J357" s="11">
        <f t="shared" ca="1" si="42"/>
        <v>-16.654798919498521</v>
      </c>
      <c r="K357" s="11">
        <f t="shared" ca="1" si="43"/>
        <v>2.0479050489635156</v>
      </c>
      <c r="L357" s="20">
        <f t="shared" ca="1" si="44"/>
        <v>-1.1561956610553614</v>
      </c>
    </row>
    <row r="358" spans="4:12" x14ac:dyDescent="0.25">
      <c r="D358" s="22">
        <f t="shared" ca="1" si="46"/>
        <v>4.8244390102251671E-2</v>
      </c>
      <c r="E358" s="11">
        <v>0.98888888888888893</v>
      </c>
      <c r="F358" s="11">
        <f t="shared" ca="1" si="47"/>
        <v>56.705954089109298</v>
      </c>
      <c r="G358" s="11">
        <f t="shared" ca="1" si="45"/>
        <v>0.92983869475699521</v>
      </c>
      <c r="H358" s="11">
        <f t="shared" ca="1" si="40"/>
        <v>0.3133562627212334</v>
      </c>
      <c r="I358" s="11">
        <f t="shared" ca="1" si="41"/>
        <v>17.769165847405134</v>
      </c>
      <c r="J358" s="11">
        <f t="shared" ca="1" si="42"/>
        <v>-16.839327152648139</v>
      </c>
      <c r="K358" s="11">
        <f t="shared" ca="1" si="43"/>
        <v>2.0786230938362089</v>
      </c>
      <c r="L358" s="20">
        <f t="shared" ca="1" si="44"/>
        <v>-1.1487843990792137</v>
      </c>
    </row>
    <row r="359" spans="4:12" x14ac:dyDescent="0.25">
      <c r="D359" s="22">
        <f t="shared" ca="1" si="46"/>
        <v>4.8555162746317243E-2</v>
      </c>
      <c r="E359" s="11">
        <v>0.9916666666666667</v>
      </c>
      <c r="F359" s="11">
        <f t="shared" ca="1" si="47"/>
        <v>56.711505432960166</v>
      </c>
      <c r="G359" s="11">
        <f t="shared" ca="1" si="45"/>
        <v>0.92930687808461343</v>
      </c>
      <c r="H359" s="11">
        <f t="shared" ca="1" si="40"/>
        <v>0.31351024465357369</v>
      </c>
      <c r="I359" s="11">
        <f t="shared" ca="1" si="41"/>
        <v>17.779637942959816</v>
      </c>
      <c r="J359" s="11">
        <f t="shared" ca="1" si="42"/>
        <v>-16.850331064875203</v>
      </c>
      <c r="K359" s="11">
        <f t="shared" ca="1" si="43"/>
        <v>2.07762123947643</v>
      </c>
      <c r="L359" s="20">
        <f t="shared" ca="1" si="44"/>
        <v>-1.1483143613918165</v>
      </c>
    </row>
    <row r="360" spans="4:12" x14ac:dyDescent="0.25">
      <c r="D360" s="22">
        <f t="shared" ca="1" si="46"/>
        <v>4.8203511295927523E-2</v>
      </c>
      <c r="E360" s="11">
        <v>0.99444444444444446</v>
      </c>
      <c r="F360" s="11">
        <f t="shared" ca="1" si="47"/>
        <v>57.503214437327742</v>
      </c>
      <c r="G360" s="11">
        <f t="shared" ca="1" si="45"/>
        <v>1.175259374223014</v>
      </c>
      <c r="H360" s="11">
        <f t="shared" ca="1" si="40"/>
        <v>0.3371765446508932</v>
      </c>
      <c r="I360" s="11">
        <f t="shared" ca="1" si="41"/>
        <v>19.388735150297524</v>
      </c>
      <c r="J360" s="11">
        <f t="shared" ca="1" si="42"/>
        <v>-18.21347577607451</v>
      </c>
      <c r="K360" s="11">
        <f t="shared" ca="1" si="43"/>
        <v>2.3214776394128003</v>
      </c>
      <c r="L360" s="20">
        <f t="shared" ca="1" si="44"/>
        <v>-1.1462182651897863</v>
      </c>
    </row>
    <row r="361" spans="4:12" x14ac:dyDescent="0.25">
      <c r="D361" s="22">
        <f t="shared" ca="1" si="46"/>
        <v>4.7356064855238203E-2</v>
      </c>
      <c r="E361" s="11">
        <v>0.99722222222222223</v>
      </c>
      <c r="F361" s="11">
        <f t="shared" ca="1" si="47"/>
        <v>57.984788653030932</v>
      </c>
      <c r="G361" s="11">
        <f t="shared" ca="1" si="45"/>
        <v>1.335238861843397</v>
      </c>
      <c r="H361" s="11">
        <f t="shared" ca="1" si="40"/>
        <v>0.350374230034319</v>
      </c>
      <c r="I361" s="11">
        <f t="shared" ca="1" si="41"/>
        <v>20.316375678008431</v>
      </c>
      <c r="J361" s="11">
        <f t="shared" ca="1" si="42"/>
        <v>-18.981136816165034</v>
      </c>
      <c r="K361" s="11">
        <f t="shared" ca="1" si="43"/>
        <v>2.4639635334934824</v>
      </c>
      <c r="L361" s="20">
        <f t="shared" ca="1" si="44"/>
        <v>-1.1287246716500854</v>
      </c>
    </row>
    <row r="362" spans="4:12" x14ac:dyDescent="0.25">
      <c r="D362" s="22">
        <f t="shared" ca="1" si="46"/>
        <v>4.6672644857584093E-2</v>
      </c>
      <c r="E362" s="11">
        <v>1</v>
      </c>
      <c r="F362" s="11">
        <f t="shared" ca="1" si="47"/>
        <v>58.024701469528353</v>
      </c>
      <c r="G362" s="11">
        <f t="shared" ca="1" si="45"/>
        <v>1.3467622917286057</v>
      </c>
      <c r="H362" s="11">
        <f t="shared" ca="1" si="40"/>
        <v>0.34983875298258588</v>
      </c>
      <c r="I362" s="11">
        <f t="shared" ca="1" si="41"/>
        <v>20.299289204286616</v>
      </c>
      <c r="J362" s="11">
        <f t="shared" ca="1" si="42"/>
        <v>-18.95252691255801</v>
      </c>
      <c r="K362" s="11">
        <f t="shared" ca="1" si="43"/>
        <v>2.457427931721841</v>
      </c>
      <c r="L362" s="20">
        <f t="shared" ca="1" si="44"/>
        <v>-1.1106656399932353</v>
      </c>
    </row>
    <row r="363" spans="4:12" x14ac:dyDescent="0.25">
      <c r="D363" s="22">
        <f t="shared" ca="1" si="46"/>
        <v>4.6453120457537085E-2</v>
      </c>
      <c r="E363" s="11">
        <v>1.0027777777777778</v>
      </c>
      <c r="F363" s="11">
        <f t="shared" ca="1" si="47"/>
        <v>57.288151168303919</v>
      </c>
      <c r="G363" s="11">
        <f t="shared" ca="1" si="45"/>
        <v>1.0866427283387772</v>
      </c>
      <c r="H363" s="11">
        <f t="shared" ca="1" si="40"/>
        <v>0.32553364974023447</v>
      </c>
      <c r="I363" s="11">
        <f t="shared" ca="1" si="41"/>
        <v>18.649220936688252</v>
      </c>
      <c r="J363" s="11">
        <f t="shared" ca="1" si="42"/>
        <v>-17.562578208349475</v>
      </c>
      <c r="K363" s="11">
        <f t="shared" ca="1" si="43"/>
        <v>2.1968924999574955</v>
      </c>
      <c r="L363" s="20">
        <f t="shared" ca="1" si="44"/>
        <v>-1.1102497716187183</v>
      </c>
    </row>
    <row r="364" spans="4:12" x14ac:dyDescent="0.25">
      <c r="D364" s="22">
        <f t="shared" ca="1" si="46"/>
        <v>4.624946410142828E-2</v>
      </c>
      <c r="E364" s="11">
        <v>1.0055555555555555</v>
      </c>
      <c r="F364" s="11">
        <f t="shared" ca="1" si="47"/>
        <v>57.341558750807032</v>
      </c>
      <c r="G364" s="11">
        <f t="shared" ca="1" si="45"/>
        <v>1.101772271349212</v>
      </c>
      <c r="H364" s="11">
        <f t="shared" ca="1" si="40"/>
        <v>0.32629030680968596</v>
      </c>
      <c r="I364" s="11">
        <f t="shared" ca="1" si="41"/>
        <v>18.709994797746457</v>
      </c>
      <c r="J364" s="11">
        <f t="shared" ca="1" si="42"/>
        <v>-17.608222526397245</v>
      </c>
      <c r="K364" s="11">
        <f t="shared" ca="1" si="43"/>
        <v>2.2030859795476054</v>
      </c>
      <c r="L364" s="20">
        <f t="shared" ca="1" si="44"/>
        <v>-1.1013137081983935</v>
      </c>
    </row>
    <row r="365" spans="4:12" x14ac:dyDescent="0.25">
      <c r="D365" s="22">
        <f t="shared" ca="1" si="46"/>
        <v>4.5704591417266051E-2</v>
      </c>
      <c r="E365" s="11">
        <v>1.0083333333333333</v>
      </c>
      <c r="F365" s="11">
        <f t="shared" ca="1" si="47"/>
        <v>56.739703891818785</v>
      </c>
      <c r="G365" s="11">
        <f t="shared" ca="1" si="45"/>
        <v>0.90315723224279409</v>
      </c>
      <c r="H365" s="11">
        <f t="shared" ca="1" si="40"/>
        <v>0.30592815785209876</v>
      </c>
      <c r="I365" s="11">
        <f t="shared" ca="1" si="41"/>
        <v>17.358273088697679</v>
      </c>
      <c r="J365" s="11">
        <f t="shared" ca="1" si="42"/>
        <v>-16.455115856454885</v>
      </c>
      <c r="K365" s="11">
        <f t="shared" ca="1" si="43"/>
        <v>1.9965380551884866</v>
      </c>
      <c r="L365" s="20">
        <f t="shared" ca="1" si="44"/>
        <v>-1.0933808229456925</v>
      </c>
    </row>
    <row r="366" spans="4:12" x14ac:dyDescent="0.25">
      <c r="D366" s="22">
        <f t="shared" ca="1" si="46"/>
        <v>4.6182343547569074E-2</v>
      </c>
      <c r="E366" s="11">
        <v>1.0111111111111111</v>
      </c>
      <c r="F366" s="11">
        <f t="shared" ca="1" si="47"/>
        <v>57.375804212603249</v>
      </c>
      <c r="G366" s="11">
        <f t="shared" ca="1" si="45"/>
        <v>1.0956471633684188</v>
      </c>
      <c r="H366" s="11">
        <f t="shared" ca="1" si="40"/>
        <v>0.32612984434793357</v>
      </c>
      <c r="I366" s="11">
        <f t="shared" ca="1" si="41"/>
        <v>18.711962097193808</v>
      </c>
      <c r="J366" s="11">
        <f t="shared" ca="1" si="42"/>
        <v>-17.616314933825389</v>
      </c>
      <c r="K366" s="11">
        <f t="shared" ca="1" si="43"/>
        <v>2.1973843842839074</v>
      </c>
      <c r="L366" s="20">
        <f t="shared" ca="1" si="44"/>
        <v>-1.1017372209154885</v>
      </c>
    </row>
    <row r="367" spans="4:12" x14ac:dyDescent="0.25">
      <c r="D367" s="22">
        <f t="shared" ca="1" si="46"/>
        <v>4.5946883330553558E-2</v>
      </c>
      <c r="E367" s="11">
        <v>1.0138888888888888</v>
      </c>
      <c r="F367" s="11">
        <f t="shared" ca="1" si="47"/>
        <v>57.893065547505493</v>
      </c>
      <c r="G367" s="11">
        <f t="shared" ca="1" si="45"/>
        <v>1.2620930041682001</v>
      </c>
      <c r="H367" s="11">
        <f t="shared" ca="1" si="40"/>
        <v>0.34157639737054857</v>
      </c>
      <c r="I367" s="11">
        <f t="shared" ca="1" si="41"/>
        <v>19.77490476245395</v>
      </c>
      <c r="J367" s="11">
        <f t="shared" ca="1" si="42"/>
        <v>-18.51281175828575</v>
      </c>
      <c r="K367" s="11">
        <f t="shared" ca="1" si="43"/>
        <v>2.3580899586435744</v>
      </c>
      <c r="L367" s="20">
        <f t="shared" ca="1" si="44"/>
        <v>-1.0959969544753743</v>
      </c>
    </row>
    <row r="368" spans="4:12" x14ac:dyDescent="0.25">
      <c r="D368" s="22">
        <f t="shared" ca="1" si="46"/>
        <v>4.6261307202886522E-2</v>
      </c>
      <c r="E368" s="11">
        <v>1.0166666666666666</v>
      </c>
      <c r="F368" s="11">
        <f t="shared" ca="1" si="47"/>
        <v>57.317237745112713</v>
      </c>
      <c r="G368" s="11">
        <f t="shared" ca="1" si="45"/>
        <v>1.0630247015286365</v>
      </c>
      <c r="H368" s="11">
        <f t="shared" ca="1" si="40"/>
        <v>0.32329367399439901</v>
      </c>
      <c r="I368" s="11">
        <f t="shared" ca="1" si="41"/>
        <v>18.530300373827931</v>
      </c>
      <c r="J368" s="11">
        <f t="shared" ca="1" si="42"/>
        <v>-17.467275672299294</v>
      </c>
      <c r="K368" s="11">
        <f t="shared" ca="1" si="43"/>
        <v>2.1638827295838148</v>
      </c>
      <c r="L368" s="20">
        <f t="shared" ca="1" si="44"/>
        <v>-1.1008580280551783</v>
      </c>
    </row>
    <row r="369" spans="4:12" x14ac:dyDescent="0.25">
      <c r="D369" s="22">
        <f t="shared" ca="1" si="46"/>
        <v>4.6363127025060777E-2</v>
      </c>
      <c r="E369" s="11">
        <v>1.0194444444444444</v>
      </c>
      <c r="F369" s="11">
        <f t="shared" ca="1" si="47"/>
        <v>56.63181611625216</v>
      </c>
      <c r="G369" s="11">
        <f t="shared" ca="1" si="45"/>
        <v>0.83918253136832988</v>
      </c>
      <c r="H369" s="11">
        <f t="shared" ca="1" si="40"/>
        <v>0.30141739930270339</v>
      </c>
      <c r="I369" s="11">
        <f t="shared" ca="1" si="41"/>
        <v>17.069814731549652</v>
      </c>
      <c r="J369" s="11">
        <f t="shared" ca="1" si="42"/>
        <v>-16.230632200181322</v>
      </c>
      <c r="K369" s="11">
        <f t="shared" ca="1" si="43"/>
        <v>1.9437036581531115</v>
      </c>
      <c r="L369" s="20">
        <f t="shared" ca="1" si="44"/>
        <v>-1.1045211267847816</v>
      </c>
    </row>
    <row r="370" spans="4:12" x14ac:dyDescent="0.25">
      <c r="D370" s="22">
        <f t="shared" ca="1" si="46"/>
        <v>4.5956100680730104E-2</v>
      </c>
      <c r="E370" s="11">
        <v>1.0222222222222224</v>
      </c>
      <c r="F370" s="11">
        <f t="shared" ca="1" si="47"/>
        <v>56.973249088864911</v>
      </c>
      <c r="G370" s="11">
        <f t="shared" ca="1" si="45"/>
        <v>0.94002430284680472</v>
      </c>
      <c r="H370" s="11">
        <f t="shared" ca="1" si="40"/>
        <v>0.31078824666084048</v>
      </c>
      <c r="I370" s="11">
        <f t="shared" ca="1" si="41"/>
        <v>17.706616190899652</v>
      </c>
      <c r="J370" s="11">
        <f t="shared" ca="1" si="42"/>
        <v>-16.766591888052847</v>
      </c>
      <c r="K370" s="11">
        <f t="shared" ca="1" si="43"/>
        <v>2.0345092247423069</v>
      </c>
      <c r="L370" s="20">
        <f t="shared" ca="1" si="44"/>
        <v>-1.0944849218955022</v>
      </c>
    </row>
    <row r="371" spans="4:12" x14ac:dyDescent="0.25">
      <c r="D371" s="22">
        <f t="shared" ca="1" si="46"/>
        <v>4.5761412958386857E-2</v>
      </c>
      <c r="E371" s="11">
        <v>1.0250000000000001</v>
      </c>
      <c r="F371" s="11">
        <f t="shared" ca="1" si="47"/>
        <v>56.078090062040019</v>
      </c>
      <c r="G371" s="11">
        <f t="shared" ca="1" si="45"/>
        <v>0.65968797702091564</v>
      </c>
      <c r="H371" s="11">
        <f t="shared" ca="1" si="40"/>
        <v>0.28217211833034761</v>
      </c>
      <c r="I371" s="11">
        <f t="shared" ca="1" si="41"/>
        <v>15.823673464725847</v>
      </c>
      <c r="J371" s="11">
        <f t="shared" ca="1" si="42"/>
        <v>-15.163985487704931</v>
      </c>
      <c r="K371" s="11">
        <f t="shared" ca="1" si="43"/>
        <v>1.7589558976311281</v>
      </c>
      <c r="L371" s="20">
        <f t="shared" ca="1" si="44"/>
        <v>-1.0992679206102125</v>
      </c>
    </row>
    <row r="372" spans="4:12" x14ac:dyDescent="0.25">
      <c r="D372" s="22">
        <f t="shared" ca="1" si="46"/>
        <v>4.5712637274007421E-2</v>
      </c>
      <c r="E372" s="11">
        <v>1.0277777777777779</v>
      </c>
      <c r="F372" s="11">
        <f t="shared" ca="1" si="47"/>
        <v>56.475765347926234</v>
      </c>
      <c r="G372" s="11">
        <f t="shared" ca="1" si="45"/>
        <v>0.76997521656844903</v>
      </c>
      <c r="H372" s="11">
        <f t="shared" ca="1" si="40"/>
        <v>0.29371736379105706</v>
      </c>
      <c r="I372" s="11">
        <f t="shared" ca="1" si="41"/>
        <v>16.587912916075226</v>
      </c>
      <c r="J372" s="11">
        <f t="shared" ca="1" si="42"/>
        <v>-15.817937699506777</v>
      </c>
      <c r="K372" s="11">
        <f t="shared" ca="1" si="43"/>
        <v>1.8655422822262138</v>
      </c>
      <c r="L372" s="20">
        <f t="shared" ca="1" si="44"/>
        <v>-1.0955670656577647</v>
      </c>
    </row>
    <row r="373" spans="4:12" x14ac:dyDescent="0.25">
      <c r="D373" s="22">
        <f t="shared" ca="1" si="46"/>
        <v>4.5897522150462861E-2</v>
      </c>
      <c r="E373" s="11">
        <v>1.0305555555555557</v>
      </c>
      <c r="F373" s="11">
        <f t="shared" ca="1" si="47"/>
        <v>56.036442702357924</v>
      </c>
      <c r="G373" s="11">
        <f t="shared" ca="1" si="45"/>
        <v>0.63892172051349228</v>
      </c>
      <c r="H373" s="11">
        <f t="shared" ca="1" si="40"/>
        <v>0.27994391580086653</v>
      </c>
      <c r="I373" s="11">
        <f t="shared" ca="1" si="41"/>
        <v>15.687061197648967</v>
      </c>
      <c r="J373" s="11">
        <f t="shared" ca="1" si="42"/>
        <v>-15.048139477135475</v>
      </c>
      <c r="K373" s="11">
        <f t="shared" ca="1" si="43"/>
        <v>1.7348860354569935</v>
      </c>
      <c r="L373" s="20">
        <f t="shared" ca="1" si="44"/>
        <v>-1.0959643149435012</v>
      </c>
    </row>
    <row r="374" spans="4:12" x14ac:dyDescent="0.25">
      <c r="D374" s="22">
        <f t="shared" ca="1" si="46"/>
        <v>4.4808696340355669E-2</v>
      </c>
      <c r="E374" s="11">
        <v>1.0333333333333334</v>
      </c>
      <c r="F374" s="11">
        <f t="shared" ca="1" si="47"/>
        <v>56.488365631169337</v>
      </c>
      <c r="G374" s="11">
        <f t="shared" ca="1" si="45"/>
        <v>0.76356165740662441</v>
      </c>
      <c r="H374" s="11">
        <f t="shared" ca="1" si="40"/>
        <v>0.29140671657543016</v>
      </c>
      <c r="I374" s="11">
        <f t="shared" ca="1" si="41"/>
        <v>16.461089153291432</v>
      </c>
      <c r="J374" s="11">
        <f t="shared" ca="1" si="42"/>
        <v>-15.697527495884808</v>
      </c>
      <c r="K374" s="11">
        <f t="shared" ca="1" si="43"/>
        <v>1.841729300370111</v>
      </c>
      <c r="L374" s="20">
        <f t="shared" ca="1" si="44"/>
        <v>-1.0781676429634865</v>
      </c>
    </row>
    <row r="375" spans="4:12" x14ac:dyDescent="0.25">
      <c r="D375" s="22">
        <f t="shared" ca="1" si="46"/>
        <v>4.4974601332164577E-2</v>
      </c>
      <c r="E375" s="11">
        <v>1.0361111111111112</v>
      </c>
      <c r="F375" s="11">
        <f t="shared" ca="1" si="47"/>
        <v>56.36553743478153</v>
      </c>
      <c r="G375" s="11">
        <f t="shared" ca="1" si="45"/>
        <v>0.72580749004343303</v>
      </c>
      <c r="H375" s="11">
        <f t="shared" ca="1" si="40"/>
        <v>0.28731050475549236</v>
      </c>
      <c r="I375" s="11">
        <f t="shared" ca="1" si="41"/>
        <v>16.19441101120168</v>
      </c>
      <c r="J375" s="11">
        <f t="shared" ca="1" si="42"/>
        <v>-15.468603521158247</v>
      </c>
      <c r="K375" s="11">
        <f t="shared" ca="1" si="43"/>
        <v>1.8012468863176498</v>
      </c>
      <c r="L375" s="20">
        <f t="shared" ca="1" si="44"/>
        <v>-1.0754393962742168</v>
      </c>
    </row>
    <row r="376" spans="4:12" x14ac:dyDescent="0.25">
      <c r="D376" s="22">
        <f t="shared" ca="1" si="46"/>
        <v>4.5064010881953782E-2</v>
      </c>
      <c r="E376" s="11">
        <v>1.038888888888889</v>
      </c>
      <c r="F376" s="11">
        <f t="shared" ca="1" si="47"/>
        <v>56.773064919694654</v>
      </c>
      <c r="G376" s="11">
        <f t="shared" ca="1" si="45"/>
        <v>0.84095797035630326</v>
      </c>
      <c r="H376" s="11">
        <f t="shared" ca="1" si="40"/>
        <v>0.29951017572424005</v>
      </c>
      <c r="I376" s="11">
        <f t="shared" ca="1" si="41"/>
        <v>17.004110650501435</v>
      </c>
      <c r="J376" s="11">
        <f t="shared" ca="1" si="42"/>
        <v>-16.163152680145132</v>
      </c>
      <c r="K376" s="11">
        <f t="shared" ca="1" si="43"/>
        <v>1.9147265121002315</v>
      </c>
      <c r="L376" s="20">
        <f t="shared" ca="1" si="44"/>
        <v>-1.0737685417439282</v>
      </c>
    </row>
    <row r="377" spans="4:12" x14ac:dyDescent="0.25">
      <c r="D377" s="22">
        <f t="shared" ca="1" si="46"/>
        <v>4.5535784472333155E-2</v>
      </c>
      <c r="E377" s="11">
        <v>1.0416666666666667</v>
      </c>
      <c r="F377" s="11">
        <f t="shared" ca="1" si="47"/>
        <v>56.529085282575991</v>
      </c>
      <c r="G377" s="11">
        <f t="shared" ca="1" si="45"/>
        <v>0.76583900751807477</v>
      </c>
      <c r="H377" s="11">
        <f t="shared" ca="1" si="40"/>
        <v>0.2921268761927639</v>
      </c>
      <c r="I377" s="11">
        <f t="shared" ca="1" si="41"/>
        <v>16.513665097633268</v>
      </c>
      <c r="J377" s="11">
        <f t="shared" ca="1" si="42"/>
        <v>-15.747826090115193</v>
      </c>
      <c r="K377" s="11">
        <f t="shared" ca="1" si="43"/>
        <v>1.841869045460339</v>
      </c>
      <c r="L377" s="20">
        <f t="shared" ca="1" si="44"/>
        <v>-1.0760300379422643</v>
      </c>
    </row>
    <row r="378" spans="4:12" x14ac:dyDescent="0.25">
      <c r="D378" s="22">
        <f t="shared" ca="1" si="46"/>
        <v>4.6145094481519371E-2</v>
      </c>
      <c r="E378" s="11">
        <v>1.0444444444444445</v>
      </c>
      <c r="F378" s="11">
        <f t="shared" ca="1" si="47"/>
        <v>56.292667975907243</v>
      </c>
      <c r="G378" s="11">
        <f t="shared" ca="1" si="45"/>
        <v>0.69475645963655275</v>
      </c>
      <c r="H378" s="11">
        <f t="shared" ca="1" si="40"/>
        <v>0.28523260423285501</v>
      </c>
      <c r="I378" s="11">
        <f t="shared" ca="1" si="41"/>
        <v>16.056504285983461</v>
      </c>
      <c r="J378" s="11">
        <f t="shared" ca="1" si="42"/>
        <v>-15.361747826346908</v>
      </c>
      <c r="K378" s="11">
        <f t="shared" ca="1" si="43"/>
        <v>1.7747469300231085</v>
      </c>
      <c r="L378" s="20">
        <f t="shared" ca="1" si="44"/>
        <v>-1.0799904703865557</v>
      </c>
    </row>
    <row r="379" spans="4:12" x14ac:dyDescent="0.25">
      <c r="D379" s="22">
        <f t="shared" ca="1" si="46"/>
        <v>4.6246472539732492E-2</v>
      </c>
      <c r="E379" s="11">
        <v>1.0472222222222223</v>
      </c>
      <c r="F379" s="11">
        <f t="shared" ca="1" si="47"/>
        <v>55.684349468685561</v>
      </c>
      <c r="G379" s="11">
        <f t="shared" ca="1" si="45"/>
        <v>0.51927065350052715</v>
      </c>
      <c r="H379" s="11">
        <f t="shared" ca="1" si="40"/>
        <v>0.26621687613660072</v>
      </c>
      <c r="I379" s="11">
        <f t="shared" ca="1" si="41"/>
        <v>14.824113565252253</v>
      </c>
      <c r="J379" s="11">
        <f t="shared" ca="1" si="42"/>
        <v>-14.304842911751726</v>
      </c>
      <c r="K379" s="11">
        <f t="shared" ca="1" si="43"/>
        <v>1.6012851946515272</v>
      </c>
      <c r="L379" s="20">
        <f t="shared" ca="1" si="44"/>
        <v>-1.082014541151</v>
      </c>
    </row>
    <row r="380" spans="4:12" x14ac:dyDescent="0.25">
      <c r="D380" s="22">
        <f t="shared" ca="1" si="46"/>
        <v>4.5977773994345626E-2</v>
      </c>
      <c r="E380" s="11">
        <v>1.05</v>
      </c>
      <c r="F380" s="11">
        <f t="shared" ca="1" si="47"/>
        <v>54.873441684323801</v>
      </c>
      <c r="G380" s="11">
        <f t="shared" ca="1" si="45"/>
        <v>0.30156624176861868</v>
      </c>
      <c r="H380" s="11">
        <f t="shared" ca="1" si="40"/>
        <v>0.24111686654762809</v>
      </c>
      <c r="I380" s="11">
        <f t="shared" ca="1" si="41"/>
        <v>13.230912315608155</v>
      </c>
      <c r="J380" s="11">
        <f t="shared" ca="1" si="42"/>
        <v>-12.929346073839536</v>
      </c>
      <c r="K380" s="11">
        <f t="shared" ca="1" si="43"/>
        <v>1.3857972315735989</v>
      </c>
      <c r="L380" s="20">
        <f t="shared" ca="1" si="44"/>
        <v>-1.0842309898049802</v>
      </c>
    </row>
    <row r="381" spans="4:12" x14ac:dyDescent="0.25">
      <c r="D381" s="22">
        <f t="shared" ca="1" si="46"/>
        <v>4.5608797926984995E-2</v>
      </c>
      <c r="E381" s="11">
        <v>1.0527777777777778</v>
      </c>
      <c r="F381" s="11">
        <f t="shared" ca="1" si="47"/>
        <v>55.252232307237655</v>
      </c>
      <c r="G381" s="11">
        <f t="shared" ca="1" si="45"/>
        <v>0.39126091293115017</v>
      </c>
      <c r="H381" s="11">
        <f t="shared" ca="1" si="40"/>
        <v>0.25106582991973542</v>
      </c>
      <c r="I381" s="11">
        <f t="shared" ca="1" si="41"/>
        <v>13.87194755913464</v>
      </c>
      <c r="J381" s="11">
        <f t="shared" ca="1" si="42"/>
        <v>-13.480686646203489</v>
      </c>
      <c r="K381" s="11">
        <f t="shared" ca="1" si="43"/>
        <v>1.4682752509209422</v>
      </c>
      <c r="L381" s="20">
        <f t="shared" ca="1" si="44"/>
        <v>-1.0770143379897921</v>
      </c>
    </row>
    <row r="382" spans="4:12" x14ac:dyDescent="0.25">
      <c r="D382" s="22">
        <f t="shared" ca="1" si="46"/>
        <v>4.5857626187439285E-2</v>
      </c>
      <c r="E382" s="11">
        <v>1.0555555555555556</v>
      </c>
      <c r="F382" s="11">
        <f t="shared" ca="1" si="47"/>
        <v>55.958615768428238</v>
      </c>
      <c r="G382" s="11">
        <f t="shared" ca="1" si="45"/>
        <v>0.56689235267870686</v>
      </c>
      <c r="H382" s="11">
        <f t="shared" ca="1" si="40"/>
        <v>0.27209322525831275</v>
      </c>
      <c r="I382" s="11">
        <f t="shared" ca="1" si="41"/>
        <v>15.225960245422316</v>
      </c>
      <c r="J382" s="11">
        <f t="shared" ca="1" si="42"/>
        <v>-14.659067892743609</v>
      </c>
      <c r="K382" s="11">
        <f t="shared" ca="1" si="43"/>
        <v>1.6492519421533671</v>
      </c>
      <c r="L382" s="20">
        <f t="shared" ca="1" si="44"/>
        <v>-1.0823595894746603</v>
      </c>
    </row>
    <row r="383" spans="4:12" x14ac:dyDescent="0.25">
      <c r="D383" s="22">
        <f t="shared" ca="1" si="46"/>
        <v>4.6410765729902069E-2</v>
      </c>
      <c r="E383" s="11">
        <v>1.0583333333333333</v>
      </c>
      <c r="F383" s="11">
        <f t="shared" ca="1" si="47"/>
        <v>54.627672839318379</v>
      </c>
      <c r="G383" s="11">
        <f t="shared" ca="1" si="45"/>
        <v>0.20286184729055279</v>
      </c>
      <c r="H383" s="11">
        <f t="shared" ca="1" si="40"/>
        <v>0.23279345339340948</v>
      </c>
      <c r="I383" s="11">
        <f t="shared" ca="1" si="41"/>
        <v>12.716964611110285</v>
      </c>
      <c r="J383" s="11">
        <f t="shared" ca="1" si="42"/>
        <v>-12.514102763819732</v>
      </c>
      <c r="K383" s="11">
        <f t="shared" ca="1" si="43"/>
        <v>1.3133658065854663</v>
      </c>
      <c r="L383" s="20">
        <f t="shared" ca="1" si="44"/>
        <v>-1.1105039592949135</v>
      </c>
    </row>
    <row r="384" spans="4:12" x14ac:dyDescent="0.25">
      <c r="D384" s="22">
        <f t="shared" ca="1" si="46"/>
        <v>4.673235056301997E-2</v>
      </c>
      <c r="E384" s="11">
        <v>1.0611111111111111</v>
      </c>
      <c r="F384" s="11">
        <f t="shared" ca="1" si="47"/>
        <v>54.863419885127819</v>
      </c>
      <c r="G384" s="11">
        <f t="shared" ca="1" si="45"/>
        <v>0.25611762899818835</v>
      </c>
      <c r="H384" s="11">
        <f t="shared" ca="1" si="40"/>
        <v>0.23949441345262784</v>
      </c>
      <c r="I384" s="11">
        <f t="shared" ca="1" si="41"/>
        <v>13.139482565393926</v>
      </c>
      <c r="J384" s="11">
        <f t="shared" ca="1" si="42"/>
        <v>-12.883364936395738</v>
      </c>
      <c r="K384" s="11">
        <f t="shared" ca="1" si="43"/>
        <v>1.3662069731056246</v>
      </c>
      <c r="L384" s="20">
        <f t="shared" ca="1" si="44"/>
        <v>-1.1100893441074362</v>
      </c>
    </row>
    <row r="385" spans="4:12" x14ac:dyDescent="0.25">
      <c r="D385" s="22">
        <f t="shared" ca="1" si="46"/>
        <v>4.7052895208306925E-2</v>
      </c>
      <c r="E385" s="11">
        <v>1.0638888888888889</v>
      </c>
      <c r="F385" s="11">
        <f t="shared" ca="1" si="47"/>
        <v>55.611057963043187</v>
      </c>
      <c r="G385" s="11">
        <f t="shared" ca="1" si="45"/>
        <v>0.43348877406030084</v>
      </c>
      <c r="H385" s="11">
        <f t="shared" ca="1" si="40"/>
        <v>0.26159393017718524</v>
      </c>
      <c r="I385" s="11">
        <f t="shared" ca="1" si="41"/>
        <v>14.54751521386372</v>
      </c>
      <c r="J385" s="11">
        <f t="shared" ca="1" si="42"/>
        <v>-14.114026439803419</v>
      </c>
      <c r="K385" s="11">
        <f t="shared" ca="1" si="43"/>
        <v>1.550541222729118</v>
      </c>
      <c r="L385" s="20">
        <f t="shared" ca="1" si="44"/>
        <v>-1.1170524486688171</v>
      </c>
    </row>
    <row r="386" spans="4:12" x14ac:dyDescent="0.25">
      <c r="D386" s="22">
        <f t="shared" ca="1" si="46"/>
        <v>4.6716622758218238E-2</v>
      </c>
      <c r="E386" s="11">
        <v>1.0666666666666667</v>
      </c>
      <c r="F386" s="11">
        <f t="shared" ca="1" si="47"/>
        <v>55.615399316118875</v>
      </c>
      <c r="G386" s="11">
        <f t="shared" ca="1" si="45"/>
        <v>0.43279277224960033</v>
      </c>
      <c r="H386" s="11">
        <f t="shared" ref="H386:H449" ca="1" si="48">BSGreeks(F386,$B$3,$B$6 - E386,D386, $B$5,$H$1)</f>
        <v>0.26057529854328143</v>
      </c>
      <c r="I386" s="11">
        <f t="shared" ref="I386:I449" ca="1" si="49">F386*H386</f>
        <v>14.491999280401485</v>
      </c>
      <c r="J386" s="11">
        <f t="shared" ref="J386:J449" ca="1" si="50">G386 - I386</f>
        <v>-14.059206508151885</v>
      </c>
      <c r="K386" s="11">
        <f t="shared" ref="K386:K449" ca="1" si="51">BSCall(F386,$B$3, $B$6 - E386,D386,$B$5)</f>
        <v>1.5407129730485045</v>
      </c>
      <c r="L386" s="20">
        <f t="shared" ref="L386:L449" ca="1" si="52">G386 - K386</f>
        <v>-1.1079202007989042</v>
      </c>
    </row>
    <row r="387" spans="4:12" x14ac:dyDescent="0.25">
      <c r="D387" s="22">
        <f t="shared" ca="1" si="46"/>
        <v>4.6739115332712154E-2</v>
      </c>
      <c r="E387" s="11">
        <v>1.0694444444444444</v>
      </c>
      <c r="F387" s="11">
        <f t="shared" ca="1" si="47"/>
        <v>55.812712033596284</v>
      </c>
      <c r="G387" s="11">
        <f t="shared" ref="G387:G450" ca="1" si="53" xml:space="preserve"> H386*F387 + J386* EXP(D387*(E387 - E386))</f>
        <v>0.48238215492039238</v>
      </c>
      <c r="H387" s="11">
        <f t="shared" ca="1" si="48"/>
        <v>0.26597724087340746</v>
      </c>
      <c r="I387" s="11">
        <f t="shared" ca="1" si="49"/>
        <v>14.844911152357966</v>
      </c>
      <c r="J387" s="11">
        <f t="shared" ca="1" si="50"/>
        <v>-14.362528997437574</v>
      </c>
      <c r="K387" s="11">
        <f t="shared" ca="1" si="51"/>
        <v>1.5860001685069169</v>
      </c>
      <c r="L387" s="20">
        <f t="shared" ca="1" si="52"/>
        <v>-1.1036180135865246</v>
      </c>
    </row>
    <row r="388" spans="4:12" x14ac:dyDescent="0.25">
      <c r="D388" s="22">
        <f t="shared" ref="D388:D451" ca="1" si="54">D387*1.002 + $B$5*D387*SQRT(E388-E387)*_xlfn.NORM.S.INV(RAND())</f>
        <v>4.6361617488874206E-2</v>
      </c>
      <c r="E388" s="11">
        <v>1.0722222222222222</v>
      </c>
      <c r="F388" s="11">
        <f t="shared" ref="F388:F451" ca="1" si="55">F387 + D387*F387*(E388-E387) + $B$5*F387*SQRT(E388-E387)*_xlfn.NORM.S.INV(RAND())</f>
        <v>56.128039901995571</v>
      </c>
      <c r="G388" s="11">
        <f t="shared" ca="1" si="53"/>
        <v>0.56440243312349914</v>
      </c>
      <c r="H388" s="11">
        <f t="shared" ca="1" si="48"/>
        <v>0.27442125564906727</v>
      </c>
      <c r="I388" s="11">
        <f t="shared" ca="1" si="49"/>
        <v>15.402727187026576</v>
      </c>
      <c r="J388" s="11">
        <f t="shared" ca="1" si="50"/>
        <v>-14.838324753903077</v>
      </c>
      <c r="K388" s="11">
        <f t="shared" ca="1" si="51"/>
        <v>1.6593829701807989</v>
      </c>
      <c r="L388" s="20">
        <f t="shared" ca="1" si="52"/>
        <v>-1.0949805370572998</v>
      </c>
    </row>
    <row r="389" spans="4:12" x14ac:dyDescent="0.25">
      <c r="D389" s="22">
        <f t="shared" ca="1" si="54"/>
        <v>4.5595239786574759E-2</v>
      </c>
      <c r="E389" s="11">
        <v>1.075</v>
      </c>
      <c r="F389" s="11">
        <f t="shared" ca="1" si="55"/>
        <v>55.661982111914185</v>
      </c>
      <c r="G389" s="11">
        <f t="shared" ca="1" si="53"/>
        <v>0.43462682521675156</v>
      </c>
      <c r="H389" s="11">
        <f t="shared" ca="1" si="48"/>
        <v>0.25836746189133536</v>
      </c>
      <c r="I389" s="11">
        <f t="shared" ca="1" si="49"/>
        <v>14.381245042096179</v>
      </c>
      <c r="J389" s="11">
        <f t="shared" ca="1" si="50"/>
        <v>-13.946618216879427</v>
      </c>
      <c r="K389" s="11">
        <f t="shared" ca="1" si="51"/>
        <v>1.5188013278673866</v>
      </c>
      <c r="L389" s="20">
        <f t="shared" ca="1" si="52"/>
        <v>-1.0841745026506351</v>
      </c>
    </row>
    <row r="390" spans="4:12" x14ac:dyDescent="0.25">
      <c r="D390" s="22">
        <f t="shared" ca="1" si="54"/>
        <v>4.6146500250122839E-2</v>
      </c>
      <c r="E390" s="11">
        <v>1.0777777777777777</v>
      </c>
      <c r="F390" s="11">
        <f t="shared" ca="1" si="55"/>
        <v>55.986543298009437</v>
      </c>
      <c r="G390" s="11">
        <f t="shared" ca="1" si="53"/>
        <v>0.51669501711927168</v>
      </c>
      <c r="H390" s="11">
        <f t="shared" ca="1" si="48"/>
        <v>0.26848773833882317</v>
      </c>
      <c r="I390" s="11">
        <f t="shared" ca="1" si="49"/>
        <v>15.031700387491151</v>
      </c>
      <c r="J390" s="11">
        <f t="shared" ca="1" si="50"/>
        <v>-14.515005370371879</v>
      </c>
      <c r="K390" s="11">
        <f t="shared" ca="1" si="51"/>
        <v>1.6040438285144831</v>
      </c>
      <c r="L390" s="20">
        <f t="shared" ca="1" si="52"/>
        <v>-1.0873488113952114</v>
      </c>
    </row>
    <row r="391" spans="4:12" x14ac:dyDescent="0.25">
      <c r="D391" s="22">
        <f t="shared" ca="1" si="54"/>
        <v>4.5578861390630609E-2</v>
      </c>
      <c r="E391" s="11">
        <v>1.0805555555555555</v>
      </c>
      <c r="F391" s="11">
        <f t="shared" ca="1" si="55"/>
        <v>56.63241122083118</v>
      </c>
      <c r="G391" s="11">
        <f t="shared" ca="1" si="53"/>
        <v>0.68826480359408748</v>
      </c>
      <c r="H391" s="11">
        <f t="shared" ca="1" si="48"/>
        <v>0.28699174478934653</v>
      </c>
      <c r="I391" s="11">
        <f t="shared" ca="1" si="49"/>
        <v>16.253034507894107</v>
      </c>
      <c r="J391" s="11">
        <f t="shared" ca="1" si="50"/>
        <v>-15.564769704300019</v>
      </c>
      <c r="K391" s="11">
        <f t="shared" ca="1" si="51"/>
        <v>1.7688687536057159</v>
      </c>
      <c r="L391" s="20">
        <f t="shared" ca="1" si="52"/>
        <v>-1.0806039500116285</v>
      </c>
    </row>
    <row r="392" spans="4:12" x14ac:dyDescent="0.25">
      <c r="D392" s="22">
        <f t="shared" ca="1" si="54"/>
        <v>4.5533399869837343E-2</v>
      </c>
      <c r="E392" s="11">
        <v>1.0833333333333335</v>
      </c>
      <c r="F392" s="11">
        <f t="shared" ca="1" si="55"/>
        <v>56.565442987011664</v>
      </c>
      <c r="G392" s="11">
        <f t="shared" ca="1" si="53"/>
        <v>0.6670766908120882</v>
      </c>
      <c r="H392" s="11">
        <f t="shared" ca="1" si="48"/>
        <v>0.28420533792187397</v>
      </c>
      <c r="I392" s="11">
        <f t="shared" ca="1" si="49"/>
        <v>16.076200838824146</v>
      </c>
      <c r="J392" s="11">
        <f t="shared" ca="1" si="50"/>
        <v>-15.409124148012058</v>
      </c>
      <c r="K392" s="11">
        <f t="shared" ca="1" si="51"/>
        <v>1.7417416442619869</v>
      </c>
      <c r="L392" s="20">
        <f t="shared" ca="1" si="52"/>
        <v>-1.0746649534498987</v>
      </c>
    </row>
    <row r="393" spans="4:12" x14ac:dyDescent="0.25">
      <c r="D393" s="22">
        <f t="shared" ca="1" si="54"/>
        <v>4.5800596373561167E-2</v>
      </c>
      <c r="E393" s="11">
        <v>1.0861111111111112</v>
      </c>
      <c r="F393" s="11">
        <f t="shared" ca="1" si="55"/>
        <v>56.201430444249837</v>
      </c>
      <c r="G393" s="11">
        <f t="shared" ca="1" si="53"/>
        <v>0.56166184983472434</v>
      </c>
      <c r="H393" s="11">
        <f t="shared" ca="1" si="48"/>
        <v>0.27268862467175115</v>
      </c>
      <c r="I393" s="11">
        <f t="shared" ca="1" si="49"/>
        <v>15.325490772427573</v>
      </c>
      <c r="J393" s="11">
        <f t="shared" ca="1" si="50"/>
        <v>-14.763828922592849</v>
      </c>
      <c r="K393" s="11">
        <f t="shared" ca="1" si="51"/>
        <v>1.6365407318736662</v>
      </c>
      <c r="L393" s="20">
        <f t="shared" ca="1" si="52"/>
        <v>-1.0748788820389419</v>
      </c>
    </row>
    <row r="394" spans="4:12" x14ac:dyDescent="0.25">
      <c r="D394" s="22">
        <f t="shared" ca="1" si="54"/>
        <v>4.5296755457139883E-2</v>
      </c>
      <c r="E394" s="11">
        <v>1.088888888888889</v>
      </c>
      <c r="F394" s="11">
        <f t="shared" ca="1" si="55"/>
        <v>55.880519607354714</v>
      </c>
      <c r="G394" s="11">
        <f t="shared" ca="1" si="53"/>
        <v>0.47229534946060525</v>
      </c>
      <c r="H394" s="11">
        <f t="shared" ca="1" si="48"/>
        <v>0.26141768236976876</v>
      </c>
      <c r="I394" s="11">
        <f t="shared" ca="1" si="49"/>
        <v>14.60815592537309</v>
      </c>
      <c r="J394" s="11">
        <f t="shared" ca="1" si="50"/>
        <v>-14.135860575912485</v>
      </c>
      <c r="K394" s="11">
        <f t="shared" ca="1" si="51"/>
        <v>1.5376424947792386</v>
      </c>
      <c r="L394" s="20">
        <f t="shared" ca="1" si="52"/>
        <v>-1.0653471453186334</v>
      </c>
    </row>
    <row r="395" spans="4:12" x14ac:dyDescent="0.25">
      <c r="D395" s="22">
        <f t="shared" ca="1" si="54"/>
        <v>4.5235780062840562E-2</v>
      </c>
      <c r="E395" s="11">
        <v>1.0916666666666668</v>
      </c>
      <c r="F395" s="11">
        <f t="shared" ca="1" si="55"/>
        <v>56.208303790393543</v>
      </c>
      <c r="G395" s="11">
        <f t="shared" ca="1" si="53"/>
        <v>0.55620757852888048</v>
      </c>
      <c r="H395" s="11">
        <f t="shared" ca="1" si="48"/>
        <v>0.27076007405114633</v>
      </c>
      <c r="I395" s="11">
        <f t="shared" ca="1" si="49"/>
        <v>15.218964496576284</v>
      </c>
      <c r="J395" s="11">
        <f t="shared" ca="1" si="50"/>
        <v>-14.662756918047403</v>
      </c>
      <c r="K395" s="11">
        <f t="shared" ca="1" si="51"/>
        <v>1.6170849410626236</v>
      </c>
      <c r="L395" s="20">
        <f t="shared" ca="1" si="52"/>
        <v>-1.0608773625337431</v>
      </c>
    </row>
    <row r="396" spans="4:12" x14ac:dyDescent="0.25">
      <c r="D396" s="22">
        <f t="shared" ca="1" si="54"/>
        <v>4.6136183254737818E-2</v>
      </c>
      <c r="E396" s="11">
        <v>1.0944444444444446</v>
      </c>
      <c r="F396" s="11">
        <f t="shared" ca="1" si="55"/>
        <v>56.077594859603984</v>
      </c>
      <c r="G396" s="11">
        <f t="shared" ca="1" si="53"/>
        <v>0.51893757711086685</v>
      </c>
      <c r="H396" s="11">
        <f t="shared" ca="1" si="48"/>
        <v>0.26751296892922483</v>
      </c>
      <c r="I396" s="11">
        <f t="shared" ca="1" si="49"/>
        <v>15.001483891302898</v>
      </c>
      <c r="J396" s="11">
        <f t="shared" ca="1" si="50"/>
        <v>-14.482546314192032</v>
      </c>
      <c r="K396" s="11">
        <f t="shared" ca="1" si="51"/>
        <v>1.5858176214228277</v>
      </c>
      <c r="L396" s="20">
        <f t="shared" ca="1" si="52"/>
        <v>-1.0668800443119608</v>
      </c>
    </row>
    <row r="397" spans="4:12" x14ac:dyDescent="0.25">
      <c r="D397" s="22">
        <f t="shared" ca="1" si="54"/>
        <v>4.6244082238846192E-2</v>
      </c>
      <c r="E397" s="11">
        <v>1.0972222222222223</v>
      </c>
      <c r="F397" s="11">
        <f t="shared" ca="1" si="55"/>
        <v>55.892017104912142</v>
      </c>
      <c r="G397" s="11">
        <f t="shared" ca="1" si="53"/>
        <v>0.46743263465241647</v>
      </c>
      <c r="H397" s="11">
        <f t="shared" ca="1" si="48"/>
        <v>0.26134524856342578</v>
      </c>
      <c r="I397" s="11">
        <f t="shared" ca="1" si="49"/>
        <v>14.607113102994509</v>
      </c>
      <c r="J397" s="11">
        <f t="shared" ca="1" si="50"/>
        <v>-14.139680468342092</v>
      </c>
      <c r="K397" s="11">
        <f t="shared" ca="1" si="51"/>
        <v>1.5309878188343689</v>
      </c>
      <c r="L397" s="20">
        <f t="shared" ca="1" si="52"/>
        <v>-1.0635551841819524</v>
      </c>
    </row>
    <row r="398" spans="4:12" x14ac:dyDescent="0.25">
      <c r="D398" s="22">
        <f t="shared" ca="1" si="54"/>
        <v>4.6502140644968021E-2</v>
      </c>
      <c r="E398" s="11">
        <v>1.1000000000000001</v>
      </c>
      <c r="F398" s="11">
        <f t="shared" ca="1" si="55"/>
        <v>55.957335449553582</v>
      </c>
      <c r="G398" s="11">
        <f t="shared" ca="1" si="53"/>
        <v>0.48267669622742915</v>
      </c>
      <c r="H398" s="11">
        <f t="shared" ca="1" si="48"/>
        <v>0.26311244563780656</v>
      </c>
      <c r="I398" s="11">
        <f t="shared" ca="1" si="49"/>
        <v>14.723071381507173</v>
      </c>
      <c r="J398" s="11">
        <f t="shared" ca="1" si="50"/>
        <v>-14.240394685279744</v>
      </c>
      <c r="K398" s="11">
        <f t="shared" ca="1" si="51"/>
        <v>1.5441480180112241</v>
      </c>
      <c r="L398" s="20">
        <f t="shared" ca="1" si="52"/>
        <v>-1.061471321783795</v>
      </c>
    </row>
    <row r="399" spans="4:12" x14ac:dyDescent="0.25">
      <c r="D399" s="22">
        <f t="shared" ca="1" si="54"/>
        <v>4.5907890101220775E-2</v>
      </c>
      <c r="E399" s="11">
        <v>1.1027777777777779</v>
      </c>
      <c r="F399" s="11">
        <f t="shared" ca="1" si="55"/>
        <v>56.890507894552108</v>
      </c>
      <c r="G399" s="11">
        <f t="shared" ca="1" si="53"/>
        <v>0.7263899022120146</v>
      </c>
      <c r="H399" s="11">
        <f t="shared" ca="1" si="48"/>
        <v>0.29073244163947665</v>
      </c>
      <c r="I399" s="11">
        <f t="shared" ca="1" si="49"/>
        <v>16.539916266293055</v>
      </c>
      <c r="J399" s="11">
        <f t="shared" ca="1" si="50"/>
        <v>-15.81352636408104</v>
      </c>
      <c r="K399" s="11">
        <f t="shared" ca="1" si="51"/>
        <v>1.7877108891084941</v>
      </c>
      <c r="L399" s="20">
        <f t="shared" ca="1" si="52"/>
        <v>-1.0613209868964795</v>
      </c>
    </row>
    <row r="400" spans="4:12" x14ac:dyDescent="0.25">
      <c r="D400" s="22">
        <f t="shared" ca="1" si="54"/>
        <v>4.534701287325324E-2</v>
      </c>
      <c r="E400" s="11">
        <v>1.1055555555555556</v>
      </c>
      <c r="F400" s="11">
        <f t="shared" ca="1" si="55"/>
        <v>57.172041455756194</v>
      </c>
      <c r="G400" s="11">
        <f t="shared" ca="1" si="53"/>
        <v>0.80624878255982679</v>
      </c>
      <c r="H400" s="11">
        <f t="shared" ca="1" si="48"/>
        <v>0.29818651494631276</v>
      </c>
      <c r="I400" s="11">
        <f t="shared" ca="1" si="49"/>
        <v>17.047931794058059</v>
      </c>
      <c r="J400" s="11">
        <f t="shared" ca="1" si="50"/>
        <v>-16.241683011498232</v>
      </c>
      <c r="K400" s="11">
        <f t="shared" ca="1" si="51"/>
        <v>1.8554192670791922</v>
      </c>
      <c r="L400" s="20">
        <f t="shared" ca="1" si="52"/>
        <v>-1.0491704845193655</v>
      </c>
    </row>
    <row r="401" spans="4:12" x14ac:dyDescent="0.25">
      <c r="D401" s="22">
        <f t="shared" ca="1" si="54"/>
        <v>4.5252446794447218E-2</v>
      </c>
      <c r="E401" s="11">
        <v>1.1083333333333334</v>
      </c>
      <c r="F401" s="11">
        <f t="shared" ca="1" si="55"/>
        <v>57.525073499492358</v>
      </c>
      <c r="G401" s="11">
        <f t="shared" ca="1" si="53"/>
        <v>0.90947644931267391</v>
      </c>
      <c r="H401" s="11">
        <f t="shared" ca="1" si="48"/>
        <v>0.30879825608394051</v>
      </c>
      <c r="I401" s="11">
        <f t="shared" ca="1" si="49"/>
        <v>17.763642377743743</v>
      </c>
      <c r="J401" s="11">
        <f t="shared" ca="1" si="50"/>
        <v>-16.854165928431069</v>
      </c>
      <c r="K401" s="11">
        <f t="shared" ca="1" si="51"/>
        <v>1.9534071341877053</v>
      </c>
      <c r="L401" s="20">
        <f t="shared" ca="1" si="52"/>
        <v>-1.0439306848750314</v>
      </c>
    </row>
    <row r="402" spans="4:12" x14ac:dyDescent="0.25">
      <c r="D402" s="22">
        <f t="shared" ca="1" si="54"/>
        <v>4.5033957290950825E-2</v>
      </c>
      <c r="E402" s="11">
        <v>1.1111111111111112</v>
      </c>
      <c r="F402" s="11">
        <f t="shared" ca="1" si="55"/>
        <v>58.444171877543184</v>
      </c>
      <c r="G402" s="11">
        <f t="shared" ca="1" si="53"/>
        <v>1.1911839332230016</v>
      </c>
      <c r="H402" s="11">
        <f t="shared" ca="1" si="48"/>
        <v>0.33798548225985831</v>
      </c>
      <c r="I402" s="11">
        <f t="shared" ca="1" si="49"/>
        <v>19.753281617309483</v>
      </c>
      <c r="J402" s="11">
        <f t="shared" ca="1" si="50"/>
        <v>-18.562097684086481</v>
      </c>
      <c r="K402" s="11">
        <f t="shared" ca="1" si="51"/>
        <v>2.2391241512893245</v>
      </c>
      <c r="L402" s="20">
        <f t="shared" ca="1" si="52"/>
        <v>-1.0479402180663229</v>
      </c>
    </row>
    <row r="403" spans="4:12" x14ac:dyDescent="0.25">
      <c r="D403" s="22">
        <f t="shared" ca="1" si="54"/>
        <v>4.5091658807894015E-2</v>
      </c>
      <c r="E403" s="11">
        <v>1.1138888888888889</v>
      </c>
      <c r="F403" s="11">
        <f t="shared" ca="1" si="55"/>
        <v>58.03943494232562</v>
      </c>
      <c r="G403" s="11">
        <f t="shared" ca="1" si="53"/>
        <v>1.0520635911059273</v>
      </c>
      <c r="H403" s="11">
        <f t="shared" ca="1" si="48"/>
        <v>0.32411524877882647</v>
      </c>
      <c r="I403" s="11">
        <f t="shared" ca="1" si="49"/>
        <v>18.811465895314381</v>
      </c>
      <c r="J403" s="11">
        <f t="shared" ca="1" si="50"/>
        <v>-17.759402304208454</v>
      </c>
      <c r="K403" s="11">
        <f t="shared" ca="1" si="51"/>
        <v>2.0976465722892335</v>
      </c>
      <c r="L403" s="20">
        <f t="shared" ca="1" si="52"/>
        <v>-1.0455829811833062</v>
      </c>
    </row>
    <row r="404" spans="4:12" x14ac:dyDescent="0.25">
      <c r="D404" s="22">
        <f t="shared" ca="1" si="54"/>
        <v>4.5191601472478887E-2</v>
      </c>
      <c r="E404" s="11">
        <v>1.1166666666666667</v>
      </c>
      <c r="F404" s="11">
        <f t="shared" ca="1" si="55"/>
        <v>58.165265568672538</v>
      </c>
      <c r="G404" s="11">
        <f t="shared" ca="1" si="53"/>
        <v>1.0906176986239302</v>
      </c>
      <c r="H404" s="11">
        <f t="shared" ca="1" si="48"/>
        <v>0.32783130102063701</v>
      </c>
      <c r="I404" s="11">
        <f t="shared" ca="1" si="49"/>
        <v>19.068394685588782</v>
      </c>
      <c r="J404" s="11">
        <f t="shared" ca="1" si="50"/>
        <v>-17.977776986964852</v>
      </c>
      <c r="K404" s="11">
        <f t="shared" ca="1" si="51"/>
        <v>2.1318584927974351</v>
      </c>
      <c r="L404" s="20">
        <f t="shared" ca="1" si="52"/>
        <v>-1.0412407941735049</v>
      </c>
    </row>
    <row r="405" spans="4:12" x14ac:dyDescent="0.25">
      <c r="D405" s="22">
        <f t="shared" ca="1" si="54"/>
        <v>4.5217985017264442E-2</v>
      </c>
      <c r="E405" s="11">
        <v>1.1194444444444445</v>
      </c>
      <c r="F405" s="11">
        <f t="shared" ca="1" si="55"/>
        <v>59.728726823336473</v>
      </c>
      <c r="G405" s="11">
        <f t="shared" ca="1" si="53"/>
        <v>1.6009109860965332</v>
      </c>
      <c r="H405" s="11">
        <f t="shared" ca="1" si="48"/>
        <v>0.37975635599181756</v>
      </c>
      <c r="I405" s="11">
        <f t="shared" ca="1" si="49"/>
        <v>22.682363646460988</v>
      </c>
      <c r="J405" s="11">
        <f t="shared" ca="1" si="50"/>
        <v>-21.081452660364455</v>
      </c>
      <c r="K405" s="11">
        <f t="shared" ca="1" si="51"/>
        <v>2.6764399619867385</v>
      </c>
      <c r="L405" s="20">
        <f t="shared" ca="1" si="52"/>
        <v>-1.0755289758902054</v>
      </c>
    </row>
    <row r="406" spans="4:12" x14ac:dyDescent="0.25">
      <c r="D406" s="22">
        <f t="shared" ca="1" si="54"/>
        <v>4.5704077011394569E-2</v>
      </c>
      <c r="E406" s="11">
        <v>1.1222222222222222</v>
      </c>
      <c r="F406" s="11">
        <f t="shared" ca="1" si="55"/>
        <v>61.050388102900314</v>
      </c>
      <c r="G406" s="11">
        <f t="shared" ca="1" si="53"/>
        <v>2.100143675534845</v>
      </c>
      <c r="H406" s="11">
        <f t="shared" ca="1" si="48"/>
        <v>0.42524564128180625</v>
      </c>
      <c r="I406" s="11">
        <f t="shared" ca="1" si="49"/>
        <v>25.961411439320997</v>
      </c>
      <c r="J406" s="11">
        <f t="shared" ca="1" si="50"/>
        <v>-23.861267763786152</v>
      </c>
      <c r="K406" s="11">
        <f t="shared" ca="1" si="51"/>
        <v>3.2078726476809449</v>
      </c>
      <c r="L406" s="20">
        <f t="shared" ca="1" si="52"/>
        <v>-1.1077289721460999</v>
      </c>
    </row>
    <row r="407" spans="4:12" x14ac:dyDescent="0.25">
      <c r="D407" s="22">
        <f t="shared" ca="1" si="54"/>
        <v>4.6074929920731519E-2</v>
      </c>
      <c r="E407" s="11">
        <v>1.125</v>
      </c>
      <c r="F407" s="11">
        <f t="shared" ca="1" si="55"/>
        <v>60.845009059176363</v>
      </c>
      <c r="G407" s="11">
        <f t="shared" ca="1" si="53"/>
        <v>2.0097530307214555</v>
      </c>
      <c r="H407" s="11">
        <f t="shared" ca="1" si="48"/>
        <v>0.41837835993406558</v>
      </c>
      <c r="I407" s="11">
        <f t="shared" ca="1" si="49"/>
        <v>25.45623510035157</v>
      </c>
      <c r="J407" s="11">
        <f t="shared" ca="1" si="50"/>
        <v>-23.446482069630115</v>
      </c>
      <c r="K407" s="11">
        <f t="shared" ca="1" si="51"/>
        <v>3.1186190129560116</v>
      </c>
      <c r="L407" s="20">
        <f t="shared" ca="1" si="52"/>
        <v>-1.1088659822345561</v>
      </c>
    </row>
    <row r="408" spans="4:12" x14ac:dyDescent="0.25">
      <c r="D408" s="22">
        <f t="shared" ca="1" si="54"/>
        <v>4.668184059330089E-2</v>
      </c>
      <c r="E408" s="11">
        <v>1.1277777777777778</v>
      </c>
      <c r="F408" s="11">
        <f t="shared" ca="1" si="55"/>
        <v>60.489360107770842</v>
      </c>
      <c r="G408" s="11">
        <f t="shared" ca="1" si="53"/>
        <v>1.8579166615367733</v>
      </c>
      <c r="H408" s="11">
        <f t="shared" ca="1" si="48"/>
        <v>0.40675303286692754</v>
      </c>
      <c r="I408" s="11">
        <f t="shared" ca="1" si="49"/>
        <v>24.604230680015529</v>
      </c>
      <c r="J408" s="11">
        <f t="shared" ca="1" si="50"/>
        <v>-22.746314018478756</v>
      </c>
      <c r="K408" s="11">
        <f t="shared" ca="1" si="51"/>
        <v>2.9736940990345775</v>
      </c>
      <c r="L408" s="20">
        <f t="shared" ca="1" si="52"/>
        <v>-1.1157774374978042</v>
      </c>
    </row>
    <row r="409" spans="4:12" x14ac:dyDescent="0.25">
      <c r="D409" s="22">
        <f t="shared" ca="1" si="54"/>
        <v>4.6791259877165335E-2</v>
      </c>
      <c r="E409" s="11">
        <v>1.1305555555555555</v>
      </c>
      <c r="F409" s="11">
        <f t="shared" ca="1" si="55"/>
        <v>60.246900884392566</v>
      </c>
      <c r="G409" s="11">
        <f t="shared" ca="1" si="53"/>
        <v>1.756338976353522</v>
      </c>
      <c r="H409" s="11">
        <f t="shared" ca="1" si="48"/>
        <v>0.39808698304985762</v>
      </c>
      <c r="I409" s="11">
        <f t="shared" ca="1" si="49"/>
        <v>23.983507011171636</v>
      </c>
      <c r="J409" s="11">
        <f t="shared" ca="1" si="50"/>
        <v>-22.227168034818114</v>
      </c>
      <c r="K409" s="11">
        <f t="shared" ca="1" si="51"/>
        <v>2.8684320638487368</v>
      </c>
      <c r="L409" s="20">
        <f t="shared" ca="1" si="52"/>
        <v>-1.1120930874952148</v>
      </c>
    </row>
    <row r="410" spans="4:12" x14ac:dyDescent="0.25">
      <c r="D410" s="22">
        <f t="shared" ca="1" si="54"/>
        <v>4.6085757825977611E-2</v>
      </c>
      <c r="E410" s="11">
        <v>1.1333333333333333</v>
      </c>
      <c r="F410" s="11">
        <f t="shared" ca="1" si="55"/>
        <v>61.258081826875944</v>
      </c>
      <c r="G410" s="11">
        <f t="shared" ca="1" si="53"/>
        <v>2.1560313319170881</v>
      </c>
      <c r="H410" s="11">
        <f t="shared" ca="1" si="48"/>
        <v>0.43109002983002853</v>
      </c>
      <c r="I410" s="11">
        <f t="shared" ca="1" si="49"/>
        <v>26.40774832207828</v>
      </c>
      <c r="J410" s="11">
        <f t="shared" ca="1" si="50"/>
        <v>-24.251716990161192</v>
      </c>
      <c r="K410" s="11">
        <f t="shared" ca="1" si="51"/>
        <v>3.2641830674470418</v>
      </c>
      <c r="L410" s="20">
        <f t="shared" ca="1" si="52"/>
        <v>-1.1081517355299537</v>
      </c>
    </row>
    <row r="411" spans="4:12" x14ac:dyDescent="0.25">
      <c r="D411" s="22">
        <f t="shared" ca="1" si="54"/>
        <v>4.6236316572462015E-2</v>
      </c>
      <c r="E411" s="11">
        <v>1.1361111111111111</v>
      </c>
      <c r="F411" s="11">
        <f t="shared" ca="1" si="55"/>
        <v>61.876709012130419</v>
      </c>
      <c r="G411" s="11">
        <f t="shared" ca="1" si="53"/>
        <v>2.4196003934550099</v>
      </c>
      <c r="H411" s="11">
        <f t="shared" ca="1" si="48"/>
        <v>0.45219680601808177</v>
      </c>
      <c r="I411" s="11">
        <f t="shared" ca="1" si="49"/>
        <v>27.980450182195632</v>
      </c>
      <c r="J411" s="11">
        <f t="shared" ca="1" si="50"/>
        <v>-25.560849788740622</v>
      </c>
      <c r="K411" s="11">
        <f t="shared" ca="1" si="51"/>
        <v>3.5301882267848366</v>
      </c>
      <c r="L411" s="20">
        <f t="shared" ca="1" si="52"/>
        <v>-1.1105878333298267</v>
      </c>
    </row>
    <row r="412" spans="4:12" x14ac:dyDescent="0.25">
      <c r="D412" s="22">
        <f t="shared" ca="1" si="54"/>
        <v>4.6751834639306045E-2</v>
      </c>
      <c r="E412" s="11">
        <v>1.1388888888888888</v>
      </c>
      <c r="F412" s="11">
        <f t="shared" ca="1" si="55"/>
        <v>61.741408601128228</v>
      </c>
      <c r="G412" s="11">
        <f t="shared" ca="1" si="53"/>
        <v>2.355098273574491</v>
      </c>
      <c r="H412" s="11">
        <f t="shared" ca="1" si="48"/>
        <v>0.44800600580272637</v>
      </c>
      <c r="I412" s="11">
        <f t="shared" ca="1" si="49"/>
        <v>27.660521860025554</v>
      </c>
      <c r="J412" s="11">
        <f t="shared" ca="1" si="50"/>
        <v>-25.305423586451063</v>
      </c>
      <c r="K412" s="11">
        <f t="shared" ca="1" si="51"/>
        <v>3.4696443707107072</v>
      </c>
      <c r="L412" s="20">
        <f t="shared" ca="1" si="52"/>
        <v>-1.1145460971362162</v>
      </c>
    </row>
    <row r="413" spans="4:12" x14ac:dyDescent="0.25">
      <c r="D413" s="22">
        <f t="shared" ca="1" si="54"/>
        <v>4.7647516490902653E-2</v>
      </c>
      <c r="E413" s="11">
        <v>1.1416666666666666</v>
      </c>
      <c r="F413" s="11">
        <f t="shared" ca="1" si="55"/>
        <v>62.134495336566708</v>
      </c>
      <c r="G413" s="11">
        <f t="shared" ca="1" si="53"/>
        <v>2.5278539907867952</v>
      </c>
      <c r="H413" s="11">
        <f t="shared" ca="1" si="48"/>
        <v>0.46274817715651362</v>
      </c>
      <c r="I413" s="11">
        <f t="shared" ca="1" si="49"/>
        <v>28.752624455536139</v>
      </c>
      <c r="J413" s="11">
        <f t="shared" ca="1" si="50"/>
        <v>-26.224770464749344</v>
      </c>
      <c r="K413" s="11">
        <f t="shared" ca="1" si="51"/>
        <v>3.6570353312381716</v>
      </c>
      <c r="L413" s="20">
        <f t="shared" ca="1" si="52"/>
        <v>-1.1291813404513764</v>
      </c>
    </row>
    <row r="414" spans="4:12" x14ac:dyDescent="0.25">
      <c r="D414" s="22">
        <f t="shared" ca="1" si="54"/>
        <v>4.7320297706171195E-2</v>
      </c>
      <c r="E414" s="11">
        <v>1.1444444444444446</v>
      </c>
      <c r="F414" s="11">
        <f t="shared" ca="1" si="55"/>
        <v>63.0899429915669</v>
      </c>
      <c r="G414" s="11">
        <f t="shared" ca="1" si="53"/>
        <v>2.9665383028714274</v>
      </c>
      <c r="H414" s="11">
        <f t="shared" ca="1" si="48"/>
        <v>0.49453338352850912</v>
      </c>
      <c r="I414" s="11">
        <f t="shared" ca="1" si="49"/>
        <v>31.200082974240331</v>
      </c>
      <c r="J414" s="11">
        <f t="shared" ca="1" si="50"/>
        <v>-28.233544671368904</v>
      </c>
      <c r="K414" s="11">
        <f t="shared" ca="1" si="51"/>
        <v>4.096129096599312</v>
      </c>
      <c r="L414" s="20">
        <f t="shared" ca="1" si="52"/>
        <v>-1.1295907937278846</v>
      </c>
    </row>
    <row r="415" spans="4:12" x14ac:dyDescent="0.25">
      <c r="D415" s="22">
        <f t="shared" ca="1" si="54"/>
        <v>4.6992798603411733E-2</v>
      </c>
      <c r="E415" s="11">
        <v>1.1472222222222224</v>
      </c>
      <c r="F415" s="11">
        <f t="shared" ca="1" si="55"/>
        <v>63.448711440191616</v>
      </c>
      <c r="G415" s="11">
        <f t="shared" ca="1" si="53"/>
        <v>3.1402755557899944</v>
      </c>
      <c r="H415" s="11">
        <f t="shared" ca="1" si="48"/>
        <v>0.50576546078435825</v>
      </c>
      <c r="I415" s="11">
        <f t="shared" ca="1" si="49"/>
        <v>32.090166777722295</v>
      </c>
      <c r="J415" s="11">
        <f t="shared" ca="1" si="50"/>
        <v>-28.949891221932301</v>
      </c>
      <c r="K415" s="11">
        <f t="shared" ca="1" si="51"/>
        <v>4.2566997437938827</v>
      </c>
      <c r="L415" s="20">
        <f t="shared" ca="1" si="52"/>
        <v>-1.1164241880038883</v>
      </c>
    </row>
    <row r="416" spans="4:12" x14ac:dyDescent="0.25">
      <c r="D416" s="22">
        <f t="shared" ca="1" si="54"/>
        <v>4.6829866240989323E-2</v>
      </c>
      <c r="E416" s="11">
        <v>1.1500000000000001</v>
      </c>
      <c r="F416" s="11">
        <f t="shared" ca="1" si="55"/>
        <v>62.790380882744479</v>
      </c>
      <c r="G416" s="11">
        <f t="shared" ca="1" si="53"/>
        <v>2.8035485655114201</v>
      </c>
      <c r="H416" s="11">
        <f t="shared" ca="1" si="48"/>
        <v>0.48251241460554278</v>
      </c>
      <c r="I416" s="11">
        <f t="shared" ca="1" si="49"/>
        <v>30.297138293734751</v>
      </c>
      <c r="J416" s="11">
        <f t="shared" ca="1" si="50"/>
        <v>-27.493589728223331</v>
      </c>
      <c r="K416" s="11">
        <f t="shared" ca="1" si="51"/>
        <v>3.916505596732462</v>
      </c>
      <c r="L416" s="20">
        <f t="shared" ca="1" si="52"/>
        <v>-1.1129570312210419</v>
      </c>
    </row>
    <row r="417" spans="4:12" x14ac:dyDescent="0.25">
      <c r="D417" s="22">
        <f t="shared" ca="1" si="54"/>
        <v>4.623254452482374E-2</v>
      </c>
      <c r="E417" s="11">
        <v>1.1527777777777779</v>
      </c>
      <c r="F417" s="11">
        <f t="shared" ca="1" si="55"/>
        <v>63.238346456236989</v>
      </c>
      <c r="G417" s="11">
        <f t="shared" ca="1" si="53"/>
        <v>3.0161664598308739</v>
      </c>
      <c r="H417" s="11">
        <f t="shared" ca="1" si="48"/>
        <v>0.49638515251959969</v>
      </c>
      <c r="I417" s="11">
        <f t="shared" ca="1" si="49"/>
        <v>31.390576250766486</v>
      </c>
      <c r="J417" s="11">
        <f t="shared" ca="1" si="50"/>
        <v>-28.374409790935612</v>
      </c>
      <c r="K417" s="11">
        <f t="shared" ca="1" si="51"/>
        <v>4.1111186542830103</v>
      </c>
      <c r="L417" s="20">
        <f t="shared" ca="1" si="52"/>
        <v>-1.0949521944521363</v>
      </c>
    </row>
    <row r="418" spans="4:12" x14ac:dyDescent="0.25">
      <c r="D418" s="22">
        <f t="shared" ca="1" si="54"/>
        <v>4.6092234607174466E-2</v>
      </c>
      <c r="E418" s="11">
        <v>1.1555555555555557</v>
      </c>
      <c r="F418" s="11">
        <f t="shared" ca="1" si="55"/>
        <v>63.335163894256929</v>
      </c>
      <c r="G418" s="11">
        <f t="shared" ca="1" si="53"/>
        <v>3.0605920772342969</v>
      </c>
      <c r="H418" s="11">
        <f t="shared" ca="1" si="48"/>
        <v>0.4990433581617062</v>
      </c>
      <c r="I418" s="11">
        <f t="shared" ca="1" si="49"/>
        <v>31.606992879512024</v>
      </c>
      <c r="J418" s="11">
        <f t="shared" ca="1" si="50"/>
        <v>-28.546400802277727</v>
      </c>
      <c r="K418" s="11">
        <f t="shared" ca="1" si="51"/>
        <v>4.1449224685338191</v>
      </c>
      <c r="L418" s="20">
        <f t="shared" ca="1" si="52"/>
        <v>-1.0843303912995221</v>
      </c>
    </row>
    <row r="419" spans="4:12" x14ac:dyDescent="0.25">
      <c r="D419" s="22">
        <f t="shared" ca="1" si="54"/>
        <v>4.665457406730171E-2</v>
      </c>
      <c r="E419" s="11">
        <v>1.1583333333333334</v>
      </c>
      <c r="F419" s="11">
        <f t="shared" ca="1" si="55"/>
        <v>62.880233565389183</v>
      </c>
      <c r="G419" s="11">
        <f t="shared" ca="1" si="53"/>
        <v>2.8298623779820176</v>
      </c>
      <c r="H419" s="11">
        <f t="shared" ca="1" si="48"/>
        <v>0.48400217399772633</v>
      </c>
      <c r="I419" s="11">
        <f t="shared" ca="1" si="49"/>
        <v>30.434169747133165</v>
      </c>
      <c r="J419" s="11">
        <f t="shared" ca="1" si="50"/>
        <v>-27.604307369151147</v>
      </c>
      <c r="K419" s="11">
        <f t="shared" ca="1" si="51"/>
        <v>3.923011402807425</v>
      </c>
      <c r="L419" s="20">
        <f t="shared" ca="1" si="52"/>
        <v>-1.0931490248254074</v>
      </c>
    </row>
    <row r="420" spans="4:12" x14ac:dyDescent="0.25">
      <c r="D420" s="22">
        <f t="shared" ca="1" si="54"/>
        <v>4.6193929213244701E-2</v>
      </c>
      <c r="E420" s="11">
        <v>1.1611111111111112</v>
      </c>
      <c r="F420" s="11">
        <f t="shared" ca="1" si="55"/>
        <v>62.982884920731507</v>
      </c>
      <c r="G420" s="11">
        <f t="shared" ca="1" si="53"/>
        <v>2.876003542588311</v>
      </c>
      <c r="H420" s="11">
        <f t="shared" ca="1" si="48"/>
        <v>0.48628171729226544</v>
      </c>
      <c r="I420" s="11">
        <f t="shared" ca="1" si="49"/>
        <v>30.627425439274447</v>
      </c>
      <c r="J420" s="11">
        <f t="shared" ca="1" si="50"/>
        <v>-27.751421896686136</v>
      </c>
      <c r="K420" s="11">
        <f t="shared" ca="1" si="51"/>
        <v>3.9514863093245101</v>
      </c>
      <c r="L420" s="20">
        <f t="shared" ca="1" si="52"/>
        <v>-1.075482766736199</v>
      </c>
    </row>
    <row r="421" spans="4:12" x14ac:dyDescent="0.25">
      <c r="D421" s="22">
        <f t="shared" ca="1" si="54"/>
        <v>4.702119230778512E-2</v>
      </c>
      <c r="E421" s="11">
        <v>1.163888888888889</v>
      </c>
      <c r="F421" s="11">
        <f t="shared" ca="1" si="55"/>
        <v>63.924539251030907</v>
      </c>
      <c r="G421" s="11">
        <f t="shared" ca="1" si="53"/>
        <v>3.3302878547296899</v>
      </c>
      <c r="H421" s="11">
        <f t="shared" ca="1" si="48"/>
        <v>0.51972952766040525</v>
      </c>
      <c r="I421" s="11">
        <f t="shared" ca="1" si="49"/>
        <v>33.223470590847327</v>
      </c>
      <c r="J421" s="11">
        <f t="shared" ca="1" si="50"/>
        <v>-29.893182736117637</v>
      </c>
      <c r="K421" s="11">
        <f t="shared" ca="1" si="51"/>
        <v>4.4331167605807886</v>
      </c>
      <c r="L421" s="20">
        <f t="shared" ca="1" si="52"/>
        <v>-1.1028289058510987</v>
      </c>
    </row>
    <row r="422" spans="4:12" x14ac:dyDescent="0.25">
      <c r="D422" s="22">
        <f t="shared" ca="1" si="54"/>
        <v>4.7430665325568555E-2</v>
      </c>
      <c r="E422" s="11">
        <v>1.1666666666666667</v>
      </c>
      <c r="F422" s="11">
        <f t="shared" ca="1" si="55"/>
        <v>64.478040742776969</v>
      </c>
      <c r="G422" s="11">
        <f t="shared" ca="1" si="53"/>
        <v>3.6140201820597966</v>
      </c>
      <c r="H422" s="11">
        <f t="shared" ca="1" si="48"/>
        <v>0.53888607094854535</v>
      </c>
      <c r="I422" s="11">
        <f t="shared" ca="1" si="49"/>
        <v>34.746318038335311</v>
      </c>
      <c r="J422" s="11">
        <f t="shared" ca="1" si="50"/>
        <v>-31.132297856275514</v>
      </c>
      <c r="K422" s="11">
        <f t="shared" ca="1" si="51"/>
        <v>4.7245249974486381</v>
      </c>
      <c r="L422" s="20">
        <f t="shared" ca="1" si="52"/>
        <v>-1.1105048153888415</v>
      </c>
    </row>
    <row r="423" spans="4:12" x14ac:dyDescent="0.25">
      <c r="D423" s="22">
        <f t="shared" ca="1" si="54"/>
        <v>4.7041742598643355E-2</v>
      </c>
      <c r="E423" s="11">
        <v>1.1694444444444445</v>
      </c>
      <c r="F423" s="11">
        <f t="shared" ca="1" si="55"/>
        <v>65.115152986585102</v>
      </c>
      <c r="G423" s="11">
        <f t="shared" ca="1" si="53"/>
        <v>3.9532827257904799</v>
      </c>
      <c r="H423" s="11">
        <f t="shared" ca="1" si="48"/>
        <v>0.55919803673391733</v>
      </c>
      <c r="I423" s="11">
        <f t="shared" ca="1" si="49"/>
        <v>36.412265711727059</v>
      </c>
      <c r="J423" s="11">
        <f t="shared" ca="1" si="50"/>
        <v>-32.458982985936579</v>
      </c>
      <c r="K423" s="11">
        <f t="shared" ca="1" si="51"/>
        <v>5.0525712764135653</v>
      </c>
      <c r="L423" s="20">
        <f t="shared" ca="1" si="52"/>
        <v>-1.0992885506230854</v>
      </c>
    </row>
    <row r="424" spans="4:12" x14ac:dyDescent="0.25">
      <c r="D424" s="22">
        <f t="shared" ca="1" si="54"/>
        <v>4.6960041161376385E-2</v>
      </c>
      <c r="E424" s="11">
        <v>1.1722222222222223</v>
      </c>
      <c r="F424" s="11">
        <f t="shared" ca="1" si="55"/>
        <v>66.802741643850695</v>
      </c>
      <c r="G424" s="11">
        <f t="shared" ca="1" si="53"/>
        <v>4.8927446158642169</v>
      </c>
      <c r="H424" s="11">
        <f t="shared" ca="1" si="48"/>
        <v>0.61348171390792139</v>
      </c>
      <c r="I424" s="11">
        <f t="shared" ca="1" si="49"/>
        <v>40.982260437417601</v>
      </c>
      <c r="J424" s="11">
        <f t="shared" ca="1" si="50"/>
        <v>-36.089515821553384</v>
      </c>
      <c r="K424" s="11">
        <f t="shared" ca="1" si="51"/>
        <v>6.0280684897397245</v>
      </c>
      <c r="L424" s="20">
        <f t="shared" ca="1" si="52"/>
        <v>-1.1353238738755076</v>
      </c>
    </row>
    <row r="425" spans="4:12" x14ac:dyDescent="0.25">
      <c r="D425" s="22">
        <f t="shared" ca="1" si="54"/>
        <v>4.7514215981695612E-2</v>
      </c>
      <c r="E425" s="11">
        <v>1.175</v>
      </c>
      <c r="F425" s="11">
        <f t="shared" ca="1" si="55"/>
        <v>67.459386424951077</v>
      </c>
      <c r="G425" s="11">
        <f t="shared" ca="1" si="53"/>
        <v>5.2908206310048271</v>
      </c>
      <c r="H425" s="11">
        <f t="shared" ca="1" si="48"/>
        <v>0.63466304501096182</v>
      </c>
      <c r="I425" s="11">
        <f t="shared" ca="1" si="49"/>
        <v>42.813979603030596</v>
      </c>
      <c r="J425" s="11">
        <f t="shared" ca="1" si="50"/>
        <v>-37.523158972025769</v>
      </c>
      <c r="K425" s="11">
        <f t="shared" ca="1" si="51"/>
        <v>6.4417602660447901</v>
      </c>
      <c r="L425" s="20">
        <f t="shared" ca="1" si="52"/>
        <v>-1.150939635039963</v>
      </c>
    </row>
    <row r="426" spans="4:12" x14ac:dyDescent="0.25">
      <c r="D426" s="22">
        <f t="shared" ca="1" si="54"/>
        <v>4.7658777758854035E-2</v>
      </c>
      <c r="E426" s="11">
        <v>1.1777777777777778</v>
      </c>
      <c r="F426" s="11">
        <f t="shared" ca="1" si="55"/>
        <v>65.88618450734792</v>
      </c>
      <c r="G426" s="11">
        <f t="shared" ca="1" si="53"/>
        <v>4.2873996608047946</v>
      </c>
      <c r="H426" s="11">
        <f t="shared" ca="1" si="48"/>
        <v>0.58484940125414087</v>
      </c>
      <c r="I426" s="11">
        <f t="shared" ca="1" si="49"/>
        <v>38.533495560042283</v>
      </c>
      <c r="J426" s="11">
        <f t="shared" ca="1" si="50"/>
        <v>-34.246095899237488</v>
      </c>
      <c r="K426" s="11">
        <f t="shared" ca="1" si="51"/>
        <v>5.4737981825012376</v>
      </c>
      <c r="L426" s="20">
        <f t="shared" ca="1" si="52"/>
        <v>-1.186398521696443</v>
      </c>
    </row>
    <row r="427" spans="4:12" x14ac:dyDescent="0.25">
      <c r="D427" s="22">
        <f t="shared" ca="1" si="54"/>
        <v>4.7502795078285934E-2</v>
      </c>
      <c r="E427" s="11">
        <v>1.1805555555555556</v>
      </c>
      <c r="F427" s="11">
        <f t="shared" ca="1" si="55"/>
        <v>66.653090816686429</v>
      </c>
      <c r="G427" s="11">
        <f t="shared" ca="1" si="53"/>
        <v>4.7314052105021958</v>
      </c>
      <c r="H427" s="11">
        <f t="shared" ca="1" si="48"/>
        <v>0.60905428813673579</v>
      </c>
      <c r="I427" s="11">
        <f t="shared" ca="1" si="49"/>
        <v>40.595350779470152</v>
      </c>
      <c r="J427" s="11">
        <f t="shared" ca="1" si="50"/>
        <v>-35.863945568967956</v>
      </c>
      <c r="K427" s="11">
        <f t="shared" ca="1" si="51"/>
        <v>5.9149639652164678</v>
      </c>
      <c r="L427" s="20">
        <f t="shared" ca="1" si="52"/>
        <v>-1.1835587547142721</v>
      </c>
    </row>
    <row r="428" spans="4:12" x14ac:dyDescent="0.25">
      <c r="D428" s="22">
        <f t="shared" ca="1" si="54"/>
        <v>4.752671250792679E-2</v>
      </c>
      <c r="E428" s="11">
        <v>1.1833333333333333</v>
      </c>
      <c r="F428" s="11">
        <f t="shared" ca="1" si="55"/>
        <v>66.570082068973676</v>
      </c>
      <c r="G428" s="11">
        <f t="shared" ca="1" si="53"/>
        <v>4.6761133546771205</v>
      </c>
      <c r="H428" s="11">
        <f t="shared" ca="1" si="48"/>
        <v>0.60622802635227335</v>
      </c>
      <c r="I428" s="11">
        <f t="shared" ca="1" si="49"/>
        <v>40.356649466782777</v>
      </c>
      <c r="J428" s="11">
        <f t="shared" ca="1" si="50"/>
        <v>-35.680536112105656</v>
      </c>
      <c r="K428" s="11">
        <f t="shared" ca="1" si="51"/>
        <v>5.8527729762757579</v>
      </c>
      <c r="L428" s="20">
        <f t="shared" ca="1" si="52"/>
        <v>-1.1766596215986374</v>
      </c>
    </row>
    <row r="429" spans="4:12" x14ac:dyDescent="0.25">
      <c r="D429" s="22">
        <f t="shared" ca="1" si="54"/>
        <v>4.7671508808235702E-2</v>
      </c>
      <c r="E429" s="11">
        <v>1.1861111111111111</v>
      </c>
      <c r="F429" s="11">
        <f t="shared" ca="1" si="55"/>
        <v>66.706527404148659</v>
      </c>
      <c r="G429" s="11">
        <f t="shared" ca="1" si="53"/>
        <v>4.7541051808785042</v>
      </c>
      <c r="H429" s="11">
        <f t="shared" ca="1" si="48"/>
        <v>0.61061505537841276</v>
      </c>
      <c r="I429" s="11">
        <f t="shared" ca="1" si="49"/>
        <v>40.732009924985839</v>
      </c>
      <c r="J429" s="11">
        <f t="shared" ca="1" si="50"/>
        <v>-35.977904744107335</v>
      </c>
      <c r="K429" s="11">
        <f t="shared" ca="1" si="51"/>
        <v>5.92742365531433</v>
      </c>
      <c r="L429" s="20">
        <f t="shared" ca="1" si="52"/>
        <v>-1.1733184744358258</v>
      </c>
    </row>
    <row r="430" spans="4:12" x14ac:dyDescent="0.25">
      <c r="D430" s="22">
        <f t="shared" ca="1" si="54"/>
        <v>4.7251693167207995E-2</v>
      </c>
      <c r="E430" s="11">
        <v>1.1888888888888889</v>
      </c>
      <c r="F430" s="11">
        <f t="shared" ca="1" si="55"/>
        <v>67.683849410073734</v>
      </c>
      <c r="G430" s="11">
        <f t="shared" ca="1" si="53"/>
        <v>5.3461501325149428</v>
      </c>
      <c r="H430" s="11">
        <f t="shared" ca="1" si="48"/>
        <v>0.64028398108073403</v>
      </c>
      <c r="I430" s="11">
        <f t="shared" ca="1" si="49"/>
        <v>43.336884555150903</v>
      </c>
      <c r="J430" s="11">
        <f t="shared" ca="1" si="50"/>
        <v>-37.99073442263596</v>
      </c>
      <c r="K430" s="11">
        <f t="shared" ca="1" si="51"/>
        <v>6.513992028382189</v>
      </c>
      <c r="L430" s="20">
        <f t="shared" ca="1" si="52"/>
        <v>-1.1678418958672463</v>
      </c>
    </row>
    <row r="431" spans="4:12" x14ac:dyDescent="0.25">
      <c r="D431" s="22">
        <f t="shared" ca="1" si="54"/>
        <v>4.7161758479463287E-2</v>
      </c>
      <c r="E431" s="11">
        <v>1.1916666666666667</v>
      </c>
      <c r="F431" s="11">
        <f t="shared" ca="1" si="55"/>
        <v>67.387933100872232</v>
      </c>
      <c r="G431" s="11">
        <f t="shared" ca="1" si="53"/>
        <v>5.1517023621932623</v>
      </c>
      <c r="H431" s="11">
        <f t="shared" ca="1" si="48"/>
        <v>0.63081928554727773</v>
      </c>
      <c r="I431" s="11">
        <f t="shared" ca="1" si="49"/>
        <v>42.50960781319997</v>
      </c>
      <c r="J431" s="11">
        <f t="shared" ca="1" si="50"/>
        <v>-37.357905451006708</v>
      </c>
      <c r="K431" s="11">
        <f t="shared" ca="1" si="51"/>
        <v>6.3106395364826922</v>
      </c>
      <c r="L431" s="20">
        <f t="shared" ca="1" si="52"/>
        <v>-1.1589371742894299</v>
      </c>
    </row>
    <row r="432" spans="4:12" x14ac:dyDescent="0.25">
      <c r="D432" s="22">
        <f t="shared" ca="1" si="54"/>
        <v>4.6928513381821683E-2</v>
      </c>
      <c r="E432" s="11">
        <v>1.1944444444444444</v>
      </c>
      <c r="F432" s="11">
        <f t="shared" ca="1" si="55"/>
        <v>66.859519196374364</v>
      </c>
      <c r="G432" s="11">
        <f t="shared" ca="1" si="53"/>
        <v>4.8134984992664016</v>
      </c>
      <c r="H432" s="11">
        <f t="shared" ca="1" si="48"/>
        <v>0.61357846691745876</v>
      </c>
      <c r="I432" s="11">
        <f t="shared" ca="1" si="49"/>
        <v>41.023561287349786</v>
      </c>
      <c r="J432" s="11">
        <f t="shared" ca="1" si="50"/>
        <v>-36.210062788083384</v>
      </c>
      <c r="K432" s="11">
        <f t="shared" ca="1" si="51"/>
        <v>5.9625910232031822</v>
      </c>
      <c r="L432" s="20">
        <f t="shared" ca="1" si="52"/>
        <v>-1.1490925239367806</v>
      </c>
    </row>
    <row r="433" spans="4:12" x14ac:dyDescent="0.25">
      <c r="D433" s="22">
        <f t="shared" ca="1" si="54"/>
        <v>4.6749371103566494E-2</v>
      </c>
      <c r="E433" s="11">
        <v>1.1972222222222222</v>
      </c>
      <c r="F433" s="11">
        <f t="shared" ca="1" si="55"/>
        <v>66.685410207495821</v>
      </c>
      <c r="G433" s="11">
        <f t="shared" ca="1" si="53"/>
        <v>4.701966451736709</v>
      </c>
      <c r="H433" s="11">
        <f t="shared" ca="1" si="48"/>
        <v>0.60748340927783662</v>
      </c>
      <c r="I433" s="11">
        <f t="shared" ca="1" si="49"/>
        <v>40.510280341940607</v>
      </c>
      <c r="J433" s="11">
        <f t="shared" ca="1" si="50"/>
        <v>-35.808313890203898</v>
      </c>
      <c r="K433" s="11">
        <f t="shared" ca="1" si="51"/>
        <v>5.8387993005542063</v>
      </c>
      <c r="L433" s="20">
        <f t="shared" ca="1" si="52"/>
        <v>-1.1368328488174972</v>
      </c>
    </row>
    <row r="434" spans="4:12" x14ac:dyDescent="0.25">
      <c r="D434" s="22">
        <f t="shared" ca="1" si="54"/>
        <v>4.6320604347664461E-2</v>
      </c>
      <c r="E434" s="11">
        <v>1.2</v>
      </c>
      <c r="F434" s="11">
        <f t="shared" ca="1" si="55"/>
        <v>66.747222353103126</v>
      </c>
      <c r="G434" s="11">
        <f t="shared" ca="1" si="53"/>
        <v>4.7349086117590744</v>
      </c>
      <c r="H434" s="11">
        <f t="shared" ca="1" si="48"/>
        <v>0.60852021613477869</v>
      </c>
      <c r="I434" s="11">
        <f t="shared" ca="1" si="49"/>
        <v>40.617034172706447</v>
      </c>
      <c r="J434" s="11">
        <f t="shared" ca="1" si="50"/>
        <v>-35.882125560947372</v>
      </c>
      <c r="K434" s="11">
        <f t="shared" ca="1" si="51"/>
        <v>5.8520095853685934</v>
      </c>
      <c r="L434" s="20">
        <f t="shared" ca="1" si="52"/>
        <v>-1.117100973609519</v>
      </c>
    </row>
    <row r="435" spans="4:12" x14ac:dyDescent="0.25">
      <c r="D435" s="22">
        <f t="shared" ca="1" si="54"/>
        <v>4.6463722963480572E-2</v>
      </c>
      <c r="E435" s="11">
        <v>1.2027777777777777</v>
      </c>
      <c r="F435" s="11">
        <f t="shared" ca="1" si="55"/>
        <v>67.947825872250903</v>
      </c>
      <c r="G435" s="11">
        <f t="shared" ca="1" si="53"/>
        <v>5.4608686671217441</v>
      </c>
      <c r="H435" s="11">
        <f t="shared" ca="1" si="48"/>
        <v>0.64631220060802685</v>
      </c>
      <c r="I435" s="11">
        <f t="shared" ca="1" si="49"/>
        <v>43.915508866025505</v>
      </c>
      <c r="J435" s="11">
        <f t="shared" ca="1" si="50"/>
        <v>-38.454640198903761</v>
      </c>
      <c r="K435" s="11">
        <f t="shared" ca="1" si="51"/>
        <v>6.5970223633586418</v>
      </c>
      <c r="L435" s="20">
        <f t="shared" ca="1" si="52"/>
        <v>-1.1361536962368977</v>
      </c>
    </row>
    <row r="436" spans="4:12" x14ac:dyDescent="0.25">
      <c r="D436" s="22">
        <f t="shared" ca="1" si="54"/>
        <v>4.6121036845940752E-2</v>
      </c>
      <c r="E436" s="11">
        <v>1.2055555555555555</v>
      </c>
      <c r="F436" s="11">
        <f t="shared" ca="1" si="55"/>
        <v>67.719342926689052</v>
      </c>
      <c r="G436" s="11">
        <f t="shared" ca="1" si="53"/>
        <v>5.3082704587414966</v>
      </c>
      <c r="H436" s="11">
        <f t="shared" ca="1" si="48"/>
        <v>0.63854818596168605</v>
      </c>
      <c r="I436" s="11">
        <f t="shared" ca="1" si="49"/>
        <v>43.242063580354632</v>
      </c>
      <c r="J436" s="11">
        <f t="shared" ca="1" si="50"/>
        <v>-37.933793121613135</v>
      </c>
      <c r="K436" s="11">
        <f t="shared" ca="1" si="51"/>
        <v>6.4274772802906455</v>
      </c>
      <c r="L436" s="20">
        <f t="shared" ca="1" si="52"/>
        <v>-1.1192068215491489</v>
      </c>
    </row>
    <row r="437" spans="4:12" x14ac:dyDescent="0.25">
      <c r="D437" s="22">
        <f t="shared" ca="1" si="54"/>
        <v>4.6026423382302138E-2</v>
      </c>
      <c r="E437" s="11">
        <v>1.2083333333333335</v>
      </c>
      <c r="F437" s="11">
        <f t="shared" ca="1" si="55"/>
        <v>66.707673952973536</v>
      </c>
      <c r="G437" s="11">
        <f t="shared" ca="1" si="53"/>
        <v>4.6574208806739961</v>
      </c>
      <c r="H437" s="11">
        <f t="shared" ca="1" si="48"/>
        <v>0.60609871807435978</v>
      </c>
      <c r="I437" s="11">
        <f t="shared" ca="1" si="49"/>
        <v>40.431435668619621</v>
      </c>
      <c r="J437" s="11">
        <f t="shared" ca="1" si="50"/>
        <v>-35.774014787945625</v>
      </c>
      <c r="K437" s="11">
        <f t="shared" ca="1" si="51"/>
        <v>5.7825493823546923</v>
      </c>
      <c r="L437" s="20">
        <f t="shared" ca="1" si="52"/>
        <v>-1.1251285016806962</v>
      </c>
    </row>
    <row r="438" spans="4:12" x14ac:dyDescent="0.25">
      <c r="D438" s="22">
        <f t="shared" ca="1" si="54"/>
        <v>4.6251994974380789E-2</v>
      </c>
      <c r="E438" s="11">
        <v>1.2111111111111112</v>
      </c>
      <c r="F438" s="11">
        <f t="shared" ca="1" si="55"/>
        <v>67.801151780744547</v>
      </c>
      <c r="G438" s="11">
        <f t="shared" ca="1" si="53"/>
        <v>5.3155799296408333</v>
      </c>
      <c r="H438" s="11">
        <f t="shared" ca="1" si="48"/>
        <v>0.64100163023582446</v>
      </c>
      <c r="I438" s="11">
        <f t="shared" ca="1" si="49"/>
        <v>43.46064882332383</v>
      </c>
      <c r="J438" s="11">
        <f t="shared" ca="1" si="50"/>
        <v>-38.145068893682996</v>
      </c>
      <c r="K438" s="11">
        <f t="shared" ca="1" si="51"/>
        <v>6.4583406607834402</v>
      </c>
      <c r="L438" s="20">
        <f t="shared" ca="1" si="52"/>
        <v>-1.1427607311426069</v>
      </c>
    </row>
    <row r="439" spans="4:12" x14ac:dyDescent="0.25">
      <c r="D439" s="22">
        <f t="shared" ca="1" si="54"/>
        <v>4.6370865111398818E-2</v>
      </c>
      <c r="E439" s="11">
        <v>1.213888888888889</v>
      </c>
      <c r="F439" s="11">
        <f t="shared" ca="1" si="55"/>
        <v>68.518836819735711</v>
      </c>
      <c r="G439" s="11">
        <f t="shared" ca="1" si="53"/>
        <v>5.7707035047181847</v>
      </c>
      <c r="H439" s="11">
        <f t="shared" ca="1" si="48"/>
        <v>0.66299229091541112</v>
      </c>
      <c r="I439" s="11">
        <f t="shared" ca="1" si="49"/>
        <v>45.427460593975802</v>
      </c>
      <c r="J439" s="11">
        <f t="shared" ca="1" si="50"/>
        <v>-39.656757089257617</v>
      </c>
      <c r="K439" s="11">
        <f t="shared" ca="1" si="51"/>
        <v>6.9171017650120827</v>
      </c>
      <c r="L439" s="20">
        <f t="shared" ca="1" si="52"/>
        <v>-1.146398260293898</v>
      </c>
    </row>
    <row r="440" spans="4:12" x14ac:dyDescent="0.25">
      <c r="D440" s="22">
        <f t="shared" ca="1" si="54"/>
        <v>4.7332440100560473E-2</v>
      </c>
      <c r="E440" s="11">
        <v>1.2166666666666668</v>
      </c>
      <c r="F440" s="11">
        <f t="shared" ca="1" si="55"/>
        <v>68.179937995899536</v>
      </c>
      <c r="G440" s="11">
        <f t="shared" ca="1" si="53"/>
        <v>5.5408018235552774</v>
      </c>
      <c r="H440" s="11">
        <f t="shared" ca="1" si="48"/>
        <v>0.65416549879606978</v>
      </c>
      <c r="I440" s="11">
        <f t="shared" ca="1" si="49"/>
        <v>44.600963146972731</v>
      </c>
      <c r="J440" s="11">
        <f t="shared" ca="1" si="50"/>
        <v>-39.060161323417454</v>
      </c>
      <c r="K440" s="11">
        <f t="shared" ca="1" si="51"/>
        <v>6.7098940449151456</v>
      </c>
      <c r="L440" s="20">
        <f t="shared" ca="1" si="52"/>
        <v>-1.1690922213598682</v>
      </c>
    </row>
    <row r="441" spans="4:12" x14ac:dyDescent="0.25">
      <c r="D441" s="22">
        <f t="shared" ca="1" si="54"/>
        <v>4.7006757120516829E-2</v>
      </c>
      <c r="E441" s="11">
        <v>1.2194444444444446</v>
      </c>
      <c r="F441" s="11">
        <f t="shared" ca="1" si="55"/>
        <v>68.606912501691781</v>
      </c>
      <c r="G441" s="11">
        <f t="shared" ca="1" si="53"/>
        <v>5.8150132269021668</v>
      </c>
      <c r="H441" s="11">
        <f t="shared" ca="1" si="48"/>
        <v>0.66644948945064719</v>
      </c>
      <c r="I441" s="11">
        <f t="shared" ca="1" si="49"/>
        <v>45.723041809537712</v>
      </c>
      <c r="J441" s="11">
        <f t="shared" ca="1" si="50"/>
        <v>-39.908028582635545</v>
      </c>
      <c r="K441" s="11">
        <f t="shared" ca="1" si="51"/>
        <v>6.9691860966886141</v>
      </c>
      <c r="L441" s="20">
        <f t="shared" ca="1" si="52"/>
        <v>-1.1541728697864473</v>
      </c>
    </row>
    <row r="442" spans="4:12" x14ac:dyDescent="0.25">
      <c r="D442" s="22">
        <f t="shared" ca="1" si="54"/>
        <v>4.6116388860184133E-2</v>
      </c>
      <c r="E442" s="11">
        <v>1.2222222222222223</v>
      </c>
      <c r="F442" s="11">
        <f t="shared" ca="1" si="55"/>
        <v>68.144367525042597</v>
      </c>
      <c r="G442" s="11">
        <f t="shared" ca="1" si="53"/>
        <v>5.5016377743404874</v>
      </c>
      <c r="H442" s="11">
        <f t="shared" ca="1" si="48"/>
        <v>0.65083039327373016</v>
      </c>
      <c r="I442" s="11">
        <f t="shared" ca="1" si="49"/>
        <v>44.350425515713077</v>
      </c>
      <c r="J442" s="11">
        <f t="shared" ca="1" si="50"/>
        <v>-38.84878774137259</v>
      </c>
      <c r="K442" s="11">
        <f t="shared" ca="1" si="51"/>
        <v>6.6251482212402637</v>
      </c>
      <c r="L442" s="20">
        <f t="shared" ca="1" si="52"/>
        <v>-1.1235104468997763</v>
      </c>
    </row>
    <row r="443" spans="4:12" x14ac:dyDescent="0.25">
      <c r="D443" s="22">
        <f t="shared" ca="1" si="54"/>
        <v>4.5509105629436698E-2</v>
      </c>
      <c r="E443" s="11">
        <v>1.2250000000000001</v>
      </c>
      <c r="F443" s="11">
        <f t="shared" ca="1" si="55"/>
        <v>69.255126956463286</v>
      </c>
      <c r="G443" s="11">
        <f t="shared" ca="1" si="53"/>
        <v>6.2196424237632044</v>
      </c>
      <c r="H443" s="11">
        <f t="shared" ca="1" si="48"/>
        <v>0.6830956537032099</v>
      </c>
      <c r="I443" s="11">
        <f t="shared" ca="1" si="49"/>
        <v>47.307876220624081</v>
      </c>
      <c r="J443" s="11">
        <f t="shared" ca="1" si="50"/>
        <v>-41.088233796860877</v>
      </c>
      <c r="K443" s="11">
        <f t="shared" ca="1" si="51"/>
        <v>7.3350051638777414</v>
      </c>
      <c r="L443" s="20">
        <f t="shared" ca="1" si="52"/>
        <v>-1.115362740114537</v>
      </c>
    </row>
    <row r="444" spans="4:12" x14ac:dyDescent="0.25">
      <c r="D444" s="22">
        <f t="shared" ca="1" si="54"/>
        <v>4.5552911561082689E-2</v>
      </c>
      <c r="E444" s="11">
        <v>1.2277777777777779</v>
      </c>
      <c r="F444" s="11">
        <f t="shared" ca="1" si="55"/>
        <v>68.769060909289536</v>
      </c>
      <c r="G444" s="11">
        <f t="shared" ca="1" si="53"/>
        <v>5.8824133553505149</v>
      </c>
      <c r="H444" s="11">
        <f t="shared" ca="1" si="48"/>
        <v>0.66869457145299727</v>
      </c>
      <c r="I444" s="11">
        <f t="shared" ca="1" si="49"/>
        <v>45.985497713962431</v>
      </c>
      <c r="J444" s="11">
        <f t="shared" ca="1" si="50"/>
        <v>-40.103084358611916</v>
      </c>
      <c r="K444" s="11">
        <f t="shared" ca="1" si="51"/>
        <v>6.9949684188841932</v>
      </c>
      <c r="L444" s="20">
        <f t="shared" ca="1" si="52"/>
        <v>-1.1125550635336783</v>
      </c>
    </row>
    <row r="445" spans="4:12" x14ac:dyDescent="0.25">
      <c r="D445" s="22">
        <f t="shared" ca="1" si="54"/>
        <v>4.5958229588119529E-2</v>
      </c>
      <c r="E445" s="11">
        <v>1.2305555555555556</v>
      </c>
      <c r="F445" s="11">
        <f t="shared" ca="1" si="55"/>
        <v>69.528126433144465</v>
      </c>
      <c r="G445" s="11">
        <f t="shared" ca="1" si="53"/>
        <v>6.3848763938413313</v>
      </c>
      <c r="H445" s="11">
        <f t="shared" ca="1" si="48"/>
        <v>0.69160685409709932</v>
      </c>
      <c r="I445" s="11">
        <f t="shared" ca="1" si="49"/>
        <v>48.086128793692417</v>
      </c>
      <c r="J445" s="11">
        <f t="shared" ca="1" si="50"/>
        <v>-41.701252399851086</v>
      </c>
      <c r="K445" s="11">
        <f t="shared" ca="1" si="51"/>
        <v>7.5108550590642187</v>
      </c>
      <c r="L445" s="20">
        <f t="shared" ca="1" si="52"/>
        <v>-1.1259786652228874</v>
      </c>
    </row>
    <row r="446" spans="4:12" x14ac:dyDescent="0.25">
      <c r="D446" s="22">
        <f t="shared" ca="1" si="54"/>
        <v>4.609841196359802E-2</v>
      </c>
      <c r="E446" s="11">
        <v>1.2333333333333334</v>
      </c>
      <c r="F446" s="11">
        <f t="shared" ca="1" si="55"/>
        <v>68.377611344411491</v>
      </c>
      <c r="G446" s="11">
        <f t="shared" ca="1" si="53"/>
        <v>5.5838320377368191</v>
      </c>
      <c r="H446" s="11">
        <f t="shared" ca="1" si="48"/>
        <v>0.65748176074942677</v>
      </c>
      <c r="I446" s="11">
        <f t="shared" ca="1" si="49"/>
        <v>44.957032302563647</v>
      </c>
      <c r="J446" s="11">
        <f t="shared" ca="1" si="50"/>
        <v>-39.373200264826828</v>
      </c>
      <c r="K446" s="11">
        <f t="shared" ca="1" si="51"/>
        <v>6.7259135648893595</v>
      </c>
      <c r="L446" s="20">
        <f t="shared" ca="1" si="52"/>
        <v>-1.1420815271525404</v>
      </c>
    </row>
    <row r="447" spans="4:12" x14ac:dyDescent="0.25">
      <c r="D447" s="22">
        <f t="shared" ca="1" si="54"/>
        <v>4.6473129581972965E-2</v>
      </c>
      <c r="E447" s="11">
        <v>1.2361111111111112</v>
      </c>
      <c r="F447" s="11">
        <f t="shared" ca="1" si="55"/>
        <v>67.822477707459939</v>
      </c>
      <c r="G447" s="11">
        <f t="shared" ca="1" si="53"/>
        <v>5.2137587023596978</v>
      </c>
      <c r="H447" s="11">
        <f t="shared" ca="1" si="48"/>
        <v>0.6406846734136149</v>
      </c>
      <c r="I447" s="11">
        <f t="shared" ca="1" si="49"/>
        <v>43.452821980106151</v>
      </c>
      <c r="J447" s="11">
        <f t="shared" ca="1" si="50"/>
        <v>-38.239063277746453</v>
      </c>
      <c r="K447" s="11">
        <f t="shared" ca="1" si="51"/>
        <v>6.3635046809461828</v>
      </c>
      <c r="L447" s="20">
        <f t="shared" ca="1" si="52"/>
        <v>-1.149745978586485</v>
      </c>
    </row>
    <row r="448" spans="4:12" x14ac:dyDescent="0.25">
      <c r="D448" s="22">
        <f t="shared" ca="1" si="54"/>
        <v>4.7194382058111925E-2</v>
      </c>
      <c r="E448" s="11">
        <v>1.2388888888888889</v>
      </c>
      <c r="F448" s="11">
        <f t="shared" ca="1" si="55"/>
        <v>68.26794795902731</v>
      </c>
      <c r="G448" s="11">
        <f t="shared" ca="1" si="53"/>
        <v>5.4941513670588478</v>
      </c>
      <c r="H448" s="11">
        <f t="shared" ca="1" si="48"/>
        <v>0.6556260257685762</v>
      </c>
      <c r="I448" s="11">
        <f t="shared" ca="1" si="49"/>
        <v>44.758243407753056</v>
      </c>
      <c r="J448" s="11">
        <f t="shared" ca="1" si="50"/>
        <v>-39.264092040694209</v>
      </c>
      <c r="K448" s="11">
        <f t="shared" ca="1" si="51"/>
        <v>6.6600009341965807</v>
      </c>
      <c r="L448" s="20">
        <f t="shared" ca="1" si="52"/>
        <v>-1.1658495671377329</v>
      </c>
    </row>
    <row r="449" spans="4:12" x14ac:dyDescent="0.25">
      <c r="D449" s="22">
        <f t="shared" ca="1" si="54"/>
        <v>4.7260283764217766E-2</v>
      </c>
      <c r="E449" s="11">
        <v>1.2416666666666667</v>
      </c>
      <c r="F449" s="11">
        <f t="shared" ca="1" si="55"/>
        <v>68.463808113791714</v>
      </c>
      <c r="G449" s="11">
        <f t="shared" ca="1" si="53"/>
        <v>5.6174075098798966</v>
      </c>
      <c r="H449" s="11">
        <f t="shared" ca="1" si="48"/>
        <v>0.66164333369628847</v>
      </c>
      <c r="I449" s="11">
        <f t="shared" ca="1" si="49"/>
        <v>45.298622237952152</v>
      </c>
      <c r="J449" s="11">
        <f t="shared" ca="1" si="50"/>
        <v>-39.681214728072256</v>
      </c>
      <c r="K449" s="11">
        <f t="shared" ca="1" si="51"/>
        <v>6.7778988346185738</v>
      </c>
      <c r="L449" s="20">
        <f t="shared" ca="1" si="52"/>
        <v>-1.1604913247386772</v>
      </c>
    </row>
    <row r="450" spans="4:12" x14ac:dyDescent="0.25">
      <c r="D450" s="22">
        <f t="shared" ca="1" si="54"/>
        <v>4.766372402037905E-2</v>
      </c>
      <c r="E450" s="11">
        <v>1.2444444444444445</v>
      </c>
      <c r="F450" s="11">
        <f t="shared" ca="1" si="55"/>
        <v>68.628446666180793</v>
      </c>
      <c r="G450" s="11">
        <f t="shared" ca="1" si="53"/>
        <v>5.7210854003151539</v>
      </c>
      <c r="H450" s="11">
        <f t="shared" ref="H450:H513" ca="1" si="56">BSGreeks(F450,$B$3,$B$6 - E450,D450, $B$5,$H$1)</f>
        <v>0.66720662227576222</v>
      </c>
      <c r="I450" s="11">
        <f t="shared" ref="I450:I513" ca="1" si="57">F450*H450</f>
        <v>45.789354092174783</v>
      </c>
      <c r="J450" s="11">
        <f t="shared" ref="J450:J513" ca="1" si="58">G450 - I450</f>
        <v>-40.068268691859629</v>
      </c>
      <c r="K450" s="11">
        <f t="shared" ref="K450:K513" ca="1" si="59">BSCall(F450,$B$3, $B$6 - E450,D450,$B$5)</f>
        <v>6.8860291034482275</v>
      </c>
      <c r="L450" s="20">
        <f t="shared" ref="L450:L513" ca="1" si="60">G450 - K450</f>
        <v>-1.1649437031330736</v>
      </c>
    </row>
    <row r="451" spans="4:12" x14ac:dyDescent="0.25">
      <c r="D451" s="22">
        <f t="shared" ca="1" si="54"/>
        <v>4.8545569236376283E-2</v>
      </c>
      <c r="E451" s="11">
        <v>1.2472222222222222</v>
      </c>
      <c r="F451" s="11">
        <f t="shared" ca="1" si="55"/>
        <v>68.627139201491019</v>
      </c>
      <c r="G451" s="11">
        <f t="shared" ref="G451:G514" ca="1" si="61" xml:space="preserve"> H450*F451 + J450* EXP(D451*(E451 - E450))</f>
        <v>5.7148095288058798</v>
      </c>
      <c r="H451" s="11">
        <f t="shared" ca="1" si="56"/>
        <v>0.66845180089831402</v>
      </c>
      <c r="I451" s="11">
        <f t="shared" ca="1" si="57"/>
        <v>45.873934789735955</v>
      </c>
      <c r="J451" s="11">
        <f t="shared" ca="1" si="58"/>
        <v>-40.159125260930075</v>
      </c>
      <c r="K451" s="11">
        <f t="shared" ca="1" si="59"/>
        <v>6.8978792957517188</v>
      </c>
      <c r="L451" s="20">
        <f t="shared" ca="1" si="60"/>
        <v>-1.183069766945839</v>
      </c>
    </row>
    <row r="452" spans="4:12" x14ac:dyDescent="0.25">
      <c r="D452" s="22">
        <f t="shared" ref="D452:D515" ca="1" si="62">D451*1.002 + $B$5*D451*SQRT(E452-E451)*_xlfn.NORM.S.INV(RAND())</f>
        <v>4.8879733900614702E-2</v>
      </c>
      <c r="E452" s="11">
        <v>1.25</v>
      </c>
      <c r="F452" s="11">
        <f t="shared" ref="F452:F515" ca="1" si="63">F451 + D451*F451*(E452-E451) + $B$5*F451*SQRT(E452-E451)*_xlfn.NORM.S.INV(RAND())</f>
        <v>69.025413668477796</v>
      </c>
      <c r="G452" s="11">
        <f t="shared" ca="1" si="61"/>
        <v>5.9755837562221856</v>
      </c>
      <c r="H452" s="11">
        <f t="shared" ca="1" si="56"/>
        <v>0.68089579489384089</v>
      </c>
      <c r="I452" s="11">
        <f t="shared" ca="1" si="57"/>
        <v>46.999113907674378</v>
      </c>
      <c r="J452" s="11">
        <f t="shared" ca="1" si="58"/>
        <v>-41.023530151452192</v>
      </c>
      <c r="K452" s="11">
        <f t="shared" ca="1" si="59"/>
        <v>7.1632134270676833</v>
      </c>
      <c r="L452" s="20">
        <f t="shared" ca="1" si="60"/>
        <v>-1.1876296708454976</v>
      </c>
    </row>
    <row r="453" spans="4:12" x14ac:dyDescent="0.25">
      <c r="D453" s="22">
        <f t="shared" ca="1" si="62"/>
        <v>4.8959121272344232E-2</v>
      </c>
      <c r="E453" s="11">
        <v>1.2527777777777778</v>
      </c>
      <c r="F453" s="11">
        <f t="shared" ca="1" si="63"/>
        <v>68.22306111316253</v>
      </c>
      <c r="G453" s="11">
        <f t="shared" ca="1" si="61"/>
        <v>5.423685795930659</v>
      </c>
      <c r="H453" s="11">
        <f t="shared" ca="1" si="56"/>
        <v>0.65641003362586514</v>
      </c>
      <c r="I453" s="11">
        <f t="shared" ca="1" si="57"/>
        <v>44.782301839350467</v>
      </c>
      <c r="J453" s="11">
        <f t="shared" ca="1" si="58"/>
        <v>-39.358616043419808</v>
      </c>
      <c r="K453" s="11">
        <f t="shared" ca="1" si="59"/>
        <v>6.6156732131399973</v>
      </c>
      <c r="L453" s="20">
        <f t="shared" ca="1" si="60"/>
        <v>-1.1919874172093383</v>
      </c>
    </row>
    <row r="454" spans="4:12" x14ac:dyDescent="0.25">
      <c r="D454" s="22">
        <f t="shared" ca="1" si="62"/>
        <v>4.899712813604102E-2</v>
      </c>
      <c r="E454" s="11">
        <v>1.2555555555555555</v>
      </c>
      <c r="F454" s="11">
        <f t="shared" ca="1" si="63"/>
        <v>68.734132581375889</v>
      </c>
      <c r="G454" s="11">
        <f t="shared" ca="1" si="61"/>
        <v>5.7538010400264881</v>
      </c>
      <c r="H454" s="11">
        <f t="shared" ca="1" si="56"/>
        <v>0.67210717667628395</v>
      </c>
      <c r="I454" s="11">
        <f t="shared" ca="1" si="57"/>
        <v>46.196703790561926</v>
      </c>
      <c r="J454" s="11">
        <f t="shared" ca="1" si="58"/>
        <v>-40.442902750535438</v>
      </c>
      <c r="K454" s="11">
        <f t="shared" ca="1" si="59"/>
        <v>6.9429719222845065</v>
      </c>
      <c r="L454" s="20">
        <f t="shared" ca="1" si="60"/>
        <v>-1.1891708822580185</v>
      </c>
    </row>
    <row r="455" spans="4:12" x14ac:dyDescent="0.25">
      <c r="D455" s="22">
        <f t="shared" ca="1" si="62"/>
        <v>5.0048826732874911E-2</v>
      </c>
      <c r="E455" s="11">
        <v>1.2583333333333333</v>
      </c>
      <c r="F455" s="11">
        <f t="shared" ca="1" si="63"/>
        <v>66.688027337899371</v>
      </c>
      <c r="G455" s="11">
        <f t="shared" ca="1" si="61"/>
        <v>4.3729760757065037</v>
      </c>
      <c r="H455" s="11">
        <f t="shared" ca="1" si="56"/>
        <v>0.60816268622033642</v>
      </c>
      <c r="I455" s="11">
        <f t="shared" ca="1" si="57"/>
        <v>40.557169844552114</v>
      </c>
      <c r="J455" s="11">
        <f t="shared" ca="1" si="58"/>
        <v>-36.18419376884561</v>
      </c>
      <c r="K455" s="11">
        <f t="shared" ca="1" si="59"/>
        <v>5.647884124031493</v>
      </c>
      <c r="L455" s="20">
        <f t="shared" ca="1" si="60"/>
        <v>-1.2749080483249893</v>
      </c>
    </row>
    <row r="456" spans="4:12" x14ac:dyDescent="0.25">
      <c r="D456" s="22">
        <f t="shared" ca="1" si="62"/>
        <v>4.9167815750669364E-2</v>
      </c>
      <c r="E456" s="11">
        <v>1.2611111111111111</v>
      </c>
      <c r="F456" s="11">
        <f t="shared" ca="1" si="63"/>
        <v>65.696526997851905</v>
      </c>
      <c r="G456" s="11">
        <f t="shared" ca="1" si="61"/>
        <v>3.7650402897648547</v>
      </c>
      <c r="H456" s="11">
        <f t="shared" ca="1" si="56"/>
        <v>0.57260078331745579</v>
      </c>
      <c r="I456" s="11">
        <f t="shared" ca="1" si="57"/>
        <v>37.617882820206383</v>
      </c>
      <c r="J456" s="11">
        <f t="shared" ca="1" si="58"/>
        <v>-33.852842530441528</v>
      </c>
      <c r="K456" s="11">
        <f t="shared" ca="1" si="59"/>
        <v>5.0274380006228823</v>
      </c>
      <c r="L456" s="20">
        <f t="shared" ca="1" si="60"/>
        <v>-1.2623977108580275</v>
      </c>
    </row>
    <row r="457" spans="4:12" x14ac:dyDescent="0.25">
      <c r="D457" s="22">
        <f t="shared" ca="1" si="62"/>
        <v>4.8465560956091717E-2</v>
      </c>
      <c r="E457" s="11">
        <v>1.2638888888888888</v>
      </c>
      <c r="F457" s="11">
        <f t="shared" ca="1" si="63"/>
        <v>65.143815602548585</v>
      </c>
      <c r="G457" s="11">
        <f t="shared" ca="1" si="61"/>
        <v>3.443999513396669</v>
      </c>
      <c r="H457" s="11">
        <f t="shared" ca="1" si="56"/>
        <v>0.55170714024728529</v>
      </c>
      <c r="I457" s="11">
        <f t="shared" ca="1" si="57"/>
        <v>35.940308210878563</v>
      </c>
      <c r="J457" s="11">
        <f t="shared" ca="1" si="58"/>
        <v>-32.496308697481894</v>
      </c>
      <c r="K457" s="11">
        <f t="shared" ca="1" si="59"/>
        <v>4.6875097430273245</v>
      </c>
      <c r="L457" s="20">
        <f t="shared" ca="1" si="60"/>
        <v>-1.2435102296306555</v>
      </c>
    </row>
    <row r="458" spans="4:12" x14ac:dyDescent="0.25">
      <c r="D458" s="22">
        <f t="shared" ca="1" si="62"/>
        <v>4.8527406266132417E-2</v>
      </c>
      <c r="E458" s="11">
        <v>1.2666666666666666</v>
      </c>
      <c r="F458" s="11">
        <f t="shared" ca="1" si="63"/>
        <v>63.836400989850759</v>
      </c>
      <c r="G458" s="11">
        <f t="shared" ca="1" si="61"/>
        <v>2.7183087922382043</v>
      </c>
      <c r="H458" s="11">
        <f t="shared" ca="1" si="56"/>
        <v>0.50438925602184292</v>
      </c>
      <c r="I458" s="11">
        <f t="shared" ca="1" si="57"/>
        <v>32.198394802382865</v>
      </c>
      <c r="J458" s="11">
        <f t="shared" ca="1" si="58"/>
        <v>-29.48008601014466</v>
      </c>
      <c r="K458" s="11">
        <f t="shared" ca="1" si="59"/>
        <v>3.9859988660341013</v>
      </c>
      <c r="L458" s="20">
        <f t="shared" ca="1" si="60"/>
        <v>-1.2676900737958969</v>
      </c>
    </row>
    <row r="459" spans="4:12" x14ac:dyDescent="0.25">
      <c r="D459" s="22">
        <f t="shared" ca="1" si="62"/>
        <v>4.9327123221986381E-2</v>
      </c>
      <c r="E459" s="11">
        <v>1.2694444444444446</v>
      </c>
      <c r="F459" s="11">
        <f t="shared" ca="1" si="63"/>
        <v>64.148111114311888</v>
      </c>
      <c r="G459" s="11">
        <f t="shared" ca="1" si="61"/>
        <v>2.8714923981633724</v>
      </c>
      <c r="H459" s="11">
        <f t="shared" ca="1" si="56"/>
        <v>0.5166798789241589</v>
      </c>
      <c r="I459" s="11">
        <f t="shared" ca="1" si="57"/>
        <v>33.14403828375616</v>
      </c>
      <c r="J459" s="11">
        <f t="shared" ca="1" si="58"/>
        <v>-30.272545885592788</v>
      </c>
      <c r="K459" s="11">
        <f t="shared" ca="1" si="59"/>
        <v>4.1497078628254842</v>
      </c>
      <c r="L459" s="20">
        <f t="shared" ca="1" si="60"/>
        <v>-1.2782154646621118</v>
      </c>
    </row>
    <row r="460" spans="4:12" x14ac:dyDescent="0.25">
      <c r="D460" s="22">
        <f t="shared" ca="1" si="62"/>
        <v>4.9906388624141734E-2</v>
      </c>
      <c r="E460" s="11">
        <v>1.2722222222222224</v>
      </c>
      <c r="F460" s="11">
        <f t="shared" ca="1" si="63"/>
        <v>63.579490317563085</v>
      </c>
      <c r="G460" s="11">
        <f t="shared" ca="1" si="61"/>
        <v>2.573500534400349</v>
      </c>
      <c r="H460" s="11">
        <f t="shared" ca="1" si="56"/>
        <v>0.49643344906482334</v>
      </c>
      <c r="I460" s="11">
        <f t="shared" ca="1" si="57"/>
        <v>31.562985668131383</v>
      </c>
      <c r="J460" s="11">
        <f t="shared" ca="1" si="58"/>
        <v>-28.989485133731034</v>
      </c>
      <c r="K460" s="11">
        <f t="shared" ca="1" si="59"/>
        <v>3.8614367642764873</v>
      </c>
      <c r="L460" s="20">
        <f t="shared" ca="1" si="60"/>
        <v>-1.2879362298761383</v>
      </c>
    </row>
    <row r="461" spans="4:12" x14ac:dyDescent="0.25">
      <c r="D461" s="22">
        <f t="shared" ca="1" si="62"/>
        <v>4.9352987561058811E-2</v>
      </c>
      <c r="E461" s="11">
        <v>1.2750000000000001</v>
      </c>
      <c r="F461" s="11">
        <f t="shared" ca="1" si="63"/>
        <v>64.252995421251867</v>
      </c>
      <c r="G461" s="11">
        <f t="shared" ca="1" si="61"/>
        <v>2.9038765077278903</v>
      </c>
      <c r="H461" s="11">
        <f t="shared" ca="1" si="56"/>
        <v>0.51970938473283956</v>
      </c>
      <c r="I461" s="11">
        <f t="shared" ca="1" si="57"/>
        <v>33.392884717620767</v>
      </c>
      <c r="J461" s="11">
        <f t="shared" ca="1" si="58"/>
        <v>-30.489008209892877</v>
      </c>
      <c r="K461" s="11">
        <f t="shared" ca="1" si="59"/>
        <v>4.179966519387631</v>
      </c>
      <c r="L461" s="20">
        <f t="shared" ca="1" si="60"/>
        <v>-1.2760900116597407</v>
      </c>
    </row>
    <row r="462" spans="4:12" x14ac:dyDescent="0.25">
      <c r="D462" s="22">
        <f t="shared" ca="1" si="62"/>
        <v>4.9885579095724671E-2</v>
      </c>
      <c r="E462" s="11">
        <v>1.2777777777777779</v>
      </c>
      <c r="F462" s="11">
        <f t="shared" ca="1" si="63"/>
        <v>65.270234320643354</v>
      </c>
      <c r="G462" s="11">
        <f t="shared" ca="1" si="61"/>
        <v>3.4283199235455193</v>
      </c>
      <c r="H462" s="11">
        <f t="shared" ca="1" si="56"/>
        <v>0.55688064013353622</v>
      </c>
      <c r="I462" s="11">
        <f t="shared" ca="1" si="57"/>
        <v>36.347729870145777</v>
      </c>
      <c r="J462" s="11">
        <f t="shared" ca="1" si="58"/>
        <v>-32.919409946600254</v>
      </c>
      <c r="K462" s="11">
        <f t="shared" ca="1" si="59"/>
        <v>4.7267419270285602</v>
      </c>
      <c r="L462" s="20">
        <f t="shared" ca="1" si="60"/>
        <v>-1.2984220034830409</v>
      </c>
    </row>
    <row r="463" spans="4:12" x14ac:dyDescent="0.25">
      <c r="D463" s="22">
        <f t="shared" ca="1" si="62"/>
        <v>4.9087411027827231E-2</v>
      </c>
      <c r="E463" s="11">
        <v>1.2805555555555557</v>
      </c>
      <c r="F463" s="11">
        <f t="shared" ca="1" si="63"/>
        <v>64.922387219142692</v>
      </c>
      <c r="G463" s="11">
        <f t="shared" ca="1" si="61"/>
        <v>3.2301216103794843</v>
      </c>
      <c r="H463" s="11">
        <f t="shared" ca="1" si="56"/>
        <v>0.54272932697093856</v>
      </c>
      <c r="I463" s="11">
        <f t="shared" ca="1" si="57"/>
        <v>35.235283520791974</v>
      </c>
      <c r="J463" s="11">
        <f t="shared" ca="1" si="58"/>
        <v>-32.00516191041249</v>
      </c>
      <c r="K463" s="11">
        <f t="shared" ca="1" si="59"/>
        <v>4.5048359151792052</v>
      </c>
      <c r="L463" s="20">
        <f t="shared" ca="1" si="60"/>
        <v>-1.2747143047997209</v>
      </c>
    </row>
    <row r="464" spans="4:12" x14ac:dyDescent="0.25">
      <c r="D464" s="22">
        <f t="shared" ca="1" si="62"/>
        <v>5.0160475545794579E-2</v>
      </c>
      <c r="E464" s="11">
        <v>1.2833333333333334</v>
      </c>
      <c r="F464" s="11">
        <f t="shared" ca="1" si="63"/>
        <v>65.327835020376128</v>
      </c>
      <c r="G464" s="11">
        <f t="shared" ca="1" si="61"/>
        <v>3.4457102838034785</v>
      </c>
      <c r="H464" s="11">
        <f t="shared" ca="1" si="56"/>
        <v>0.55870984283803371</v>
      </c>
      <c r="I464" s="11">
        <f t="shared" ca="1" si="57"/>
        <v>36.499304437183341</v>
      </c>
      <c r="J464" s="11">
        <f t="shared" ca="1" si="58"/>
        <v>-33.053594153379862</v>
      </c>
      <c r="K464" s="11">
        <f t="shared" ca="1" si="59"/>
        <v>4.7394485495449201</v>
      </c>
      <c r="L464" s="20">
        <f t="shared" ca="1" si="60"/>
        <v>-1.2937382657414416</v>
      </c>
    </row>
    <row r="465" spans="4:12" x14ac:dyDescent="0.25">
      <c r="D465" s="22">
        <f t="shared" ca="1" si="62"/>
        <v>5.0569691404894826E-2</v>
      </c>
      <c r="E465" s="11">
        <v>1.2861111111111112</v>
      </c>
      <c r="F465" s="11">
        <f t="shared" ca="1" si="63"/>
        <v>65.894431874460579</v>
      </c>
      <c r="G465" s="11">
        <f t="shared" ca="1" si="61"/>
        <v>3.7576301134867904</v>
      </c>
      <c r="H465" s="11">
        <f t="shared" ca="1" si="56"/>
        <v>0.57912887907968713</v>
      </c>
      <c r="I465" s="11">
        <f t="shared" ca="1" si="57"/>
        <v>38.161368469049165</v>
      </c>
      <c r="J465" s="11">
        <f t="shared" ca="1" si="58"/>
        <v>-34.403738355562375</v>
      </c>
      <c r="K465" s="11">
        <f t="shared" ca="1" si="59"/>
        <v>5.0582978916560846</v>
      </c>
      <c r="L465" s="20">
        <f t="shared" ca="1" si="60"/>
        <v>-1.3006677781692941</v>
      </c>
    </row>
    <row r="466" spans="4:12" x14ac:dyDescent="0.25">
      <c r="D466" s="22">
        <f t="shared" ca="1" si="62"/>
        <v>5.0396921575733722E-2</v>
      </c>
      <c r="E466" s="11">
        <v>1.288888888888889</v>
      </c>
      <c r="F466" s="11">
        <f t="shared" ca="1" si="63"/>
        <v>66.122030119273219</v>
      </c>
      <c r="G466" s="11">
        <f t="shared" ca="1" si="61"/>
        <v>3.8846222635771781</v>
      </c>
      <c r="H466" s="11">
        <f t="shared" ca="1" si="56"/>
        <v>0.58652251931846522</v>
      </c>
      <c r="I466" s="11">
        <f t="shared" ca="1" si="57"/>
        <v>38.782059688007564</v>
      </c>
      <c r="J466" s="11">
        <f t="shared" ca="1" si="58"/>
        <v>-34.897437424430386</v>
      </c>
      <c r="K466" s="11">
        <f t="shared" ca="1" si="59"/>
        <v>5.1736866572240698</v>
      </c>
      <c r="L466" s="20">
        <f t="shared" ca="1" si="60"/>
        <v>-1.2890643936468917</v>
      </c>
    </row>
    <row r="467" spans="4:12" x14ac:dyDescent="0.25">
      <c r="D467" s="22">
        <f t="shared" ca="1" si="62"/>
        <v>4.9507532365220611E-2</v>
      </c>
      <c r="E467" s="11">
        <v>1.2916666666666667</v>
      </c>
      <c r="F467" s="11">
        <f t="shared" ca="1" si="63"/>
        <v>65.513372245131819</v>
      </c>
      <c r="G467" s="11">
        <f t="shared" ca="1" si="61"/>
        <v>3.5228312560141646</v>
      </c>
      <c r="H467" s="11">
        <f t="shared" ca="1" si="56"/>
        <v>0.56324155808855603</v>
      </c>
      <c r="I467" s="11">
        <f t="shared" ca="1" si="57"/>
        <v>36.899853858983604</v>
      </c>
      <c r="J467" s="11">
        <f t="shared" ca="1" si="58"/>
        <v>-33.37702260296944</v>
      </c>
      <c r="K467" s="11">
        <f t="shared" ca="1" si="59"/>
        <v>4.7899467097940338</v>
      </c>
      <c r="L467" s="20">
        <f t="shared" ca="1" si="60"/>
        <v>-1.2671154537798692</v>
      </c>
    </row>
    <row r="468" spans="4:12" x14ac:dyDescent="0.25">
      <c r="D468" s="22">
        <f t="shared" ca="1" si="62"/>
        <v>4.9687392993344771E-2</v>
      </c>
      <c r="E468" s="11">
        <v>1.2944444444444445</v>
      </c>
      <c r="F468" s="11">
        <f t="shared" ca="1" si="63"/>
        <v>64.7716515113963</v>
      </c>
      <c r="G468" s="11">
        <f t="shared" ca="1" si="61"/>
        <v>3.1004562818003123</v>
      </c>
      <c r="H468" s="11">
        <f t="shared" ca="1" si="56"/>
        <v>0.5363866589887315</v>
      </c>
      <c r="I468" s="11">
        <f t="shared" ca="1" si="57"/>
        <v>34.742649751380284</v>
      </c>
      <c r="J468" s="11">
        <f t="shared" ca="1" si="58"/>
        <v>-31.642193469579972</v>
      </c>
      <c r="K468" s="11">
        <f t="shared" ca="1" si="59"/>
        <v>4.3732500382763009</v>
      </c>
      <c r="L468" s="20">
        <f t="shared" ca="1" si="60"/>
        <v>-1.2727937564759886</v>
      </c>
    </row>
    <row r="469" spans="4:12" x14ac:dyDescent="0.25">
      <c r="D469" s="22">
        <f t="shared" ca="1" si="62"/>
        <v>5.0203199932144511E-2</v>
      </c>
      <c r="E469" s="11">
        <v>1.2972222222222223</v>
      </c>
      <c r="F469" s="11">
        <f t="shared" ca="1" si="63"/>
        <v>63.446059419706394</v>
      </c>
      <c r="G469" s="11">
        <f t="shared" ca="1" si="61"/>
        <v>2.3850134515186845</v>
      </c>
      <c r="H469" s="11">
        <f t="shared" ca="1" si="56"/>
        <v>0.48771156609060279</v>
      </c>
      <c r="I469" s="11">
        <f t="shared" ca="1" si="57"/>
        <v>30.943377001862448</v>
      </c>
      <c r="J469" s="11">
        <f t="shared" ca="1" si="58"/>
        <v>-28.558363550343763</v>
      </c>
      <c r="K469" s="11">
        <f t="shared" ca="1" si="59"/>
        <v>3.6923392872937337</v>
      </c>
      <c r="L469" s="20">
        <f t="shared" ca="1" si="60"/>
        <v>-1.3073258357750492</v>
      </c>
    </row>
    <row r="470" spans="4:12" x14ac:dyDescent="0.25">
      <c r="D470" s="22">
        <f t="shared" ca="1" si="62"/>
        <v>4.9677512168583404E-2</v>
      </c>
      <c r="E470" s="11">
        <v>1.3</v>
      </c>
      <c r="F470" s="11">
        <f t="shared" ca="1" si="63"/>
        <v>64.658961314626808</v>
      </c>
      <c r="G470" s="11">
        <f t="shared" ca="1" si="61"/>
        <v>2.9726186054732686</v>
      </c>
      <c r="H470" s="11">
        <f t="shared" ca="1" si="56"/>
        <v>0.53145782761949401</v>
      </c>
      <c r="I470" s="11">
        <f t="shared" ca="1" si="57"/>
        <v>34.363511116404467</v>
      </c>
      <c r="J470" s="11">
        <f t="shared" ca="1" si="58"/>
        <v>-31.390892510931199</v>
      </c>
      <c r="K470" s="11">
        <f t="shared" ca="1" si="59"/>
        <v>4.2874825015100537</v>
      </c>
      <c r="L470" s="20">
        <f t="shared" ca="1" si="60"/>
        <v>-1.3148638960367851</v>
      </c>
    </row>
    <row r="471" spans="4:12" x14ac:dyDescent="0.25">
      <c r="D471" s="22">
        <f t="shared" ca="1" si="62"/>
        <v>5.0581673985047537E-2</v>
      </c>
      <c r="E471" s="11">
        <v>1.3027777777777778</v>
      </c>
      <c r="F471" s="11">
        <f t="shared" ca="1" si="63"/>
        <v>64.090531012992258</v>
      </c>
      <c r="G471" s="11">
        <f t="shared" ca="1" si="61"/>
        <v>2.6661109959822902</v>
      </c>
      <c r="H471" s="11">
        <f t="shared" ca="1" si="56"/>
        <v>0.5115011609909671</v>
      </c>
      <c r="I471" s="11">
        <f t="shared" ca="1" si="57"/>
        <v>32.782381021673125</v>
      </c>
      <c r="J471" s="11">
        <f t="shared" ca="1" si="58"/>
        <v>-30.116270025690834</v>
      </c>
      <c r="K471" s="11">
        <f t="shared" ca="1" si="59"/>
        <v>3.9970132108862306</v>
      </c>
      <c r="L471" s="20">
        <f t="shared" ca="1" si="60"/>
        <v>-1.3309022149039405</v>
      </c>
    </row>
    <row r="472" spans="4:12" x14ac:dyDescent="0.25">
      <c r="D472" s="22">
        <f t="shared" ca="1" si="62"/>
        <v>5.0287725937787776E-2</v>
      </c>
      <c r="E472" s="11">
        <v>1.3055555555555556</v>
      </c>
      <c r="F472" s="11">
        <f t="shared" ca="1" si="63"/>
        <v>64.571893236355066</v>
      </c>
      <c r="G472" s="11">
        <f t="shared" ca="1" si="61"/>
        <v>2.9081211528795698</v>
      </c>
      <c r="H472" s="11">
        <f t="shared" ca="1" si="56"/>
        <v>0.52845439383139459</v>
      </c>
      <c r="I472" s="11">
        <f t="shared" ca="1" si="57"/>
        <v>34.123300698763543</v>
      </c>
      <c r="J472" s="11">
        <f t="shared" ca="1" si="58"/>
        <v>-31.215179545883974</v>
      </c>
      <c r="K472" s="11">
        <f t="shared" ca="1" si="59"/>
        <v>4.2286685250611047</v>
      </c>
      <c r="L472" s="20">
        <f t="shared" ca="1" si="60"/>
        <v>-1.3205473721815348</v>
      </c>
    </row>
    <row r="473" spans="4:12" x14ac:dyDescent="0.25">
      <c r="D473" s="22">
        <f t="shared" ca="1" si="62"/>
        <v>5.1020107715423396E-2</v>
      </c>
      <c r="E473" s="11">
        <v>1.3083333333333333</v>
      </c>
      <c r="F473" s="11">
        <f t="shared" ca="1" si="63"/>
        <v>64.849706645076481</v>
      </c>
      <c r="G473" s="11">
        <f t="shared" ca="1" si="61"/>
        <v>3.0505086619339785</v>
      </c>
      <c r="H473" s="11">
        <f t="shared" ca="1" si="56"/>
        <v>0.53951449989875488</v>
      </c>
      <c r="I473" s="11">
        <f t="shared" ca="1" si="57"/>
        <v>34.987357049199396</v>
      </c>
      <c r="J473" s="11">
        <f t="shared" ca="1" si="58"/>
        <v>-31.936848387265417</v>
      </c>
      <c r="K473" s="11">
        <f t="shared" ca="1" si="59"/>
        <v>4.3795332177790378</v>
      </c>
      <c r="L473" s="20">
        <f t="shared" ca="1" si="60"/>
        <v>-1.3290245558450593</v>
      </c>
    </row>
    <row r="474" spans="4:12" x14ac:dyDescent="0.25">
      <c r="D474" s="22">
        <f t="shared" ca="1" si="62"/>
        <v>5.0883099321250687E-2</v>
      </c>
      <c r="E474" s="11">
        <v>1.3111111111111111</v>
      </c>
      <c r="F474" s="11">
        <f t="shared" ca="1" si="63"/>
        <v>65.465293526623483</v>
      </c>
      <c r="G474" s="11">
        <f t="shared" ca="1" si="61"/>
        <v>3.3781123752608408</v>
      </c>
      <c r="H474" s="11">
        <f t="shared" ca="1" si="56"/>
        <v>0.561419077659979</v>
      </c>
      <c r="I474" s="11">
        <f t="shared" ca="1" si="57"/>
        <v>36.753464710456747</v>
      </c>
      <c r="J474" s="11">
        <f t="shared" ca="1" si="58"/>
        <v>-33.375352335195906</v>
      </c>
      <c r="K474" s="11">
        <f t="shared" ca="1" si="59"/>
        <v>4.7023904885316847</v>
      </c>
      <c r="L474" s="20">
        <f t="shared" ca="1" si="60"/>
        <v>-1.3242781132708439</v>
      </c>
    </row>
    <row r="475" spans="4:12" x14ac:dyDescent="0.25">
      <c r="D475" s="22">
        <f t="shared" ca="1" si="62"/>
        <v>5.2081633830952337E-2</v>
      </c>
      <c r="E475" s="11">
        <v>1.3138888888888889</v>
      </c>
      <c r="F475" s="11">
        <f t="shared" ca="1" si="63"/>
        <v>66.590182253688937</v>
      </c>
      <c r="G475" s="11">
        <f t="shared" ca="1" si="61"/>
        <v>4.0048175651516758</v>
      </c>
      <c r="H475" s="11">
        <f t="shared" ca="1" si="56"/>
        <v>0.60314536040297095</v>
      </c>
      <c r="I475" s="11">
        <f t="shared" ca="1" si="57"/>
        <v>40.163559474700733</v>
      </c>
      <c r="J475" s="11">
        <f t="shared" ca="1" si="58"/>
        <v>-36.158741909549057</v>
      </c>
      <c r="K475" s="11">
        <f t="shared" ca="1" si="59"/>
        <v>5.3716594358086045</v>
      </c>
      <c r="L475" s="20">
        <f t="shared" ca="1" si="60"/>
        <v>-1.3668418706569287</v>
      </c>
    </row>
    <row r="476" spans="4:12" x14ac:dyDescent="0.25">
      <c r="D476" s="22">
        <f t="shared" ca="1" si="62"/>
        <v>5.2497270185144981E-2</v>
      </c>
      <c r="E476" s="11">
        <v>1.3166666666666667</v>
      </c>
      <c r="F476" s="11">
        <f t="shared" ca="1" si="63"/>
        <v>66.852102203502838</v>
      </c>
      <c r="G476" s="11">
        <f t="shared" ca="1" si="61"/>
        <v>4.1575201075230765</v>
      </c>
      <c r="H476" s="11">
        <f t="shared" ca="1" si="56"/>
        <v>0.61266780120875186</v>
      </c>
      <c r="I476" s="11">
        <f t="shared" ca="1" si="57"/>
        <v>40.958130463202842</v>
      </c>
      <c r="J476" s="11">
        <f t="shared" ca="1" si="58"/>
        <v>-36.800610355679765</v>
      </c>
      <c r="K476" s="11">
        <f t="shared" ca="1" si="59"/>
        <v>5.5271700870053522</v>
      </c>
      <c r="L476" s="20">
        <f t="shared" ca="1" si="60"/>
        <v>-1.3696499794822756</v>
      </c>
    </row>
    <row r="477" spans="4:12" x14ac:dyDescent="0.25">
      <c r="D477" s="22">
        <f t="shared" ca="1" si="62"/>
        <v>5.2357963126376986E-2</v>
      </c>
      <c r="E477" s="11">
        <v>1.3194444444444444</v>
      </c>
      <c r="F477" s="11">
        <f t="shared" ca="1" si="63"/>
        <v>67.762944531674748</v>
      </c>
      <c r="G477" s="11">
        <f t="shared" ca="1" si="61"/>
        <v>4.7102112486305927</v>
      </c>
      <c r="H477" s="11">
        <f t="shared" ca="1" si="56"/>
        <v>0.64322346730428104</v>
      </c>
      <c r="I477" s="11">
        <f t="shared" ca="1" si="57"/>
        <v>43.586716136411503</v>
      </c>
      <c r="J477" s="11">
        <f t="shared" ca="1" si="58"/>
        <v>-38.876504887780911</v>
      </c>
      <c r="K477" s="11">
        <f t="shared" ca="1" si="59"/>
        <v>6.0818764470069535</v>
      </c>
      <c r="L477" s="20">
        <f t="shared" ca="1" si="60"/>
        <v>-1.3716651983763608</v>
      </c>
    </row>
    <row r="478" spans="4:12" x14ac:dyDescent="0.25">
      <c r="D478" s="22">
        <f t="shared" ca="1" si="62"/>
        <v>5.2849241737080895E-2</v>
      </c>
      <c r="E478" s="11">
        <v>1.3222222222222222</v>
      </c>
      <c r="F478" s="11">
        <f t="shared" ca="1" si="63"/>
        <v>68.388455077626219</v>
      </c>
      <c r="G478" s="11">
        <f t="shared" ca="1" si="61"/>
        <v>5.1068466868806297</v>
      </c>
      <c r="H478" s="11">
        <f t="shared" ca="1" si="56"/>
        <v>0.66437982143222463</v>
      </c>
      <c r="I478" s="11">
        <f t="shared" ca="1" si="57"/>
        <v>45.435909572499021</v>
      </c>
      <c r="J478" s="11">
        <f t="shared" ca="1" si="58"/>
        <v>-40.329062885618391</v>
      </c>
      <c r="K478" s="11">
        <f t="shared" ca="1" si="59"/>
        <v>6.4895725685708836</v>
      </c>
      <c r="L478" s="20">
        <f t="shared" ca="1" si="60"/>
        <v>-1.3827258816902539</v>
      </c>
    </row>
    <row r="479" spans="4:12" x14ac:dyDescent="0.25">
      <c r="D479" s="22">
        <f t="shared" ca="1" si="62"/>
        <v>5.341812337695958E-2</v>
      </c>
      <c r="E479" s="11">
        <v>1.325</v>
      </c>
      <c r="F479" s="11">
        <f t="shared" ca="1" si="63"/>
        <v>70.004033753459808</v>
      </c>
      <c r="G479" s="11">
        <f t="shared" ca="1" si="61"/>
        <v>6.1742199404392863</v>
      </c>
      <c r="H479" s="11">
        <f t="shared" ca="1" si="56"/>
        <v>0.71515926427645193</v>
      </c>
      <c r="I479" s="11">
        <f t="shared" ca="1" si="57"/>
        <v>50.064033275508223</v>
      </c>
      <c r="J479" s="11">
        <f t="shared" ca="1" si="58"/>
        <v>-43.889813335068936</v>
      </c>
      <c r="K479" s="11">
        <f t="shared" ca="1" si="59"/>
        <v>7.6059910708387157</v>
      </c>
      <c r="L479" s="20">
        <f t="shared" ca="1" si="60"/>
        <v>-1.4317711303994294</v>
      </c>
    </row>
    <row r="480" spans="4:12" x14ac:dyDescent="0.25">
      <c r="D480" s="22">
        <f t="shared" ca="1" si="62"/>
        <v>5.4035522434670517E-2</v>
      </c>
      <c r="E480" s="11">
        <v>1.3277777777777777</v>
      </c>
      <c r="F480" s="11">
        <f t="shared" ca="1" si="63"/>
        <v>69.540023949614891</v>
      </c>
      <c r="G480" s="11">
        <f t="shared" ca="1" si="61"/>
        <v>5.8357907333108656</v>
      </c>
      <c r="H480" s="11">
        <f t="shared" ca="1" si="56"/>
        <v>0.70209129999102327</v>
      </c>
      <c r="I480" s="11">
        <f t="shared" ca="1" si="57"/>
        <v>48.823445816192013</v>
      </c>
      <c r="J480" s="11">
        <f t="shared" ca="1" si="58"/>
        <v>-42.987655082881147</v>
      </c>
      <c r="K480" s="11">
        <f t="shared" ca="1" si="59"/>
        <v>7.2802654360040524</v>
      </c>
      <c r="L480" s="20">
        <f t="shared" ca="1" si="60"/>
        <v>-1.4444747026931868</v>
      </c>
    </row>
    <row r="481" spans="4:12" x14ac:dyDescent="0.25">
      <c r="D481" s="22">
        <f t="shared" ca="1" si="62"/>
        <v>5.4854032114969899E-2</v>
      </c>
      <c r="E481" s="11">
        <v>1.3305555555555557</v>
      </c>
      <c r="F481" s="11">
        <f t="shared" ca="1" si="63"/>
        <v>69.696697812595971</v>
      </c>
      <c r="G481" s="11">
        <f t="shared" ca="1" si="61"/>
        <v>5.9392394620234654</v>
      </c>
      <c r="H481" s="11">
        <f t="shared" ca="1" si="56"/>
        <v>0.70793722367911793</v>
      </c>
      <c r="I481" s="11">
        <f t="shared" ca="1" si="57"/>
        <v>49.340886749051641</v>
      </c>
      <c r="J481" s="11">
        <f t="shared" ca="1" si="58"/>
        <v>-43.401647287028176</v>
      </c>
      <c r="K481" s="11">
        <f t="shared" ca="1" si="59"/>
        <v>7.3991842062279263</v>
      </c>
      <c r="L481" s="20">
        <f t="shared" ca="1" si="60"/>
        <v>-1.4599447442044609</v>
      </c>
    </row>
    <row r="482" spans="4:12" x14ac:dyDescent="0.25">
      <c r="D482" s="22">
        <f t="shared" ca="1" si="62"/>
        <v>5.4283636730204497E-2</v>
      </c>
      <c r="E482" s="11">
        <v>1.3333333333333335</v>
      </c>
      <c r="F482" s="11">
        <f t="shared" ca="1" si="63"/>
        <v>69.415008643385889</v>
      </c>
      <c r="G482" s="11">
        <f t="shared" ca="1" si="61"/>
        <v>5.7332762778218083</v>
      </c>
      <c r="H482" s="11">
        <f t="shared" ca="1" si="56"/>
        <v>0.69850506192159267</v>
      </c>
      <c r="I482" s="11">
        <f t="shared" ca="1" si="57"/>
        <v>48.486734910736153</v>
      </c>
      <c r="J482" s="11">
        <f t="shared" ca="1" si="58"/>
        <v>-42.753458632914345</v>
      </c>
      <c r="K482" s="11">
        <f t="shared" ca="1" si="59"/>
        <v>7.1707376789530803</v>
      </c>
      <c r="L482" s="20">
        <f t="shared" ca="1" si="60"/>
        <v>-1.4374614011312721</v>
      </c>
    </row>
    <row r="483" spans="4:12" x14ac:dyDescent="0.25">
      <c r="D483" s="22">
        <f t="shared" ca="1" si="62"/>
        <v>5.4175072906121197E-2</v>
      </c>
      <c r="E483" s="11">
        <v>1.3361111111111112</v>
      </c>
      <c r="F483" s="11">
        <f t="shared" ca="1" si="63"/>
        <v>69.115180458601756</v>
      </c>
      <c r="G483" s="11">
        <f t="shared" ca="1" si="61"/>
        <v>5.5174104785343161</v>
      </c>
      <c r="H483" s="11">
        <f t="shared" ca="1" si="56"/>
        <v>0.68896577452527996</v>
      </c>
      <c r="I483" s="11">
        <f t="shared" ca="1" si="57"/>
        <v>47.617993836115055</v>
      </c>
      <c r="J483" s="11">
        <f t="shared" ca="1" si="58"/>
        <v>-42.100583357580739</v>
      </c>
      <c r="K483" s="11">
        <f t="shared" ca="1" si="59"/>
        <v>6.9453172596214419</v>
      </c>
      <c r="L483" s="20">
        <f t="shared" ca="1" si="60"/>
        <v>-1.4279067810871258</v>
      </c>
    </row>
    <row r="484" spans="4:12" x14ac:dyDescent="0.25">
      <c r="D484" s="22">
        <f t="shared" ca="1" si="62"/>
        <v>5.398035824474931E-2</v>
      </c>
      <c r="E484" s="11">
        <v>1.338888888888889</v>
      </c>
      <c r="F484" s="11">
        <f t="shared" ca="1" si="63"/>
        <v>69.092583128770059</v>
      </c>
      <c r="G484" s="11">
        <f t="shared" ca="1" si="61"/>
        <v>5.4955284278962395</v>
      </c>
      <c r="H484" s="11">
        <f t="shared" ca="1" si="56"/>
        <v>0.68789267320668246</v>
      </c>
      <c r="I484" s="11">
        <f t="shared" ca="1" si="57"/>
        <v>47.528281707204563</v>
      </c>
      <c r="J484" s="11">
        <f t="shared" ca="1" si="58"/>
        <v>-42.032753279308324</v>
      </c>
      <c r="K484" s="11">
        <f t="shared" ca="1" si="59"/>
        <v>6.9100734230912941</v>
      </c>
      <c r="L484" s="20">
        <f t="shared" ca="1" si="60"/>
        <v>-1.4145449951950546</v>
      </c>
    </row>
    <row r="485" spans="4:12" x14ac:dyDescent="0.25">
      <c r="D485" s="22">
        <f t="shared" ca="1" si="62"/>
        <v>5.4015740946306637E-2</v>
      </c>
      <c r="E485" s="11">
        <v>1.3416666666666668</v>
      </c>
      <c r="F485" s="11">
        <f t="shared" ca="1" si="63"/>
        <v>68.011745561078001</v>
      </c>
      <c r="G485" s="11">
        <f t="shared" ca="1" si="61"/>
        <v>4.7457209601187174</v>
      </c>
      <c r="H485" s="11">
        <f t="shared" ca="1" si="56"/>
        <v>0.65270498800278332</v>
      </c>
      <c r="I485" s="11">
        <f t="shared" ca="1" si="57"/>
        <v>44.39160557049177</v>
      </c>
      <c r="J485" s="11">
        <f t="shared" ca="1" si="58"/>
        <v>-39.645884610373052</v>
      </c>
      <c r="K485" s="11">
        <f t="shared" ca="1" si="59"/>
        <v>6.1719148902150467</v>
      </c>
      <c r="L485" s="20">
        <f t="shared" ca="1" si="60"/>
        <v>-1.4261939300963293</v>
      </c>
    </row>
    <row r="486" spans="4:12" x14ac:dyDescent="0.25">
      <c r="D486" s="22">
        <f t="shared" ca="1" si="62"/>
        <v>5.5196479258712253E-2</v>
      </c>
      <c r="E486" s="11">
        <v>1.3444444444444446</v>
      </c>
      <c r="F486" s="11">
        <f t="shared" ca="1" si="63"/>
        <v>66.836946837049112</v>
      </c>
      <c r="G486" s="11">
        <f t="shared" ca="1" si="61"/>
        <v>3.9728448591120156</v>
      </c>
      <c r="H486" s="11">
        <f t="shared" ca="1" si="56"/>
        <v>0.61385179288507197</v>
      </c>
      <c r="I486" s="11">
        <f t="shared" ca="1" si="57"/>
        <v>41.027979646886834</v>
      </c>
      <c r="J486" s="11">
        <f t="shared" ca="1" si="58"/>
        <v>-37.055134787774819</v>
      </c>
      <c r="K486" s="11">
        <f t="shared" ca="1" si="59"/>
        <v>5.4420604924143134</v>
      </c>
      <c r="L486" s="20">
        <f t="shared" ca="1" si="60"/>
        <v>-1.4692156333022979</v>
      </c>
    </row>
    <row r="487" spans="4:12" x14ac:dyDescent="0.25">
      <c r="D487" s="22">
        <f t="shared" ca="1" si="62"/>
        <v>5.6066250381891579E-2</v>
      </c>
      <c r="E487" s="11">
        <v>1.3472222222222223</v>
      </c>
      <c r="F487" s="11">
        <f t="shared" ca="1" si="63"/>
        <v>67.085421504004813</v>
      </c>
      <c r="G487" s="11">
        <f t="shared" ca="1" si="61"/>
        <v>4.1196000782116684</v>
      </c>
      <c r="H487" s="11">
        <f t="shared" ca="1" si="56"/>
        <v>0.62368461327523039</v>
      </c>
      <c r="I487" s="11">
        <f t="shared" ca="1" si="57"/>
        <v>41.84014516713107</v>
      </c>
      <c r="J487" s="11">
        <f t="shared" ca="1" si="58"/>
        <v>-37.720545088919401</v>
      </c>
      <c r="K487" s="11">
        <f t="shared" ca="1" si="59"/>
        <v>5.6019290666879442</v>
      </c>
      <c r="L487" s="20">
        <f t="shared" ca="1" si="60"/>
        <v>-1.4823289884762758</v>
      </c>
    </row>
    <row r="488" spans="4:12" x14ac:dyDescent="0.25">
      <c r="D488" s="22">
        <f t="shared" ca="1" si="62"/>
        <v>5.6791676166686907E-2</v>
      </c>
      <c r="E488" s="11">
        <v>1.35</v>
      </c>
      <c r="F488" s="11">
        <f t="shared" ca="1" si="63"/>
        <v>66.452924031152889</v>
      </c>
      <c r="G488" s="11">
        <f t="shared" ca="1" si="61"/>
        <v>3.7191700754516717</v>
      </c>
      <c r="H488" s="11">
        <f t="shared" ca="1" si="56"/>
        <v>0.60207055516505192</v>
      </c>
      <c r="I488" s="11">
        <f t="shared" ca="1" si="57"/>
        <v>40.009348863777241</v>
      </c>
      <c r="J488" s="11">
        <f t="shared" ca="1" si="58"/>
        <v>-36.290178788325569</v>
      </c>
      <c r="K488" s="11">
        <f t="shared" ca="1" si="59"/>
        <v>5.2166704635648804</v>
      </c>
      <c r="L488" s="20">
        <f t="shared" ca="1" si="60"/>
        <v>-1.4975003881132087</v>
      </c>
    </row>
    <row r="489" spans="4:12" x14ac:dyDescent="0.25">
      <c r="D489" s="22">
        <f t="shared" ca="1" si="62"/>
        <v>5.6763945648322378E-2</v>
      </c>
      <c r="E489" s="11">
        <v>1.3527777777777779</v>
      </c>
      <c r="F489" s="11">
        <f t="shared" ca="1" si="63"/>
        <v>66.479168994951053</v>
      </c>
      <c r="G489" s="11">
        <f t="shared" ca="1" si="61"/>
        <v>3.7292487949572219</v>
      </c>
      <c r="H489" s="11">
        <f t="shared" ca="1" si="56"/>
        <v>0.6026766918795099</v>
      </c>
      <c r="I489" s="11">
        <f t="shared" ca="1" si="57"/>
        <v>40.065445648775984</v>
      </c>
      <c r="J489" s="11">
        <f t="shared" ca="1" si="58"/>
        <v>-36.336196853818763</v>
      </c>
      <c r="K489" s="11">
        <f t="shared" ca="1" si="59"/>
        <v>5.2175188529672134</v>
      </c>
      <c r="L489" s="20">
        <f t="shared" ca="1" si="60"/>
        <v>-1.4882700580099915</v>
      </c>
    </row>
    <row r="490" spans="4:12" x14ac:dyDescent="0.25">
      <c r="D490" s="22">
        <f t="shared" ca="1" si="62"/>
        <v>5.5860397244988549E-2</v>
      </c>
      <c r="E490" s="11">
        <v>1.3555555555555556</v>
      </c>
      <c r="F490" s="11">
        <f t="shared" ca="1" si="63"/>
        <v>66.332152277649072</v>
      </c>
      <c r="G490" s="11">
        <f t="shared" ca="1" si="61"/>
        <v>3.6350066020254488</v>
      </c>
      <c r="H490" s="11">
        <f t="shared" ca="1" si="56"/>
        <v>0.59564783059277138</v>
      </c>
      <c r="I490" s="11">
        <f t="shared" ca="1" si="57"/>
        <v>39.510602602731026</v>
      </c>
      <c r="J490" s="11">
        <f t="shared" ca="1" si="58"/>
        <v>-35.875596000705578</v>
      </c>
      <c r="K490" s="11">
        <f t="shared" ca="1" si="59"/>
        <v>5.0949320548851427</v>
      </c>
      <c r="L490" s="20">
        <f t="shared" ca="1" si="60"/>
        <v>-1.4599254528596939</v>
      </c>
    </row>
    <row r="491" spans="4:12" x14ac:dyDescent="0.25">
      <c r="D491" s="22">
        <f t="shared" ca="1" si="62"/>
        <v>5.6321936633201751E-2</v>
      </c>
      <c r="E491" s="11">
        <v>1.3583333333333334</v>
      </c>
      <c r="F491" s="11">
        <f t="shared" ca="1" si="63"/>
        <v>66.740079872939873</v>
      </c>
      <c r="G491" s="11">
        <f t="shared" ca="1" si="61"/>
        <v>3.8723746194415583</v>
      </c>
      <c r="H491" s="11">
        <f t="shared" ca="1" si="56"/>
        <v>0.6108070623565427</v>
      </c>
      <c r="I491" s="11">
        <f t="shared" ca="1" si="57"/>
        <v>40.765312128631422</v>
      </c>
      <c r="J491" s="11">
        <f t="shared" ca="1" si="58"/>
        <v>-36.892937509189863</v>
      </c>
      <c r="K491" s="11">
        <f t="shared" ca="1" si="59"/>
        <v>5.3370504093473459</v>
      </c>
      <c r="L491" s="20">
        <f t="shared" ca="1" si="60"/>
        <v>-1.4646757899057876</v>
      </c>
    </row>
    <row r="492" spans="4:12" x14ac:dyDescent="0.25">
      <c r="D492" s="22">
        <f t="shared" ca="1" si="62"/>
        <v>5.5933415283006403E-2</v>
      </c>
      <c r="E492" s="11">
        <v>1.3611111111111112</v>
      </c>
      <c r="F492" s="11">
        <f t="shared" ca="1" si="63"/>
        <v>66.517051429419908</v>
      </c>
      <c r="G492" s="11">
        <f t="shared" ca="1" si="61"/>
        <v>3.7304147479488563</v>
      </c>
      <c r="H492" s="11">
        <f t="shared" ca="1" si="56"/>
        <v>0.60187999647309143</v>
      </c>
      <c r="I492" s="11">
        <f t="shared" ca="1" si="57"/>
        <v>40.035282679739694</v>
      </c>
      <c r="J492" s="11">
        <f t="shared" ca="1" si="58"/>
        <v>-36.304867931790838</v>
      </c>
      <c r="K492" s="11">
        <f t="shared" ca="1" si="59"/>
        <v>5.1786975295996198</v>
      </c>
      <c r="L492" s="20">
        <f t="shared" ca="1" si="60"/>
        <v>-1.4482827816507635</v>
      </c>
    </row>
    <row r="493" spans="4:12" x14ac:dyDescent="0.25">
      <c r="D493" s="22">
        <f t="shared" ca="1" si="62"/>
        <v>5.5362591379994219E-2</v>
      </c>
      <c r="E493" s="11">
        <v>1.3638888888888889</v>
      </c>
      <c r="F493" s="11">
        <f t="shared" ca="1" si="63"/>
        <v>66.534154691530489</v>
      </c>
      <c r="G493" s="11">
        <f t="shared" ca="1" si="61"/>
        <v>3.7351252867182723</v>
      </c>
      <c r="H493" s="11">
        <f t="shared" ca="1" si="56"/>
        <v>0.60133052584355273</v>
      </c>
      <c r="I493" s="11">
        <f t="shared" ca="1" si="57"/>
        <v>40.009018227214312</v>
      </c>
      <c r="J493" s="11">
        <f t="shared" ca="1" si="58"/>
        <v>-36.27389294049604</v>
      </c>
      <c r="K493" s="11">
        <f t="shared" ca="1" si="59"/>
        <v>5.1619848549882787</v>
      </c>
      <c r="L493" s="20">
        <f t="shared" ca="1" si="60"/>
        <v>-1.4268595682700065</v>
      </c>
    </row>
    <row r="494" spans="4:12" x14ac:dyDescent="0.25">
      <c r="D494" s="22">
        <f t="shared" ca="1" si="62"/>
        <v>5.609356211373312E-2</v>
      </c>
      <c r="E494" s="11">
        <v>1.3666666666666667</v>
      </c>
      <c r="F494" s="11">
        <f t="shared" ca="1" si="63"/>
        <v>67.27793333957257</v>
      </c>
      <c r="G494" s="11">
        <f t="shared" ca="1" si="61"/>
        <v>4.1767296189334928</v>
      </c>
      <c r="H494" s="11">
        <f t="shared" ca="1" si="56"/>
        <v>0.62884415852633935</v>
      </c>
      <c r="I494" s="11">
        <f t="shared" ca="1" si="57"/>
        <v>42.307335378314662</v>
      </c>
      <c r="J494" s="11">
        <f t="shared" ca="1" si="58"/>
        <v>-38.130605759381169</v>
      </c>
      <c r="K494" s="11">
        <f t="shared" ca="1" si="59"/>
        <v>5.6216650740797354</v>
      </c>
      <c r="L494" s="20">
        <f t="shared" ca="1" si="60"/>
        <v>-1.4449354551462426</v>
      </c>
    </row>
    <row r="495" spans="4:12" x14ac:dyDescent="0.25">
      <c r="D495" s="22">
        <f t="shared" ca="1" si="62"/>
        <v>5.6558300023335152E-2</v>
      </c>
      <c r="E495" s="11">
        <v>1.3694444444444445</v>
      </c>
      <c r="F495" s="11">
        <f t="shared" ca="1" si="63"/>
        <v>67.010798901549308</v>
      </c>
      <c r="G495" s="11">
        <f t="shared" ca="1" si="61"/>
        <v>4.0027526556594708</v>
      </c>
      <c r="H495" s="11">
        <f t="shared" ca="1" si="56"/>
        <v>0.61980933173635089</v>
      </c>
      <c r="I495" s="11">
        <f t="shared" ca="1" si="57"/>
        <v>41.533918486288272</v>
      </c>
      <c r="J495" s="11">
        <f t="shared" ca="1" si="58"/>
        <v>-37.531165830628801</v>
      </c>
      <c r="K495" s="11">
        <f t="shared" ca="1" si="59"/>
        <v>5.4509742444573961</v>
      </c>
      <c r="L495" s="20">
        <f t="shared" ca="1" si="60"/>
        <v>-1.4482215887979253</v>
      </c>
    </row>
    <row r="496" spans="4:12" x14ac:dyDescent="0.25">
      <c r="D496" s="22">
        <f t="shared" ca="1" si="62"/>
        <v>5.5667354338660817E-2</v>
      </c>
      <c r="E496" s="11">
        <v>1.3722222222222222</v>
      </c>
      <c r="F496" s="11">
        <f t="shared" ca="1" si="63"/>
        <v>66.00855071982042</v>
      </c>
      <c r="G496" s="11">
        <f t="shared" ca="1" si="61"/>
        <v>3.3757459292187733</v>
      </c>
      <c r="H496" s="11">
        <f t="shared" ca="1" si="56"/>
        <v>0.58148178277370599</v>
      </c>
      <c r="I496" s="11">
        <f t="shared" ca="1" si="57"/>
        <v>38.38276975086977</v>
      </c>
      <c r="J496" s="11">
        <f t="shared" ca="1" si="58"/>
        <v>-35.007023821650996</v>
      </c>
      <c r="K496" s="11">
        <f t="shared" ca="1" si="59"/>
        <v>4.8148927932746233</v>
      </c>
      <c r="L496" s="20">
        <f t="shared" ca="1" si="60"/>
        <v>-1.43914686405585</v>
      </c>
    </row>
    <row r="497" spans="4:12" x14ac:dyDescent="0.25">
      <c r="D497" s="22">
        <f t="shared" ca="1" si="62"/>
        <v>5.5605527034479761E-2</v>
      </c>
      <c r="E497" s="11">
        <v>1.375</v>
      </c>
      <c r="F497" s="11">
        <f t="shared" ca="1" si="63"/>
        <v>66.485709454271557</v>
      </c>
      <c r="G497" s="11">
        <f t="shared" ca="1" si="61"/>
        <v>3.647797445371971</v>
      </c>
      <c r="H497" s="11">
        <f t="shared" ca="1" si="56"/>
        <v>0.59875375158473065</v>
      </c>
      <c r="I497" s="11">
        <f t="shared" ca="1" si="57"/>
        <v>39.808567962517493</v>
      </c>
      <c r="J497" s="11">
        <f t="shared" ca="1" si="58"/>
        <v>-36.160770517145522</v>
      </c>
      <c r="K497" s="11">
        <f t="shared" ca="1" si="59"/>
        <v>5.0808443737681328</v>
      </c>
      <c r="L497" s="20">
        <f t="shared" ca="1" si="60"/>
        <v>-1.4330469283961618</v>
      </c>
    </row>
    <row r="498" spans="4:12" x14ac:dyDescent="0.25">
      <c r="D498" s="22">
        <f t="shared" ca="1" si="62"/>
        <v>5.6438766887535977E-2</v>
      </c>
      <c r="E498" s="11">
        <v>1.3777777777777778</v>
      </c>
      <c r="F498" s="11">
        <f t="shared" ca="1" si="63"/>
        <v>65.908205303484038</v>
      </c>
      <c r="G498" s="11">
        <f t="shared" ca="1" si="61"/>
        <v>3.2963451427432133</v>
      </c>
      <c r="H498" s="11">
        <f t="shared" ca="1" si="56"/>
        <v>0.57821788879409741</v>
      </c>
      <c r="I498" s="11">
        <f t="shared" ca="1" si="57"/>
        <v>38.109303324788478</v>
      </c>
      <c r="J498" s="11">
        <f t="shared" ca="1" si="58"/>
        <v>-34.812958182045264</v>
      </c>
      <c r="K498" s="11">
        <f t="shared" ca="1" si="59"/>
        <v>4.7443012309790644</v>
      </c>
      <c r="L498" s="20">
        <f t="shared" ca="1" si="60"/>
        <v>-1.4479560882358511</v>
      </c>
    </row>
    <row r="499" spans="4:12" x14ac:dyDescent="0.25">
      <c r="D499" s="22">
        <f t="shared" ca="1" si="62"/>
        <v>5.6596616507831529E-2</v>
      </c>
      <c r="E499" s="11">
        <v>1.3805555555555555</v>
      </c>
      <c r="F499" s="11">
        <f t="shared" ca="1" si="63"/>
        <v>65.728825289680998</v>
      </c>
      <c r="G499" s="11">
        <f t="shared" ca="1" si="61"/>
        <v>3.1871509361765007</v>
      </c>
      <c r="H499" s="11">
        <f t="shared" ca="1" si="56"/>
        <v>0.57132040975832921</v>
      </c>
      <c r="I499" s="11">
        <f t="shared" ca="1" si="57"/>
        <v>37.552219397434179</v>
      </c>
      <c r="J499" s="11">
        <f t="shared" ca="1" si="58"/>
        <v>-34.365068461257678</v>
      </c>
      <c r="K499" s="11">
        <f t="shared" ca="1" si="59"/>
        <v>4.6301489769395827</v>
      </c>
      <c r="L499" s="20">
        <f t="shared" ca="1" si="60"/>
        <v>-1.442998040763082</v>
      </c>
    </row>
    <row r="500" spans="4:12" x14ac:dyDescent="0.25">
      <c r="D500" s="22">
        <f t="shared" ca="1" si="62"/>
        <v>5.7171707099470302E-2</v>
      </c>
      <c r="E500" s="11">
        <v>1.3833333333333333</v>
      </c>
      <c r="F500" s="11">
        <f t="shared" ca="1" si="63"/>
        <v>65.231319680129474</v>
      </c>
      <c r="G500" s="11">
        <f t="shared" ca="1" si="61"/>
        <v>2.8974578673459064</v>
      </c>
      <c r="H500" s="11">
        <f t="shared" ca="1" si="56"/>
        <v>0.55277196833810449</v>
      </c>
      <c r="I500" s="11">
        <f t="shared" ca="1" si="57"/>
        <v>36.058044976877305</v>
      </c>
      <c r="J500" s="11">
        <f t="shared" ca="1" si="58"/>
        <v>-33.160587109531399</v>
      </c>
      <c r="K500" s="11">
        <f t="shared" ca="1" si="59"/>
        <v>4.3477758686490811</v>
      </c>
      <c r="L500" s="20">
        <f t="shared" ca="1" si="60"/>
        <v>-1.4503180013031747</v>
      </c>
    </row>
    <row r="501" spans="4:12" x14ac:dyDescent="0.25">
      <c r="D501" s="22">
        <f t="shared" ca="1" si="62"/>
        <v>5.719557028904871E-2</v>
      </c>
      <c r="E501" s="11">
        <v>1.3861111111111111</v>
      </c>
      <c r="F501" s="11">
        <f t="shared" ca="1" si="63"/>
        <v>64.757578828507448</v>
      </c>
      <c r="G501" s="11">
        <f t="shared" ca="1" si="61"/>
        <v>2.6303183449666108</v>
      </c>
      <c r="H501" s="11">
        <f t="shared" ca="1" si="56"/>
        <v>0.53394018981537639</v>
      </c>
      <c r="I501" s="11">
        <f t="shared" ca="1" si="57"/>
        <v>34.576673931677469</v>
      </c>
      <c r="J501" s="11">
        <f t="shared" ca="1" si="58"/>
        <v>-31.946355586710858</v>
      </c>
      <c r="K501" s="11">
        <f t="shared" ca="1" si="59"/>
        <v>4.0767421164984414</v>
      </c>
      <c r="L501" s="20">
        <f t="shared" ca="1" si="60"/>
        <v>-1.4464237715318307</v>
      </c>
    </row>
    <row r="502" spans="4:12" x14ac:dyDescent="0.25">
      <c r="D502" s="22">
        <f t="shared" ca="1" si="62"/>
        <v>5.8622666281322781E-2</v>
      </c>
      <c r="E502" s="11">
        <v>1.3888888888888888</v>
      </c>
      <c r="F502" s="11">
        <f t="shared" ca="1" si="63"/>
        <v>64.654432469124927</v>
      </c>
      <c r="G502" s="11">
        <f t="shared" ca="1" si="61"/>
        <v>2.5700417665001787</v>
      </c>
      <c r="H502" s="11">
        <f t="shared" ca="1" si="56"/>
        <v>0.53163580225225515</v>
      </c>
      <c r="I502" s="11">
        <f t="shared" ca="1" si="57"/>
        <v>34.372611074887487</v>
      </c>
      <c r="J502" s="11">
        <f t="shared" ca="1" si="58"/>
        <v>-31.802569308387309</v>
      </c>
      <c r="K502" s="11">
        <f t="shared" ca="1" si="59"/>
        <v>4.0343516995282069</v>
      </c>
      <c r="L502" s="20">
        <f t="shared" ca="1" si="60"/>
        <v>-1.4643099330280283</v>
      </c>
    </row>
    <row r="503" spans="4:12" x14ac:dyDescent="0.25">
      <c r="D503" s="22">
        <f t="shared" ca="1" si="62"/>
        <v>5.7772450635699066E-2</v>
      </c>
      <c r="E503" s="11">
        <v>1.3916666666666668</v>
      </c>
      <c r="F503" s="11">
        <f t="shared" ca="1" si="63"/>
        <v>64.48235316281513</v>
      </c>
      <c r="G503" s="11">
        <f t="shared" ca="1" si="61"/>
        <v>2.4734541914436043</v>
      </c>
      <c r="H503" s="11">
        <f t="shared" ca="1" si="56"/>
        <v>0.52303132646112771</v>
      </c>
      <c r="I503" s="11">
        <f t="shared" ca="1" si="57"/>
        <v>33.72629070808209</v>
      </c>
      <c r="J503" s="11">
        <f t="shared" ca="1" si="58"/>
        <v>-31.252836516638485</v>
      </c>
      <c r="K503" s="11">
        <f t="shared" ca="1" si="59"/>
        <v>3.9140126666479902</v>
      </c>
      <c r="L503" s="20">
        <f t="shared" ca="1" si="60"/>
        <v>-1.4405584752043858</v>
      </c>
    </row>
    <row r="504" spans="4:12" x14ac:dyDescent="0.25">
      <c r="D504" s="22">
        <f t="shared" ca="1" si="62"/>
        <v>5.6220045183429379E-2</v>
      </c>
      <c r="E504" s="11">
        <v>1.3944444444444446</v>
      </c>
      <c r="F504" s="11">
        <f t="shared" ca="1" si="63"/>
        <v>64.549825945278528</v>
      </c>
      <c r="G504" s="11">
        <f t="shared" ca="1" si="61"/>
        <v>2.5038635340122717</v>
      </c>
      <c r="H504" s="11">
        <f t="shared" ca="1" si="56"/>
        <v>0.52280183252996149</v>
      </c>
      <c r="I504" s="11">
        <f t="shared" ca="1" si="57"/>
        <v>33.746767293681671</v>
      </c>
      <c r="J504" s="11">
        <f t="shared" ca="1" si="58"/>
        <v>-31.242903759669399</v>
      </c>
      <c r="K504" s="11">
        <f t="shared" ca="1" si="59"/>
        <v>3.9073086723177526</v>
      </c>
      <c r="L504" s="20">
        <f t="shared" ca="1" si="60"/>
        <v>-1.4034451383054809</v>
      </c>
    </row>
    <row r="505" spans="4:12" x14ac:dyDescent="0.25">
      <c r="D505" s="22">
        <f t="shared" ca="1" si="62"/>
        <v>5.6148761249102515E-2</v>
      </c>
      <c r="E505" s="11">
        <v>1.3972222222222224</v>
      </c>
      <c r="F505" s="11">
        <f t="shared" ca="1" si="63"/>
        <v>64.988320179376061</v>
      </c>
      <c r="G505" s="11">
        <f t="shared" ca="1" si="61"/>
        <v>2.7282358254989809</v>
      </c>
      <c r="H505" s="11">
        <f t="shared" ca="1" si="56"/>
        <v>0.53954144028533646</v>
      </c>
      <c r="I505" s="11">
        <f t="shared" ca="1" si="57"/>
        <v>35.063891871305152</v>
      </c>
      <c r="J505" s="11">
        <f t="shared" ca="1" si="58"/>
        <v>-32.335656045806175</v>
      </c>
      <c r="K505" s="11">
        <f t="shared" ca="1" si="59"/>
        <v>4.1249710728924152</v>
      </c>
      <c r="L505" s="20">
        <f t="shared" ca="1" si="60"/>
        <v>-1.3967352473934342</v>
      </c>
    </row>
    <row r="506" spans="4:12" x14ac:dyDescent="0.25">
      <c r="D506" s="22">
        <f t="shared" ca="1" si="62"/>
        <v>5.637507538038182E-2</v>
      </c>
      <c r="E506" s="11">
        <v>1.4000000000000001</v>
      </c>
      <c r="F506" s="11">
        <f t="shared" ca="1" si="63"/>
        <v>65.058445333542181</v>
      </c>
      <c r="G506" s="11">
        <f t="shared" ca="1" si="61"/>
        <v>2.7610071749913416</v>
      </c>
      <c r="H506" s="11">
        <f t="shared" ca="1" si="56"/>
        <v>0.54220114507800121</v>
      </c>
      <c r="I506" s="11">
        <f t="shared" ca="1" si="57"/>
        <v>35.274763556841116</v>
      </c>
      <c r="J506" s="11">
        <f t="shared" ca="1" si="58"/>
        <v>-32.513756381849774</v>
      </c>
      <c r="K506" s="11">
        <f t="shared" ca="1" si="59"/>
        <v>4.1530305344373826</v>
      </c>
      <c r="L506" s="20">
        <f t="shared" ca="1" si="60"/>
        <v>-1.3920233594460409</v>
      </c>
    </row>
    <row r="507" spans="4:12" x14ac:dyDescent="0.25">
      <c r="D507" s="22">
        <f t="shared" ca="1" si="62"/>
        <v>5.7652818985800984E-2</v>
      </c>
      <c r="E507" s="11">
        <v>1.4027777777777779</v>
      </c>
      <c r="F507" s="11">
        <f t="shared" ca="1" si="63"/>
        <v>65.198982320572313</v>
      </c>
      <c r="G507" s="11">
        <f t="shared" ca="1" si="61"/>
        <v>2.8319991019028521</v>
      </c>
      <c r="H507" s="11">
        <f t="shared" ca="1" si="56"/>
        <v>0.54924439279365056</v>
      </c>
      <c r="I507" s="11">
        <f t="shared" ca="1" si="57"/>
        <v>35.810175455426695</v>
      </c>
      <c r="J507" s="11">
        <f t="shared" ca="1" si="58"/>
        <v>-32.978176353523843</v>
      </c>
      <c r="K507" s="11">
        <f t="shared" ca="1" si="59"/>
        <v>4.239469136099153</v>
      </c>
      <c r="L507" s="20">
        <f t="shared" ca="1" si="60"/>
        <v>-1.4074700341963009</v>
      </c>
    </row>
    <row r="508" spans="4:12" x14ac:dyDescent="0.25">
      <c r="D508" s="22">
        <f t="shared" ca="1" si="62"/>
        <v>5.6321298432986062E-2</v>
      </c>
      <c r="E508" s="11">
        <v>1.4055555555555557</v>
      </c>
      <c r="F508" s="11">
        <f t="shared" ca="1" si="63"/>
        <v>65.424836774824314</v>
      </c>
      <c r="G508" s="11">
        <f t="shared" ca="1" si="61"/>
        <v>2.9508886194576505</v>
      </c>
      <c r="H508" s="11">
        <f t="shared" ca="1" si="56"/>
        <v>0.55564449671775451</v>
      </c>
      <c r="I508" s="11">
        <f t="shared" ca="1" si="57"/>
        <v>36.352950502588492</v>
      </c>
      <c r="J508" s="11">
        <f t="shared" ca="1" si="58"/>
        <v>-33.402061883130841</v>
      </c>
      <c r="K508" s="11">
        <f t="shared" ca="1" si="59"/>
        <v>4.3246839734958611</v>
      </c>
      <c r="L508" s="20">
        <f t="shared" ca="1" si="60"/>
        <v>-1.3737953540382106</v>
      </c>
    </row>
    <row r="509" spans="4:12" x14ac:dyDescent="0.25">
      <c r="D509" s="22">
        <f t="shared" ca="1" si="62"/>
        <v>5.6148806423517487E-2</v>
      </c>
      <c r="E509" s="11">
        <v>1.4083333333333334</v>
      </c>
      <c r="F509" s="11">
        <f t="shared" ca="1" si="63"/>
        <v>66.613516543141529</v>
      </c>
      <c r="G509" s="11">
        <f t="shared" ca="1" si="61"/>
        <v>3.6061619017129303</v>
      </c>
      <c r="H509" s="11">
        <f t="shared" ca="1" si="56"/>
        <v>0.60074002417042105</v>
      </c>
      <c r="I509" s="11">
        <f t="shared" ca="1" si="57"/>
        <v>40.017405538203583</v>
      </c>
      <c r="J509" s="11">
        <f t="shared" ca="1" si="58"/>
        <v>-36.411243636490653</v>
      </c>
      <c r="K509" s="11">
        <f t="shared" ca="1" si="59"/>
        <v>4.9941530305093131</v>
      </c>
      <c r="L509" s="20">
        <f t="shared" ca="1" si="60"/>
        <v>-1.3879911287963829</v>
      </c>
    </row>
    <row r="510" spans="4:12" x14ac:dyDescent="0.25">
      <c r="D510" s="22">
        <f t="shared" ca="1" si="62"/>
        <v>5.5509323977893259E-2</v>
      </c>
      <c r="E510" s="11">
        <v>1.4111111111111112</v>
      </c>
      <c r="F510" s="11">
        <f t="shared" ca="1" si="63"/>
        <v>66.042830988689587</v>
      </c>
      <c r="G510" s="11">
        <f t="shared" ca="1" si="61"/>
        <v>3.2577134719609262</v>
      </c>
      <c r="H510" s="11">
        <f t="shared" ca="1" si="56"/>
        <v>0.57768406134793526</v>
      </c>
      <c r="I510" s="11">
        <f t="shared" ca="1" si="57"/>
        <v>38.151890828461475</v>
      </c>
      <c r="J510" s="11">
        <f t="shared" ca="1" si="58"/>
        <v>-34.894177356500549</v>
      </c>
      <c r="K510" s="11">
        <f t="shared" ca="1" si="59"/>
        <v>4.6302912992881531</v>
      </c>
      <c r="L510" s="20">
        <f t="shared" ca="1" si="60"/>
        <v>-1.3725778273272269</v>
      </c>
    </row>
    <row r="511" spans="4:12" x14ac:dyDescent="0.25">
      <c r="D511" s="22">
        <f t="shared" ca="1" si="62"/>
        <v>5.5988785034696308E-2</v>
      </c>
      <c r="E511" s="11">
        <v>1.413888888888889</v>
      </c>
      <c r="F511" s="11">
        <f t="shared" ca="1" si="63"/>
        <v>66.037750971843892</v>
      </c>
      <c r="G511" s="11">
        <f t="shared" ca="1" si="61"/>
        <v>3.2493515090713672</v>
      </c>
      <c r="H511" s="11">
        <f t="shared" ca="1" si="56"/>
        <v>0.57785113000233246</v>
      </c>
      <c r="I511" s="11">
        <f t="shared" ca="1" si="57"/>
        <v>38.159989021892621</v>
      </c>
      <c r="J511" s="11">
        <f t="shared" ca="1" si="58"/>
        <v>-34.910637512821253</v>
      </c>
      <c r="K511" s="11">
        <f t="shared" ca="1" si="59"/>
        <v>4.6222426046536498</v>
      </c>
      <c r="L511" s="20">
        <f t="shared" ca="1" si="60"/>
        <v>-1.3728910955822826</v>
      </c>
    </row>
    <row r="512" spans="4:12" x14ac:dyDescent="0.25">
      <c r="D512" s="22">
        <f t="shared" ca="1" si="62"/>
        <v>5.6509638831504644E-2</v>
      </c>
      <c r="E512" s="11">
        <v>1.4166666666666667</v>
      </c>
      <c r="F512" s="11">
        <f t="shared" ca="1" si="63"/>
        <v>65.547434908879268</v>
      </c>
      <c r="G512" s="11">
        <f t="shared" ca="1" si="61"/>
        <v>2.9605414225824092</v>
      </c>
      <c r="H512" s="11">
        <f t="shared" ca="1" si="56"/>
        <v>0.55909908694058497</v>
      </c>
      <c r="I512" s="11">
        <f t="shared" ca="1" si="57"/>
        <v>36.647511008851822</v>
      </c>
      <c r="J512" s="11">
        <f t="shared" ca="1" si="58"/>
        <v>-33.686969586269413</v>
      </c>
      <c r="K512" s="11">
        <f t="shared" ca="1" si="59"/>
        <v>4.3389843939921153</v>
      </c>
      <c r="L512" s="20">
        <f t="shared" ca="1" si="60"/>
        <v>-1.3784429714097062</v>
      </c>
    </row>
    <row r="513" spans="4:12" x14ac:dyDescent="0.25">
      <c r="D513" s="22">
        <f t="shared" ca="1" si="62"/>
        <v>5.6911985035986955E-2</v>
      </c>
      <c r="E513" s="11">
        <v>1.4194444444444445</v>
      </c>
      <c r="F513" s="11">
        <f t="shared" ca="1" si="63"/>
        <v>66.065557941435557</v>
      </c>
      <c r="G513" s="11">
        <f t="shared" ca="1" si="61"/>
        <v>3.2448975818398864</v>
      </c>
      <c r="H513" s="11">
        <f t="shared" ca="1" si="56"/>
        <v>0.57959053654362724</v>
      </c>
      <c r="I513" s="11">
        <f t="shared" ca="1" si="57"/>
        <v>38.290972174330726</v>
      </c>
      <c r="J513" s="11">
        <f t="shared" ca="1" si="58"/>
        <v>-35.046074592490839</v>
      </c>
      <c r="K513" s="11">
        <f t="shared" ca="1" si="59"/>
        <v>4.6270994619248063</v>
      </c>
      <c r="L513" s="20">
        <f t="shared" ca="1" si="60"/>
        <v>-1.3822018800849198</v>
      </c>
    </row>
    <row r="514" spans="4:12" x14ac:dyDescent="0.25">
      <c r="D514" s="22">
        <f t="shared" ca="1" si="62"/>
        <v>5.7804529195418383E-2</v>
      </c>
      <c r="E514" s="11">
        <v>1.4222222222222223</v>
      </c>
      <c r="F514" s="11">
        <f t="shared" ca="1" si="63"/>
        <v>66.988249436875037</v>
      </c>
      <c r="G514" s="11">
        <f t="shared" ca="1" si="61"/>
        <v>3.7740531060462033</v>
      </c>
      <c r="H514" s="11">
        <f t="shared" ref="H514:H577" ca="1" si="64">BSGreeks(F514,$B$3,$B$6 - E514,D514, $B$5,$H$1)</f>
        <v>0.61583077054159885</v>
      </c>
      <c r="I514" s="11">
        <f t="shared" ref="I514:I577" ca="1" si="65">F514*H514</f>
        <v>41.253425267943577</v>
      </c>
      <c r="J514" s="11">
        <f t="shared" ref="J514:J577" ca="1" si="66">G514 - I514</f>
        <v>-37.479372161897373</v>
      </c>
      <c r="K514" s="11">
        <f t="shared" ref="K514:K577" ca="1" si="67">BSCall(F514,$B$3, $B$6 - E514,D514,$B$5)</f>
        <v>5.1817699899031533</v>
      </c>
      <c r="L514" s="20">
        <f t="shared" ref="L514:L577" ca="1" si="68">G514 - K514</f>
        <v>-1.40771688385695</v>
      </c>
    </row>
    <row r="515" spans="4:12" x14ac:dyDescent="0.25">
      <c r="D515" s="22">
        <f t="shared" ca="1" si="62"/>
        <v>5.7639067161913776E-2</v>
      </c>
      <c r="E515" s="11">
        <v>1.425</v>
      </c>
      <c r="F515" s="11">
        <f t="shared" ca="1" si="63"/>
        <v>68.608214189211253</v>
      </c>
      <c r="G515" s="11">
        <f t="shared" ref="G515:G578" ca="1" si="69" xml:space="preserve"> H514*F515 + J514* EXP(D515*(E515 - E514))</f>
        <v>4.7656760005116539</v>
      </c>
      <c r="H515" s="11">
        <f t="shared" ca="1" si="64"/>
        <v>0.67392104667348018</v>
      </c>
      <c r="I515" s="11">
        <f t="shared" ca="1" si="65"/>
        <v>46.23651951679156</v>
      </c>
      <c r="J515" s="11">
        <f t="shared" ca="1" si="66"/>
        <v>-41.470843516279906</v>
      </c>
      <c r="K515" s="11">
        <f t="shared" ca="1" si="67"/>
        <v>6.2080967882885991</v>
      </c>
      <c r="L515" s="20">
        <f t="shared" ca="1" si="68"/>
        <v>-1.4424207877769453</v>
      </c>
    </row>
    <row r="516" spans="4:12" x14ac:dyDescent="0.25">
      <c r="D516" s="22">
        <f t="shared" ref="D516:D579" ca="1" si="70">D515*1.002 + $B$5*D515*SQRT(E516-E515)*_xlfn.NORM.S.INV(RAND())</f>
        <v>5.7025682076434367E-2</v>
      </c>
      <c r="E516" s="11">
        <v>1.4277777777777778</v>
      </c>
      <c r="F516" s="11">
        <f t="shared" ref="F516:F579" ca="1" si="71">F515 + D515*F515*(E516-E515) + $B$5*F515*SQRT(E516-E515)*_xlfn.NORM.S.INV(RAND())</f>
        <v>69.351941468676372</v>
      </c>
      <c r="G516" s="11">
        <f t="shared" ca="1" si="69"/>
        <v>5.2603197714241148</v>
      </c>
      <c r="H516" s="11">
        <f t="shared" ca="1" si="64"/>
        <v>0.69825198120350873</v>
      </c>
      <c r="I516" s="11">
        <f t="shared" ca="1" si="65"/>
        <v>48.42513053081305</v>
      </c>
      <c r="J516" s="11">
        <f t="shared" ca="1" si="66"/>
        <v>-43.164810759388935</v>
      </c>
      <c r="K516" s="11">
        <f t="shared" ca="1" si="67"/>
        <v>6.6885495983056096</v>
      </c>
      <c r="L516" s="20">
        <f t="shared" ca="1" si="68"/>
        <v>-1.4282298268814948</v>
      </c>
    </row>
    <row r="517" spans="4:12" x14ac:dyDescent="0.25">
      <c r="D517" s="22">
        <f t="shared" ca="1" si="70"/>
        <v>5.7964010521978221E-2</v>
      </c>
      <c r="E517" s="11">
        <v>1.4305555555555556</v>
      </c>
      <c r="F517" s="11">
        <f t="shared" ca="1" si="71"/>
        <v>71.25491108190559</v>
      </c>
      <c r="G517" s="11">
        <f t="shared" ca="1" si="69"/>
        <v>6.5821214990836268</v>
      </c>
      <c r="H517" s="11">
        <f t="shared" ca="1" si="64"/>
        <v>0.7587002736964974</v>
      </c>
      <c r="I517" s="11">
        <f t="shared" ca="1" si="65"/>
        <v>54.061120540061353</v>
      </c>
      <c r="J517" s="11">
        <f t="shared" ca="1" si="66"/>
        <v>-47.478999040977726</v>
      </c>
      <c r="K517" s="11">
        <f t="shared" ca="1" si="67"/>
        <v>8.0840488713789735</v>
      </c>
      <c r="L517" s="20">
        <f t="shared" ca="1" si="68"/>
        <v>-1.5019273722953468</v>
      </c>
    </row>
    <row r="518" spans="4:12" x14ac:dyDescent="0.25">
      <c r="D518" s="22">
        <f t="shared" ca="1" si="70"/>
        <v>5.8471238335278362E-2</v>
      </c>
      <c r="E518" s="11">
        <v>1.4333333333333333</v>
      </c>
      <c r="F518" s="11">
        <f t="shared" ca="1" si="71"/>
        <v>70.83984712419209</v>
      </c>
      <c r="G518" s="11">
        <f t="shared" ca="1" si="69"/>
        <v>6.2595001903959115</v>
      </c>
      <c r="H518" s="11">
        <f t="shared" ca="1" si="64"/>
        <v>0.74713893980190393</v>
      </c>
      <c r="I518" s="11">
        <f t="shared" ca="1" si="65"/>
        <v>52.927208276097829</v>
      </c>
      <c r="J518" s="11">
        <f t="shared" ca="1" si="66"/>
        <v>-46.667708085701918</v>
      </c>
      <c r="K518" s="11">
        <f t="shared" ca="1" si="67"/>
        <v>7.7690176369973578</v>
      </c>
      <c r="L518" s="20">
        <f t="shared" ca="1" si="68"/>
        <v>-1.5095174466014463</v>
      </c>
    </row>
    <row r="519" spans="4:12" x14ac:dyDescent="0.25">
      <c r="D519" s="22">
        <f t="shared" ca="1" si="70"/>
        <v>5.843472008414146E-2</v>
      </c>
      <c r="E519" s="11">
        <v>1.4361111111111111</v>
      </c>
      <c r="F519" s="11">
        <f t="shared" ca="1" si="71"/>
        <v>71.197428771485036</v>
      </c>
      <c r="G519" s="11">
        <f t="shared" ca="1" si="69"/>
        <v>6.5190877082647418</v>
      </c>
      <c r="H519" s="11">
        <f t="shared" ca="1" si="64"/>
        <v>0.75775142274090945</v>
      </c>
      <c r="I519" s="11">
        <f t="shared" ca="1" si="65"/>
        <v>53.949952947087347</v>
      </c>
      <c r="J519" s="11">
        <f t="shared" ca="1" si="66"/>
        <v>-47.430865238822605</v>
      </c>
      <c r="K519" s="11">
        <f t="shared" ca="1" si="67"/>
        <v>8.0214566631081112</v>
      </c>
      <c r="L519" s="20">
        <f t="shared" ca="1" si="68"/>
        <v>-1.5023689548433694</v>
      </c>
    </row>
    <row r="520" spans="4:12" x14ac:dyDescent="0.25">
      <c r="D520" s="22">
        <f t="shared" ca="1" si="70"/>
        <v>5.8639125466022797E-2</v>
      </c>
      <c r="E520" s="11">
        <v>1.4388888888888889</v>
      </c>
      <c r="F520" s="11">
        <f t="shared" ca="1" si="71"/>
        <v>70.78884660342959</v>
      </c>
      <c r="G520" s="11">
        <f t="shared" ca="1" si="69"/>
        <v>6.2017575141463368</v>
      </c>
      <c r="H520" s="11">
        <f t="shared" ca="1" si="64"/>
        <v>0.74592195912562653</v>
      </c>
      <c r="I520" s="11">
        <f t="shared" ca="1" si="65"/>
        <v>52.802955142673653</v>
      </c>
      <c r="J520" s="11">
        <f t="shared" ca="1" si="66"/>
        <v>-46.601197628527316</v>
      </c>
      <c r="K520" s="11">
        <f t="shared" ca="1" si="67"/>
        <v>7.7037657127825057</v>
      </c>
      <c r="L520" s="20">
        <f t="shared" ca="1" si="68"/>
        <v>-1.5020081986361689</v>
      </c>
    </row>
    <row r="521" spans="4:12" x14ac:dyDescent="0.25">
      <c r="D521" s="22">
        <f t="shared" ca="1" si="70"/>
        <v>5.8859210351518504E-2</v>
      </c>
      <c r="E521" s="11">
        <v>1.4416666666666667</v>
      </c>
      <c r="F521" s="11">
        <f t="shared" ca="1" si="71"/>
        <v>72.044567060649044</v>
      </c>
      <c r="G521" s="11">
        <f t="shared" ca="1" si="69"/>
        <v>7.1308071612209076</v>
      </c>
      <c r="H521" s="11">
        <f t="shared" ca="1" si="64"/>
        <v>0.78241514370857945</v>
      </c>
      <c r="I521" s="11">
        <f t="shared" ca="1" si="65"/>
        <v>56.368760290180113</v>
      </c>
      <c r="J521" s="11">
        <f t="shared" ca="1" si="66"/>
        <v>-49.237953128959205</v>
      </c>
      <c r="K521" s="11">
        <f t="shared" ca="1" si="67"/>
        <v>8.6537117449596135</v>
      </c>
      <c r="L521" s="20">
        <f t="shared" ca="1" si="68"/>
        <v>-1.5229045837387059</v>
      </c>
    </row>
    <row r="522" spans="4:12" x14ac:dyDescent="0.25">
      <c r="D522" s="22">
        <f t="shared" ca="1" si="70"/>
        <v>5.9378764849597455E-2</v>
      </c>
      <c r="E522" s="11">
        <v>1.4444444444444444</v>
      </c>
      <c r="F522" s="11">
        <f t="shared" ca="1" si="71"/>
        <v>70.977871321248983</v>
      </c>
      <c r="G522" s="11">
        <f t="shared" ca="1" si="69"/>
        <v>6.2880862332852203</v>
      </c>
      <c r="H522" s="11">
        <f t="shared" ca="1" si="64"/>
        <v>0.75261014608262289</v>
      </c>
      <c r="I522" s="11">
        <f t="shared" ca="1" si="65"/>
        <v>53.418666103718806</v>
      </c>
      <c r="J522" s="11">
        <f t="shared" ca="1" si="66"/>
        <v>-47.130579870433586</v>
      </c>
      <c r="K522" s="11">
        <f t="shared" ca="1" si="67"/>
        <v>7.8324835773824883</v>
      </c>
      <c r="L522" s="20">
        <f t="shared" ca="1" si="68"/>
        <v>-1.544397344097268</v>
      </c>
    </row>
    <row r="523" spans="4:12" x14ac:dyDescent="0.25">
      <c r="D523" s="22">
        <f t="shared" ca="1" si="70"/>
        <v>5.9701206017405431E-2</v>
      </c>
      <c r="E523" s="11">
        <v>1.4472222222222222</v>
      </c>
      <c r="F523" s="11">
        <f t="shared" ca="1" si="71"/>
        <v>71.031260703370933</v>
      </c>
      <c r="G523" s="11">
        <f t="shared" ca="1" si="69"/>
        <v>6.3204509967878693</v>
      </c>
      <c r="H523" s="11">
        <f t="shared" ca="1" si="64"/>
        <v>0.75465511984365308</v>
      </c>
      <c r="I523" s="11">
        <f t="shared" ca="1" si="65"/>
        <v>53.604104558748155</v>
      </c>
      <c r="J523" s="11">
        <f t="shared" ca="1" si="66"/>
        <v>-47.283653561960286</v>
      </c>
      <c r="K523" s="11">
        <f t="shared" ca="1" si="67"/>
        <v>7.8649727420879998</v>
      </c>
      <c r="L523" s="20">
        <f t="shared" ca="1" si="68"/>
        <v>-1.5445217453001305</v>
      </c>
    </row>
    <row r="524" spans="4:12" x14ac:dyDescent="0.25">
      <c r="D524" s="22">
        <f t="shared" ca="1" si="70"/>
        <v>5.9273967879829734E-2</v>
      </c>
      <c r="E524" s="11">
        <v>1.45</v>
      </c>
      <c r="F524" s="11">
        <f t="shared" ca="1" si="71"/>
        <v>70.659929091849833</v>
      </c>
      <c r="G524" s="11">
        <f t="shared" ca="1" si="69"/>
        <v>6.0324378046979987</v>
      </c>
      <c r="H524" s="11">
        <f t="shared" ca="1" si="64"/>
        <v>0.74297220944289899</v>
      </c>
      <c r="I524" s="11">
        <f t="shared" ca="1" si="65"/>
        <v>52.498363636450243</v>
      </c>
      <c r="J524" s="11">
        <f t="shared" ca="1" si="66"/>
        <v>-46.465925831752244</v>
      </c>
      <c r="K524" s="11">
        <f t="shared" ca="1" si="67"/>
        <v>7.5602869377428243</v>
      </c>
      <c r="L524" s="20">
        <f t="shared" ca="1" si="68"/>
        <v>-1.5278491330448256</v>
      </c>
    </row>
    <row r="525" spans="4:12" x14ac:dyDescent="0.25">
      <c r="D525" s="22">
        <f t="shared" ca="1" si="70"/>
        <v>6.0245088492936603E-2</v>
      </c>
      <c r="E525" s="11">
        <v>1.4527777777777777</v>
      </c>
      <c r="F525" s="11">
        <f t="shared" ca="1" si="71"/>
        <v>70.168211478402839</v>
      </c>
      <c r="G525" s="11">
        <f t="shared" ca="1" si="69"/>
        <v>5.6593286772959175</v>
      </c>
      <c r="H525" s="11">
        <f t="shared" ca="1" si="64"/>
        <v>0.72876858572244541</v>
      </c>
      <c r="I525" s="11">
        <f t="shared" ca="1" si="65"/>
        <v>51.136388241789099</v>
      </c>
      <c r="J525" s="11">
        <f t="shared" ca="1" si="66"/>
        <v>-45.477059564493182</v>
      </c>
      <c r="K525" s="11">
        <f t="shared" ca="1" si="67"/>
        <v>7.2060877899082616</v>
      </c>
      <c r="L525" s="20">
        <f t="shared" ca="1" si="68"/>
        <v>-1.5467591126123441</v>
      </c>
    </row>
    <row r="526" spans="4:12" x14ac:dyDescent="0.25">
      <c r="D526" s="22">
        <f t="shared" ca="1" si="70"/>
        <v>5.9958629362397077E-2</v>
      </c>
      <c r="E526" s="11">
        <v>1.4555555555555557</v>
      </c>
      <c r="F526" s="11">
        <f t="shared" ca="1" si="71"/>
        <v>70.624383149596284</v>
      </c>
      <c r="G526" s="11">
        <f t="shared" ca="1" si="69"/>
        <v>5.9841973463933158</v>
      </c>
      <c r="H526" s="11">
        <f t="shared" ca="1" si="64"/>
        <v>0.74279569619724195</v>
      </c>
      <c r="I526" s="11">
        <f t="shared" ca="1" si="65"/>
        <v>52.459487850105134</v>
      </c>
      <c r="J526" s="11">
        <f t="shared" ca="1" si="66"/>
        <v>-46.475290503711818</v>
      </c>
      <c r="K526" s="11">
        <f t="shared" ca="1" si="67"/>
        <v>7.5187240363172032</v>
      </c>
      <c r="L526" s="20">
        <f t="shared" ca="1" si="68"/>
        <v>-1.5345266899238874</v>
      </c>
    </row>
    <row r="527" spans="4:12" x14ac:dyDescent="0.25">
      <c r="D527" s="22">
        <f t="shared" ca="1" si="70"/>
        <v>6.1503023576911335E-2</v>
      </c>
      <c r="E527" s="11">
        <v>1.4583333333333335</v>
      </c>
      <c r="F527" s="11">
        <f t="shared" ca="1" si="71"/>
        <v>69.153508614591885</v>
      </c>
      <c r="G527" s="11">
        <f t="shared" ca="1" si="69"/>
        <v>4.8836974747403303</v>
      </c>
      <c r="H527" s="11">
        <f t="shared" ca="1" si="64"/>
        <v>0.69667055567159686</v>
      </c>
      <c r="I527" s="11">
        <f t="shared" ca="1" si="65"/>
        <v>48.177213273168292</v>
      </c>
      <c r="J527" s="11">
        <f t="shared" ca="1" si="66"/>
        <v>-43.293515798427961</v>
      </c>
      <c r="K527" s="11">
        <f t="shared" ca="1" si="67"/>
        <v>6.4796633696605346</v>
      </c>
      <c r="L527" s="20">
        <f t="shared" ca="1" si="68"/>
        <v>-1.5959658949202042</v>
      </c>
    </row>
    <row r="528" spans="4:12" x14ac:dyDescent="0.25">
      <c r="D528" s="22">
        <f t="shared" ca="1" si="70"/>
        <v>6.1999283615106197E-2</v>
      </c>
      <c r="E528" s="11">
        <v>1.4611111111111112</v>
      </c>
      <c r="F528" s="11">
        <f t="shared" ca="1" si="71"/>
        <v>68.848937190826234</v>
      </c>
      <c r="G528" s="11">
        <f t="shared" ca="1" si="69"/>
        <v>4.6640548702819302</v>
      </c>
      <c r="H528" s="11">
        <f t="shared" ca="1" si="64"/>
        <v>0.68665421250441583</v>
      </c>
      <c r="I528" s="11">
        <f t="shared" ca="1" si="65"/>
        <v>47.275412748532773</v>
      </c>
      <c r="J528" s="11">
        <f t="shared" ca="1" si="66"/>
        <v>-42.611357878250843</v>
      </c>
      <c r="K528" s="11">
        <f t="shared" ca="1" si="67"/>
        <v>6.2638137661265594</v>
      </c>
      <c r="L528" s="20">
        <f t="shared" ca="1" si="68"/>
        <v>-1.5997588958446292</v>
      </c>
    </row>
    <row r="529" spans="4:12" x14ac:dyDescent="0.25">
      <c r="D529" s="22">
        <f t="shared" ca="1" si="70"/>
        <v>6.2146945684764393E-2</v>
      </c>
      <c r="E529" s="11">
        <v>1.463888888888889</v>
      </c>
      <c r="F529" s="11">
        <f t="shared" ca="1" si="71"/>
        <v>68.323672678545989</v>
      </c>
      <c r="G529" s="11">
        <f t="shared" ca="1" si="69"/>
        <v>4.2960231293185984</v>
      </c>
      <c r="H529" s="11">
        <f t="shared" ca="1" si="64"/>
        <v>0.66797715246822853</v>
      </c>
      <c r="I529" s="11">
        <f t="shared" ca="1" si="65"/>
        <v>45.638652321986456</v>
      </c>
      <c r="J529" s="11">
        <f t="shared" ca="1" si="66"/>
        <v>-41.342629192667857</v>
      </c>
      <c r="K529" s="11">
        <f t="shared" ca="1" si="67"/>
        <v>5.8949325795897396</v>
      </c>
      <c r="L529" s="20">
        <f t="shared" ca="1" si="68"/>
        <v>-1.5989094502711412</v>
      </c>
    </row>
    <row r="530" spans="4:12" x14ac:dyDescent="0.25">
      <c r="D530" s="22">
        <f t="shared" ca="1" si="70"/>
        <v>6.1458848444886631E-2</v>
      </c>
      <c r="E530" s="11">
        <v>1.4666666666666668</v>
      </c>
      <c r="F530" s="11">
        <f t="shared" ca="1" si="71"/>
        <v>68.417492742791822</v>
      </c>
      <c r="G530" s="11">
        <f t="shared" ca="1" si="69"/>
        <v>4.3516342128955188</v>
      </c>
      <c r="H530" s="11">
        <f t="shared" ca="1" si="64"/>
        <v>0.67031533494296303</v>
      </c>
      <c r="I530" s="11">
        <f t="shared" ca="1" si="65"/>
        <v>45.861294563842243</v>
      </c>
      <c r="J530" s="11">
        <f t="shared" ca="1" si="66"/>
        <v>-41.509660350946724</v>
      </c>
      <c r="K530" s="11">
        <f t="shared" ca="1" si="67"/>
        <v>5.9267987416971826</v>
      </c>
      <c r="L530" s="20">
        <f t="shared" ca="1" si="68"/>
        <v>-1.5751645288016638</v>
      </c>
    </row>
    <row r="531" spans="4:12" x14ac:dyDescent="0.25">
      <c r="D531" s="22">
        <f t="shared" ca="1" si="70"/>
        <v>6.0610928776384174E-2</v>
      </c>
      <c r="E531" s="11">
        <v>1.4694444444444446</v>
      </c>
      <c r="F531" s="11">
        <f t="shared" ca="1" si="71"/>
        <v>68.278217430138511</v>
      </c>
      <c r="G531" s="11">
        <f t="shared" ca="1" si="69"/>
        <v>4.2512865270579567</v>
      </c>
      <c r="H531" s="11">
        <f t="shared" ca="1" si="64"/>
        <v>0.66396441445547505</v>
      </c>
      <c r="I531" s="11">
        <f t="shared" ca="1" si="65"/>
        <v>45.334306656065529</v>
      </c>
      <c r="J531" s="11">
        <f t="shared" ca="1" si="66"/>
        <v>-41.083020129007572</v>
      </c>
      <c r="K531" s="11">
        <f t="shared" ca="1" si="67"/>
        <v>5.7997632292834966</v>
      </c>
      <c r="L531" s="20">
        <f t="shared" ca="1" si="68"/>
        <v>-1.5484767022255399</v>
      </c>
    </row>
    <row r="532" spans="4:12" x14ac:dyDescent="0.25">
      <c r="D532" s="22">
        <f t="shared" ca="1" si="70"/>
        <v>6.2118956816808193E-2</v>
      </c>
      <c r="E532" s="11">
        <v>1.4722222222222223</v>
      </c>
      <c r="F532" s="11">
        <f t="shared" ca="1" si="71"/>
        <v>67.774137066951312</v>
      </c>
      <c r="G532" s="11">
        <f t="shared" ca="1" si="69"/>
        <v>3.9095055079144245</v>
      </c>
      <c r="H532" s="11">
        <f t="shared" ca="1" si="64"/>
        <v>0.64704559351885527</v>
      </c>
      <c r="I532" s="11">
        <f t="shared" ca="1" si="65"/>
        <v>43.852956743713762</v>
      </c>
      <c r="J532" s="11">
        <f t="shared" ca="1" si="66"/>
        <v>-39.943451235799337</v>
      </c>
      <c r="K532" s="11">
        <f t="shared" ca="1" si="67"/>
        <v>5.4841945271284951</v>
      </c>
      <c r="L532" s="20">
        <f t="shared" ca="1" si="68"/>
        <v>-1.5746890192140706</v>
      </c>
    </row>
    <row r="533" spans="4:12" x14ac:dyDescent="0.25">
      <c r="D533" s="22">
        <f t="shared" ca="1" si="70"/>
        <v>6.1407052978922107E-2</v>
      </c>
      <c r="E533" s="11">
        <v>1.4750000000000001</v>
      </c>
      <c r="F533" s="11">
        <f t="shared" ca="1" si="71"/>
        <v>67.995173350057541</v>
      </c>
      <c r="G533" s="11">
        <f t="shared" ca="1" si="69"/>
        <v>4.0457121197053354</v>
      </c>
      <c r="H533" s="11">
        <f t="shared" ca="1" si="64"/>
        <v>0.65419423551839728</v>
      </c>
      <c r="I533" s="11">
        <f t="shared" ca="1" si="65"/>
        <v>44.482050448681797</v>
      </c>
      <c r="J533" s="11">
        <f t="shared" ca="1" si="66"/>
        <v>-40.436338328976461</v>
      </c>
      <c r="K533" s="11">
        <f t="shared" ca="1" si="67"/>
        <v>5.5972835195251438</v>
      </c>
      <c r="L533" s="20">
        <f t="shared" ca="1" si="68"/>
        <v>-1.5515713998198084</v>
      </c>
    </row>
    <row r="534" spans="4:12" x14ac:dyDescent="0.25">
      <c r="D534" s="22">
        <f t="shared" ca="1" si="70"/>
        <v>6.2342150948877996E-2</v>
      </c>
      <c r="E534" s="11">
        <v>1.4777777777777779</v>
      </c>
      <c r="F534" s="11">
        <f t="shared" ca="1" si="71"/>
        <v>67.228108619483876</v>
      </c>
      <c r="G534" s="11">
        <f t="shared" ca="1" si="69"/>
        <v>3.5368997208196546</v>
      </c>
      <c r="H534" s="11">
        <f t="shared" ca="1" si="64"/>
        <v>0.62590956524546482</v>
      </c>
      <c r="I534" s="11">
        <f t="shared" ca="1" si="65"/>
        <v>42.078716238296039</v>
      </c>
      <c r="J534" s="11">
        <f t="shared" ca="1" si="66"/>
        <v>-38.541816517476384</v>
      </c>
      <c r="K534" s="11">
        <f t="shared" ca="1" si="67"/>
        <v>5.1085895500518719</v>
      </c>
      <c r="L534" s="20">
        <f t="shared" ca="1" si="68"/>
        <v>-1.5716898292322172</v>
      </c>
    </row>
    <row r="535" spans="4:12" x14ac:dyDescent="0.25">
      <c r="D535" s="22">
        <f t="shared" ca="1" si="70"/>
        <v>6.197658691098254E-2</v>
      </c>
      <c r="E535" s="11">
        <v>1.4805555555555556</v>
      </c>
      <c r="F535" s="11">
        <f t="shared" ca="1" si="71"/>
        <v>66.355666933201022</v>
      </c>
      <c r="G535" s="11">
        <f t="shared" ca="1" si="69"/>
        <v>2.9841943024007875</v>
      </c>
      <c r="H535" s="11">
        <f t="shared" ca="1" si="64"/>
        <v>0.5903218788290614</v>
      </c>
      <c r="I535" s="11">
        <f t="shared" ca="1" si="65"/>
        <v>39.171201974962649</v>
      </c>
      <c r="J535" s="11">
        <f t="shared" ca="1" si="66"/>
        <v>-36.187007672561862</v>
      </c>
      <c r="K535" s="11">
        <f t="shared" ca="1" si="67"/>
        <v>4.5550616352898787</v>
      </c>
      <c r="L535" s="20">
        <f t="shared" ca="1" si="68"/>
        <v>-1.5708673328890912</v>
      </c>
    </row>
    <row r="536" spans="4:12" x14ac:dyDescent="0.25">
      <c r="D536" s="22">
        <f t="shared" ca="1" si="70"/>
        <v>6.1924860207774143E-2</v>
      </c>
      <c r="E536" s="11">
        <v>1.4833333333333334</v>
      </c>
      <c r="F536" s="11">
        <f t="shared" ca="1" si="71"/>
        <v>66.538057972990288</v>
      </c>
      <c r="G536" s="11">
        <f t="shared" ca="1" si="69"/>
        <v>3.085638534432654</v>
      </c>
      <c r="H536" s="11">
        <f t="shared" ca="1" si="64"/>
        <v>0.59727890794608385</v>
      </c>
      <c r="I536" s="11">
        <f t="shared" ca="1" si="65"/>
        <v>39.741778602960856</v>
      </c>
      <c r="J536" s="11">
        <f t="shared" ca="1" si="66"/>
        <v>-36.656140068528202</v>
      </c>
      <c r="K536" s="11">
        <f t="shared" ca="1" si="67"/>
        <v>4.6464873171850734</v>
      </c>
      <c r="L536" s="20">
        <f t="shared" ca="1" si="68"/>
        <v>-1.5608487827524193</v>
      </c>
    </row>
    <row r="537" spans="4:12" x14ac:dyDescent="0.25">
      <c r="D537" s="22">
        <f t="shared" ca="1" si="70"/>
        <v>6.2616139558832606E-2</v>
      </c>
      <c r="E537" s="11">
        <v>1.4861111111111112</v>
      </c>
      <c r="F537" s="11">
        <f t="shared" ca="1" si="71"/>
        <v>66.544236144590627</v>
      </c>
      <c r="G537" s="11">
        <f t="shared" ca="1" si="69"/>
        <v>3.0829523326695707</v>
      </c>
      <c r="H537" s="11">
        <f t="shared" ca="1" si="64"/>
        <v>0.59813124571035736</v>
      </c>
      <c r="I537" s="11">
        <f t="shared" ca="1" si="65"/>
        <v>39.802186860008177</v>
      </c>
      <c r="J537" s="11">
        <f t="shared" ca="1" si="66"/>
        <v>-36.719234527338607</v>
      </c>
      <c r="K537" s="11">
        <f t="shared" ca="1" si="67"/>
        <v>4.6466530761245384</v>
      </c>
      <c r="L537" s="20">
        <f t="shared" ca="1" si="68"/>
        <v>-1.5637007434549677</v>
      </c>
    </row>
    <row r="538" spans="4:12" x14ac:dyDescent="0.25">
      <c r="D538" s="22">
        <f t="shared" ca="1" si="70"/>
        <v>6.2425039514879585E-2</v>
      </c>
      <c r="E538" s="11">
        <v>1.4888888888888889</v>
      </c>
      <c r="F538" s="11">
        <f t="shared" ca="1" si="71"/>
        <v>65.028898428215399</v>
      </c>
      <c r="G538" s="11">
        <f t="shared" ca="1" si="69"/>
        <v>2.1702137233276346</v>
      </c>
      <c r="H538" s="11">
        <f t="shared" ca="1" si="64"/>
        <v>0.53418580446994324</v>
      </c>
      <c r="I538" s="11">
        <f t="shared" ca="1" si="65"/>
        <v>34.737514420670472</v>
      </c>
      <c r="J538" s="11">
        <f t="shared" ca="1" si="66"/>
        <v>-32.567300697342837</v>
      </c>
      <c r="K538" s="11">
        <f t="shared" ca="1" si="67"/>
        <v>3.769271283228373</v>
      </c>
      <c r="L538" s="20">
        <f t="shared" ca="1" si="68"/>
        <v>-1.5990575599007384</v>
      </c>
    </row>
    <row r="539" spans="4:12" x14ac:dyDescent="0.25">
      <c r="D539" s="22">
        <f t="shared" ca="1" si="70"/>
        <v>6.2053113677993751E-2</v>
      </c>
      <c r="E539" s="11">
        <v>1.4916666666666667</v>
      </c>
      <c r="F539" s="11">
        <f t="shared" ca="1" si="71"/>
        <v>65.978774561658625</v>
      </c>
      <c r="G539" s="11">
        <f t="shared" ca="1" si="69"/>
        <v>2.672009968168922</v>
      </c>
      <c r="H539" s="11">
        <f t="shared" ca="1" si="64"/>
        <v>0.57330498493604587</v>
      </c>
      <c r="I539" s="11">
        <f t="shared" ca="1" si="65"/>
        <v>37.825960356170462</v>
      </c>
      <c r="J539" s="11">
        <f t="shared" ca="1" si="66"/>
        <v>-35.15395038800154</v>
      </c>
      <c r="K539" s="11">
        <f t="shared" ca="1" si="67"/>
        <v>4.2735671674306026</v>
      </c>
      <c r="L539" s="20">
        <f t="shared" ca="1" si="68"/>
        <v>-1.6015571992616806</v>
      </c>
    </row>
    <row r="540" spans="4:12" x14ac:dyDescent="0.25">
      <c r="D540" s="22">
        <f t="shared" ca="1" si="70"/>
        <v>6.2005534940569942E-2</v>
      </c>
      <c r="E540" s="11">
        <v>1.4944444444444445</v>
      </c>
      <c r="F540" s="11">
        <f t="shared" ca="1" si="71"/>
        <v>66.981820698554472</v>
      </c>
      <c r="G540" s="11">
        <f t="shared" ca="1" si="69"/>
        <v>3.2410059651654706</v>
      </c>
      <c r="H540" s="11">
        <f t="shared" ca="1" si="64"/>
        <v>0.61395085565235041</v>
      </c>
      <c r="I540" s="11">
        <f t="shared" ca="1" si="65"/>
        <v>41.123546131029833</v>
      </c>
      <c r="J540" s="11">
        <f t="shared" ca="1" si="66"/>
        <v>-37.882540165864363</v>
      </c>
      <c r="K540" s="11">
        <f t="shared" ca="1" si="67"/>
        <v>4.8522073894129649</v>
      </c>
      <c r="L540" s="20">
        <f t="shared" ca="1" si="68"/>
        <v>-1.6112014242474944</v>
      </c>
    </row>
    <row r="541" spans="4:12" x14ac:dyDescent="0.25">
      <c r="D541" s="22">
        <f t="shared" ca="1" si="70"/>
        <v>6.1732356714009624E-2</v>
      </c>
      <c r="E541" s="11">
        <v>1.4972222222222222</v>
      </c>
      <c r="F541" s="11">
        <f t="shared" ca="1" si="71"/>
        <v>66.065195975631099</v>
      </c>
      <c r="G541" s="11">
        <f t="shared" ca="1" si="69"/>
        <v>2.6717468238743081</v>
      </c>
      <c r="H541" s="11">
        <f t="shared" ca="1" si="64"/>
        <v>0.57561637302127922</v>
      </c>
      <c r="I541" s="11">
        <f t="shared" ca="1" si="65"/>
        <v>38.028208490432782</v>
      </c>
      <c r="J541" s="11">
        <f t="shared" ca="1" si="66"/>
        <v>-35.356461666558474</v>
      </c>
      <c r="K541" s="11">
        <f t="shared" ca="1" si="67"/>
        <v>4.2859665781886109</v>
      </c>
      <c r="L541" s="20">
        <f t="shared" ca="1" si="68"/>
        <v>-1.6142197543143029</v>
      </c>
    </row>
    <row r="542" spans="4:12" x14ac:dyDescent="0.25">
      <c r="D542" s="22">
        <f t="shared" ca="1" si="70"/>
        <v>6.2204086921034733E-2</v>
      </c>
      <c r="E542" s="11">
        <v>1.5</v>
      </c>
      <c r="F542" s="11">
        <f t="shared" ca="1" si="71"/>
        <v>66.930542387787554</v>
      </c>
      <c r="G542" s="11">
        <f t="shared" ca="1" si="69"/>
        <v>3.1637446469505193</v>
      </c>
      <c r="H542" s="11">
        <f t="shared" ca="1" si="64"/>
        <v>0.61152698068479527</v>
      </c>
      <c r="I542" s="11">
        <f t="shared" ca="1" si="65"/>
        <v>40.929832501999428</v>
      </c>
      <c r="J542" s="11">
        <f t="shared" ca="1" si="66"/>
        <v>-37.766087855048909</v>
      </c>
      <c r="K542" s="11">
        <f t="shared" ca="1" si="67"/>
        <v>4.7918223827795474</v>
      </c>
      <c r="L542" s="20">
        <f t="shared" ca="1" si="68"/>
        <v>-1.6280777358290281</v>
      </c>
    </row>
    <row r="543" spans="4:12" x14ac:dyDescent="0.25">
      <c r="D543" s="22">
        <f t="shared" ca="1" si="70"/>
        <v>6.2973334358187361E-2</v>
      </c>
      <c r="E543" s="11">
        <v>1.5027777777777778</v>
      </c>
      <c r="F543" s="11">
        <f t="shared" ca="1" si="71"/>
        <v>66.426425924395915</v>
      </c>
      <c r="G543" s="11">
        <f t="shared" ca="1" si="69"/>
        <v>2.848856982347499</v>
      </c>
      <c r="H543" s="11">
        <f t="shared" ca="1" si="64"/>
        <v>0.59156585888196811</v>
      </c>
      <c r="I543" s="11">
        <f t="shared" ca="1" si="65"/>
        <v>39.295605704424702</v>
      </c>
      <c r="J543" s="11">
        <f t="shared" ca="1" si="66"/>
        <v>-36.446748722077203</v>
      </c>
      <c r="K543" s="11">
        <f t="shared" ca="1" si="67"/>
        <v>4.4858677839455225</v>
      </c>
      <c r="L543" s="20">
        <f t="shared" ca="1" si="68"/>
        <v>-1.6370108015980236</v>
      </c>
    </row>
    <row r="544" spans="4:12" x14ac:dyDescent="0.25">
      <c r="D544" s="22">
        <f t="shared" ca="1" si="70"/>
        <v>6.3622456634956567E-2</v>
      </c>
      <c r="E544" s="11">
        <v>1.5055555555555555</v>
      </c>
      <c r="F544" s="11">
        <f t="shared" ca="1" si="71"/>
        <v>68.021224663490671</v>
      </c>
      <c r="G544" s="11">
        <f t="shared" ca="1" si="69"/>
        <v>3.7858436998379048</v>
      </c>
      <c r="H544" s="11">
        <f t="shared" ca="1" si="64"/>
        <v>0.65599878633317088</v>
      </c>
      <c r="I544" s="11">
        <f t="shared" ca="1" si="65"/>
        <v>44.621840824145828</v>
      </c>
      <c r="J544" s="11">
        <f t="shared" ca="1" si="66"/>
        <v>-40.835997124307923</v>
      </c>
      <c r="K544" s="11">
        <f t="shared" ca="1" si="67"/>
        <v>5.4766414593510717</v>
      </c>
      <c r="L544" s="20">
        <f t="shared" ca="1" si="68"/>
        <v>-1.6907977595131669</v>
      </c>
    </row>
    <row r="545" spans="4:12" x14ac:dyDescent="0.25">
      <c r="D545" s="22">
        <f t="shared" ca="1" si="70"/>
        <v>6.357997128398378E-2</v>
      </c>
      <c r="E545" s="11">
        <v>1.5083333333333333</v>
      </c>
      <c r="F545" s="11">
        <f t="shared" ca="1" si="71"/>
        <v>67.999343641490626</v>
      </c>
      <c r="G545" s="11">
        <f t="shared" ca="1" si="69"/>
        <v>3.7642770514894366</v>
      </c>
      <c r="H545" s="11">
        <f t="shared" ca="1" si="64"/>
        <v>0.65490626904657234</v>
      </c>
      <c r="I545" s="11">
        <f t="shared" ca="1" si="65"/>
        <v>44.533196441864391</v>
      </c>
      <c r="J545" s="11">
        <f t="shared" ca="1" si="66"/>
        <v>-40.768919390374954</v>
      </c>
      <c r="K545" s="11">
        <f t="shared" ca="1" si="67"/>
        <v>5.4446615080717056</v>
      </c>
      <c r="L545" s="20">
        <f t="shared" ca="1" si="68"/>
        <v>-1.680384456582269</v>
      </c>
    </row>
    <row r="546" spans="4:12" x14ac:dyDescent="0.25">
      <c r="D546" s="22">
        <f t="shared" ca="1" si="70"/>
        <v>6.4611331982257048E-2</v>
      </c>
      <c r="E546" s="11">
        <v>1.5111111111111111</v>
      </c>
      <c r="F546" s="11">
        <f t="shared" ca="1" si="71"/>
        <v>68.303240165208948</v>
      </c>
      <c r="G546" s="11">
        <f t="shared" ca="1" si="69"/>
        <v>3.9559830939549627</v>
      </c>
      <c r="H546" s="11">
        <f t="shared" ca="1" si="64"/>
        <v>0.66769752427436313</v>
      </c>
      <c r="I546" s="11">
        <f t="shared" ca="1" si="65"/>
        <v>45.605904358227257</v>
      </c>
      <c r="J546" s="11">
        <f t="shared" ca="1" si="66"/>
        <v>-41.649921264272294</v>
      </c>
      <c r="K546" s="11">
        <f t="shared" ca="1" si="67"/>
        <v>5.6486901580744266</v>
      </c>
      <c r="L546" s="20">
        <f t="shared" ca="1" si="68"/>
        <v>-1.6927070641194639</v>
      </c>
    </row>
    <row r="547" spans="4:12" x14ac:dyDescent="0.25">
      <c r="D547" s="22">
        <f t="shared" ca="1" si="70"/>
        <v>6.5085379195409396E-2</v>
      </c>
      <c r="E547" s="11">
        <v>1.5138888888888888</v>
      </c>
      <c r="F547" s="11">
        <f t="shared" ca="1" si="71"/>
        <v>68.171331066248428</v>
      </c>
      <c r="G547" s="11">
        <f t="shared" ca="1" si="69"/>
        <v>3.8603770318713018</v>
      </c>
      <c r="H547" s="11">
        <f t="shared" ca="1" si="64"/>
        <v>0.66308788200095903</v>
      </c>
      <c r="I547" s="11">
        <f t="shared" ca="1" si="65"/>
        <v>45.203583529904847</v>
      </c>
      <c r="J547" s="11">
        <f t="shared" ca="1" si="66"/>
        <v>-41.343206498033545</v>
      </c>
      <c r="K547" s="11">
        <f t="shared" ca="1" si="67"/>
        <v>5.5530611222777129</v>
      </c>
      <c r="L547" s="20">
        <f t="shared" ca="1" si="68"/>
        <v>-1.6926840904064111</v>
      </c>
    </row>
    <row r="548" spans="4:12" x14ac:dyDescent="0.25">
      <c r="D548" s="22">
        <f t="shared" ca="1" si="70"/>
        <v>6.5769367253960237E-2</v>
      </c>
      <c r="E548" s="11">
        <v>1.5166666666666668</v>
      </c>
      <c r="F548" s="11">
        <f t="shared" ca="1" si="71"/>
        <v>67.38675359547608</v>
      </c>
      <c r="G548" s="11">
        <f t="shared" ca="1" si="69"/>
        <v>3.3325794270442444</v>
      </c>
      <c r="H548" s="11">
        <f t="shared" ca="1" si="64"/>
        <v>0.63289829350045679</v>
      </c>
      <c r="I548" s="11">
        <f t="shared" ca="1" si="65"/>
        <v>42.648961355112583</v>
      </c>
      <c r="J548" s="11">
        <f t="shared" ca="1" si="66"/>
        <v>-39.316381928068338</v>
      </c>
      <c r="K548" s="11">
        <f t="shared" ca="1" si="67"/>
        <v>5.040319407831265</v>
      </c>
      <c r="L548" s="20">
        <f t="shared" ca="1" si="68"/>
        <v>-1.7077399807870206</v>
      </c>
    </row>
    <row r="549" spans="4:12" x14ac:dyDescent="0.25">
      <c r="D549" s="22">
        <f t="shared" ca="1" si="70"/>
        <v>6.5527237483013534E-2</v>
      </c>
      <c r="E549" s="11">
        <v>1.5194444444444446</v>
      </c>
      <c r="F549" s="11">
        <f t="shared" ca="1" si="71"/>
        <v>66.707283392207401</v>
      </c>
      <c r="G549" s="11">
        <f t="shared" ca="1" si="69"/>
        <v>2.8953868716376405</v>
      </c>
      <c r="H549" s="11">
        <f t="shared" ca="1" si="64"/>
        <v>0.60444357279952232</v>
      </c>
      <c r="I549" s="11">
        <f t="shared" ca="1" si="65"/>
        <v>40.320788705336078</v>
      </c>
      <c r="J549" s="11">
        <f t="shared" ca="1" si="66"/>
        <v>-37.425401833698437</v>
      </c>
      <c r="K549" s="11">
        <f t="shared" ca="1" si="67"/>
        <v>4.5987010488125106</v>
      </c>
      <c r="L549" s="20">
        <f t="shared" ca="1" si="68"/>
        <v>-1.7033141771748701</v>
      </c>
    </row>
    <row r="550" spans="4:12" x14ac:dyDescent="0.25">
      <c r="D550" s="22">
        <f t="shared" ca="1" si="70"/>
        <v>6.6870737099558264E-2</v>
      </c>
      <c r="E550" s="11">
        <v>1.5222222222222224</v>
      </c>
      <c r="F550" s="11">
        <f t="shared" ca="1" si="71"/>
        <v>67.529607643866441</v>
      </c>
      <c r="G550" s="11">
        <f t="shared" ca="1" si="69"/>
        <v>3.3854829895913525</v>
      </c>
      <c r="H550" s="11">
        <f t="shared" ca="1" si="64"/>
        <v>0.63952365799500055</v>
      </c>
      <c r="I550" s="11">
        <f t="shared" ca="1" si="65"/>
        <v>43.186781703372617</v>
      </c>
      <c r="J550" s="11">
        <f t="shared" ca="1" si="66"/>
        <v>-39.801298713781264</v>
      </c>
      <c r="K550" s="11">
        <f t="shared" ca="1" si="67"/>
        <v>5.1169921668066314</v>
      </c>
      <c r="L550" s="20">
        <f t="shared" ca="1" si="68"/>
        <v>-1.7315091772152789</v>
      </c>
    </row>
    <row r="551" spans="4:12" x14ac:dyDescent="0.25">
      <c r="D551" s="22">
        <f t="shared" ca="1" si="70"/>
        <v>6.73260625462936E-2</v>
      </c>
      <c r="E551" s="11">
        <v>1.5250000000000001</v>
      </c>
      <c r="F551" s="11">
        <f t="shared" ca="1" si="71"/>
        <v>67.332211831428097</v>
      </c>
      <c r="G551" s="11">
        <f t="shared" ca="1" si="69"/>
        <v>3.2517994883438206</v>
      </c>
      <c r="H551" s="11">
        <f t="shared" ca="1" si="64"/>
        <v>0.63186981898819705</v>
      </c>
      <c r="I551" s="11">
        <f t="shared" ca="1" si="65"/>
        <v>42.545192501999409</v>
      </c>
      <c r="J551" s="11">
        <f t="shared" ca="1" si="66"/>
        <v>-39.293393013655589</v>
      </c>
      <c r="K551" s="11">
        <f t="shared" ca="1" si="67"/>
        <v>4.9824670784459695</v>
      </c>
      <c r="L551" s="20">
        <f t="shared" ca="1" si="68"/>
        <v>-1.7306675901021489</v>
      </c>
    </row>
    <row r="552" spans="4:12" x14ac:dyDescent="0.25">
      <c r="D552" s="22">
        <f t="shared" ca="1" si="70"/>
        <v>6.72431861169413E-2</v>
      </c>
      <c r="E552" s="11">
        <v>1.5277777777777779</v>
      </c>
      <c r="F552" s="11">
        <f t="shared" ca="1" si="71"/>
        <v>68.195320197894361</v>
      </c>
      <c r="G552" s="11">
        <f t="shared" ca="1" si="69"/>
        <v>3.78983144974125</v>
      </c>
      <c r="H552" s="11">
        <f t="shared" ca="1" si="64"/>
        <v>0.66582943136492156</v>
      </c>
      <c r="I552" s="11">
        <f t="shared" ca="1" si="65"/>
        <v>45.40645126911275</v>
      </c>
      <c r="J552" s="11">
        <f t="shared" ca="1" si="66"/>
        <v>-41.6166198193715</v>
      </c>
      <c r="K552" s="11">
        <f t="shared" ca="1" si="67"/>
        <v>5.5237008026679062</v>
      </c>
      <c r="L552" s="20">
        <f t="shared" ca="1" si="68"/>
        <v>-1.7338693529266562</v>
      </c>
    </row>
    <row r="553" spans="4:12" x14ac:dyDescent="0.25">
      <c r="D553" s="22">
        <f t="shared" ca="1" si="70"/>
        <v>6.672860091030422E-2</v>
      </c>
      <c r="E553" s="11">
        <v>1.5305555555555557</v>
      </c>
      <c r="F553" s="11">
        <f t="shared" ca="1" si="71"/>
        <v>69.437849565405429</v>
      </c>
      <c r="G553" s="11">
        <f t="shared" ca="1" si="69"/>
        <v>4.6094294158505988</v>
      </c>
      <c r="H553" s="11">
        <f t="shared" ca="1" si="64"/>
        <v>0.71155256335364148</v>
      </c>
      <c r="I553" s="11">
        <f t="shared" ca="1" si="65"/>
        <v>49.408679852028776</v>
      </c>
      <c r="J553" s="11">
        <f t="shared" ca="1" si="66"/>
        <v>-44.799250436178177</v>
      </c>
      <c r="K553" s="11">
        <f t="shared" ca="1" si="67"/>
        <v>6.3521758942777291</v>
      </c>
      <c r="L553" s="20">
        <f t="shared" ca="1" si="68"/>
        <v>-1.7427464784271303</v>
      </c>
    </row>
    <row r="554" spans="4:12" x14ac:dyDescent="0.25">
      <c r="D554" s="22">
        <f t="shared" ca="1" si="70"/>
        <v>6.6961619328964356E-2</v>
      </c>
      <c r="E554" s="11">
        <v>1.5333333333333334</v>
      </c>
      <c r="F554" s="11">
        <f t="shared" ca="1" si="71"/>
        <v>69.61701267637082</v>
      </c>
      <c r="G554" s="11">
        <f t="shared" ca="1" si="69"/>
        <v>4.7285797495992057</v>
      </c>
      <c r="H554" s="11">
        <f t="shared" ca="1" si="64"/>
        <v>0.7181915214702741</v>
      </c>
      <c r="I554" s="11">
        <f t="shared" ca="1" si="65"/>
        <v>49.998348254258119</v>
      </c>
      <c r="J554" s="11">
        <f t="shared" ca="1" si="66"/>
        <v>-45.269768504658913</v>
      </c>
      <c r="K554" s="11">
        <f t="shared" ca="1" si="67"/>
        <v>6.4673525779828918</v>
      </c>
      <c r="L554" s="20">
        <f t="shared" ca="1" si="68"/>
        <v>-1.7387728283836861</v>
      </c>
    </row>
    <row r="555" spans="4:12" x14ac:dyDescent="0.25">
      <c r="D555" s="22">
        <f t="shared" ca="1" si="70"/>
        <v>6.6258886437364578E-2</v>
      </c>
      <c r="E555" s="11">
        <v>1.5361111111111112</v>
      </c>
      <c r="F555" s="11">
        <f t="shared" ca="1" si="71"/>
        <v>69.26777770565964</v>
      </c>
      <c r="G555" s="11">
        <f t="shared" ca="1" si="69"/>
        <v>4.469429375460571</v>
      </c>
      <c r="H555" s="11">
        <f t="shared" ca="1" si="64"/>
        <v>0.70475213829915895</v>
      </c>
      <c r="I555" s="11">
        <f t="shared" ca="1" si="65"/>
        <v>48.816614453294441</v>
      </c>
      <c r="J555" s="11">
        <f t="shared" ca="1" si="66"/>
        <v>-44.347185077833871</v>
      </c>
      <c r="K555" s="11">
        <f t="shared" ca="1" si="67"/>
        <v>6.1871553720407455</v>
      </c>
      <c r="L555" s="20">
        <f t="shared" ca="1" si="68"/>
        <v>-1.7177259965801746</v>
      </c>
    </row>
    <row r="556" spans="4:12" x14ac:dyDescent="0.25">
      <c r="D556" s="22">
        <f t="shared" ca="1" si="70"/>
        <v>6.658340899667034E-2</v>
      </c>
      <c r="E556" s="11">
        <v>1.538888888888889</v>
      </c>
      <c r="F556" s="11">
        <f t="shared" ca="1" si="71"/>
        <v>69.680088276662389</v>
      </c>
      <c r="G556" s="11">
        <f t="shared" ca="1" si="69"/>
        <v>4.7518031880085019</v>
      </c>
      <c r="H556" s="11">
        <f t="shared" ca="1" si="64"/>
        <v>0.71997684243781124</v>
      </c>
      <c r="I556" s="11">
        <f t="shared" ca="1" si="65"/>
        <v>50.168049938219333</v>
      </c>
      <c r="J556" s="11">
        <f t="shared" ca="1" si="66"/>
        <v>-45.416246750210831</v>
      </c>
      <c r="K556" s="11">
        <f t="shared" ca="1" si="67"/>
        <v>6.4697236366530131</v>
      </c>
      <c r="L556" s="20">
        <f t="shared" ca="1" si="68"/>
        <v>-1.7179204486445112</v>
      </c>
    </row>
    <row r="557" spans="4:12" x14ac:dyDescent="0.25">
      <c r="D557" s="22">
        <f t="shared" ca="1" si="70"/>
        <v>6.6659316989860912E-2</v>
      </c>
      <c r="E557" s="11">
        <v>1.5416666666666667</v>
      </c>
      <c r="F557" s="11">
        <f t="shared" ca="1" si="71"/>
        <v>70.53677335895371</v>
      </c>
      <c r="G557" s="11">
        <f t="shared" ca="1" si="69"/>
        <v>5.36018634104434</v>
      </c>
      <c r="H557" s="11">
        <f t="shared" ca="1" si="64"/>
        <v>0.74961041699132258</v>
      </c>
      <c r="I557" s="11">
        <f t="shared" ca="1" si="65"/>
        <v>52.875100090827701</v>
      </c>
      <c r="J557" s="11">
        <f t="shared" ca="1" si="66"/>
        <v>-47.514913749783361</v>
      </c>
      <c r="K557" s="11">
        <f t="shared" ca="1" si="67"/>
        <v>7.083218133200293</v>
      </c>
      <c r="L557" s="20">
        <f t="shared" ca="1" si="68"/>
        <v>-1.723031792155953</v>
      </c>
    </row>
    <row r="558" spans="4:12" x14ac:dyDescent="0.25">
      <c r="D558" s="22">
        <f t="shared" ca="1" si="70"/>
        <v>6.5490901685184025E-2</v>
      </c>
      <c r="E558" s="11">
        <v>1.5444444444444445</v>
      </c>
      <c r="F558" s="11">
        <f t="shared" ca="1" si="71"/>
        <v>70.568015263114091</v>
      </c>
      <c r="G558" s="11">
        <f t="shared" ca="1" si="69"/>
        <v>5.3749609378227348</v>
      </c>
      <c r="H558" s="11">
        <f t="shared" ca="1" si="64"/>
        <v>0.74948431417904893</v>
      </c>
      <c r="I558" s="11">
        <f t="shared" ca="1" si="65"/>
        <v>52.889620522451722</v>
      </c>
      <c r="J558" s="11">
        <f t="shared" ca="1" si="66"/>
        <v>-47.514659584628987</v>
      </c>
      <c r="K558" s="11">
        <f t="shared" ca="1" si="67"/>
        <v>7.0645486396600665</v>
      </c>
      <c r="L558" s="20">
        <f t="shared" ca="1" si="68"/>
        <v>-1.6895877018373318</v>
      </c>
    </row>
    <row r="559" spans="4:12" x14ac:dyDescent="0.25">
      <c r="D559" s="22">
        <f t="shared" ca="1" si="70"/>
        <v>6.4591849061776674E-2</v>
      </c>
      <c r="E559" s="11">
        <v>1.5472222222222223</v>
      </c>
      <c r="F559" s="11">
        <f t="shared" ca="1" si="71"/>
        <v>72.295943641203181</v>
      </c>
      <c r="G559" s="11">
        <f t="shared" ca="1" si="69"/>
        <v>6.6614902224900945</v>
      </c>
      <c r="H559" s="11">
        <f t="shared" ca="1" si="64"/>
        <v>0.80230815294912572</v>
      </c>
      <c r="I559" s="11">
        <f t="shared" ca="1" si="65"/>
        <v>58.003625008487816</v>
      </c>
      <c r="J559" s="11">
        <f t="shared" ca="1" si="66"/>
        <v>-51.342134785997722</v>
      </c>
      <c r="K559" s="11">
        <f t="shared" ca="1" si="67"/>
        <v>8.3694880803216591</v>
      </c>
      <c r="L559" s="20">
        <f t="shared" ca="1" si="68"/>
        <v>-1.7079978578315647</v>
      </c>
    </row>
    <row r="560" spans="4:12" x14ac:dyDescent="0.25">
      <c r="D560" s="22">
        <f t="shared" ca="1" si="70"/>
        <v>6.4240834863996218E-2</v>
      </c>
      <c r="E560" s="11">
        <v>1.55</v>
      </c>
      <c r="F560" s="11">
        <f t="shared" ca="1" si="71"/>
        <v>71.198306483798447</v>
      </c>
      <c r="G560" s="11">
        <f t="shared" ca="1" si="69"/>
        <v>5.7716843268412816</v>
      </c>
      <c r="H560" s="11">
        <f t="shared" ca="1" si="64"/>
        <v>0.76899860950641907</v>
      </c>
      <c r="I560" s="11">
        <f t="shared" ca="1" si="65"/>
        <v>54.751398685252866</v>
      </c>
      <c r="J560" s="11">
        <f t="shared" ca="1" si="66"/>
        <v>-48.979714358411584</v>
      </c>
      <c r="K560" s="11">
        <f t="shared" ca="1" si="67"/>
        <v>7.4817923352381461</v>
      </c>
      <c r="L560" s="20">
        <f t="shared" ca="1" si="68"/>
        <v>-1.7101080083968645</v>
      </c>
    </row>
    <row r="561" spans="4:12" x14ac:dyDescent="0.25">
      <c r="D561" s="22">
        <f t="shared" ca="1" si="70"/>
        <v>6.4170883850835275E-2</v>
      </c>
      <c r="E561" s="11">
        <v>1.5527777777777778</v>
      </c>
      <c r="F561" s="11">
        <f t="shared" ca="1" si="71"/>
        <v>70.773093891330731</v>
      </c>
      <c r="G561" s="11">
        <f t="shared" ca="1" si="69"/>
        <v>5.4359649019670542</v>
      </c>
      <c r="H561" s="11">
        <f t="shared" ca="1" si="64"/>
        <v>0.75523735645354684</v>
      </c>
      <c r="I561" s="11">
        <f t="shared" ca="1" si="65"/>
        <v>53.450484338527289</v>
      </c>
      <c r="J561" s="11">
        <f t="shared" ca="1" si="66"/>
        <v>-48.014519436560235</v>
      </c>
      <c r="K561" s="11">
        <f t="shared" ca="1" si="67"/>
        <v>7.1387888696589661</v>
      </c>
      <c r="L561" s="20">
        <f t="shared" ca="1" si="68"/>
        <v>-1.7028239676919119</v>
      </c>
    </row>
    <row r="562" spans="4:12" x14ac:dyDescent="0.25">
      <c r="D562" s="22">
        <f t="shared" ca="1" si="70"/>
        <v>6.3700282349807708E-2</v>
      </c>
      <c r="E562" s="11">
        <v>1.5555555555555556</v>
      </c>
      <c r="F562" s="11">
        <f t="shared" ca="1" si="71"/>
        <v>70.64816988058665</v>
      </c>
      <c r="G562" s="11">
        <f t="shared" ca="1" si="69"/>
        <v>5.3331209305077394</v>
      </c>
      <c r="H562" s="11">
        <f t="shared" ca="1" si="64"/>
        <v>0.75068528827437797</v>
      </c>
      <c r="I562" s="11">
        <f t="shared" ca="1" si="65"/>
        <v>53.034541772865417</v>
      </c>
      <c r="J562" s="11">
        <f t="shared" ca="1" si="66"/>
        <v>-47.701420842357678</v>
      </c>
      <c r="K562" s="11">
        <f t="shared" ca="1" si="67"/>
        <v>7.0175518527525629</v>
      </c>
      <c r="L562" s="20">
        <f t="shared" ca="1" si="68"/>
        <v>-1.6844309222448235</v>
      </c>
    </row>
    <row r="563" spans="4:12" x14ac:dyDescent="0.25">
      <c r="D563" s="22">
        <f t="shared" ca="1" si="70"/>
        <v>6.348306839084121E-2</v>
      </c>
      <c r="E563" s="11">
        <v>1.5583333333333333</v>
      </c>
      <c r="F563" s="11">
        <f t="shared" ca="1" si="71"/>
        <v>70.636766409096737</v>
      </c>
      <c r="G563" s="11">
        <f t="shared" ca="1" si="69"/>
        <v>5.3161480133932031</v>
      </c>
      <c r="H563" s="11">
        <f t="shared" ca="1" si="64"/>
        <v>0.75018969616474473</v>
      </c>
      <c r="I563" s="11">
        <f t="shared" ca="1" si="65"/>
        <v>52.990974330500329</v>
      </c>
      <c r="J563" s="11">
        <f t="shared" ca="1" si="66"/>
        <v>-47.674826317107126</v>
      </c>
      <c r="K563" s="11">
        <f t="shared" ca="1" si="67"/>
        <v>6.9870793616597773</v>
      </c>
      <c r="L563" s="20">
        <f t="shared" ca="1" si="68"/>
        <v>-1.6709313482665742</v>
      </c>
    </row>
    <row r="564" spans="4:12" x14ac:dyDescent="0.25">
      <c r="D564" s="22">
        <f t="shared" ca="1" si="70"/>
        <v>6.4164849473251351E-2</v>
      </c>
      <c r="E564" s="11">
        <v>1.5611111111111111</v>
      </c>
      <c r="F564" s="11">
        <f t="shared" ca="1" si="71"/>
        <v>71.509436730072991</v>
      </c>
      <c r="G564" s="11">
        <f t="shared" ca="1" si="69"/>
        <v>5.9623181833209458</v>
      </c>
      <c r="H564" s="11">
        <f t="shared" ca="1" si="64"/>
        <v>0.77946831522888294</v>
      </c>
      <c r="I564" s="11">
        <f t="shared" ca="1" si="65"/>
        <v>55.739340170956396</v>
      </c>
      <c r="J564" s="11">
        <f t="shared" ca="1" si="66"/>
        <v>-49.77702198763545</v>
      </c>
      <c r="K564" s="11">
        <f t="shared" ca="1" si="67"/>
        <v>7.6513250153140451</v>
      </c>
      <c r="L564" s="20">
        <f t="shared" ca="1" si="68"/>
        <v>-1.6890068319930993</v>
      </c>
    </row>
    <row r="565" spans="4:12" x14ac:dyDescent="0.25">
      <c r="D565" s="22">
        <f t="shared" ca="1" si="70"/>
        <v>6.3551103708107792E-2</v>
      </c>
      <c r="E565" s="11">
        <v>1.5638888888888889</v>
      </c>
      <c r="F565" s="11">
        <f t="shared" ca="1" si="71"/>
        <v>72.926425268592169</v>
      </c>
      <c r="G565" s="11">
        <f t="shared" ca="1" si="69"/>
        <v>7.0580278968043118</v>
      </c>
      <c r="H565" s="11">
        <f t="shared" ca="1" si="64"/>
        <v>0.82058934248913062</v>
      </c>
      <c r="I565" s="11">
        <f t="shared" ca="1" si="65"/>
        <v>59.842647361236772</v>
      </c>
      <c r="J565" s="11">
        <f t="shared" ca="1" si="66"/>
        <v>-52.78461946443246</v>
      </c>
      <c r="K565" s="11">
        <f t="shared" ca="1" si="67"/>
        <v>8.755031756215427</v>
      </c>
      <c r="L565" s="20">
        <f t="shared" ca="1" si="68"/>
        <v>-1.6970038594111152</v>
      </c>
    </row>
    <row r="566" spans="4:12" x14ac:dyDescent="0.25">
      <c r="D566" s="22">
        <f t="shared" ca="1" si="70"/>
        <v>6.311431466539888E-2</v>
      </c>
      <c r="E566" s="11">
        <v>1.5666666666666667</v>
      </c>
      <c r="F566" s="11">
        <f t="shared" ca="1" si="71"/>
        <v>73.174050663343209</v>
      </c>
      <c r="G566" s="11">
        <f t="shared" ca="1" si="69"/>
        <v>7.2519717757456519</v>
      </c>
      <c r="H566" s="11">
        <f t="shared" ca="1" si="64"/>
        <v>0.82718426358140584</v>
      </c>
      <c r="I566" s="11">
        <f t="shared" ca="1" si="65"/>
        <v>60.528423211226034</v>
      </c>
      <c r="J566" s="11">
        <f t="shared" ca="1" si="66"/>
        <v>-53.276451435480382</v>
      </c>
      <c r="K566" s="11">
        <f t="shared" ca="1" si="67"/>
        <v>8.9323037729744321</v>
      </c>
      <c r="L566" s="20">
        <f t="shared" ca="1" si="68"/>
        <v>-1.6803319972287802</v>
      </c>
    </row>
    <row r="567" spans="4:12" x14ac:dyDescent="0.25">
      <c r="D567" s="22">
        <f t="shared" ca="1" si="70"/>
        <v>6.2671034451333679E-2</v>
      </c>
      <c r="E567" s="11">
        <v>1.5694444444444444</v>
      </c>
      <c r="F567" s="11">
        <f t="shared" ca="1" si="71"/>
        <v>72.383788546178707</v>
      </c>
      <c r="G567" s="11">
        <f t="shared" ca="1" si="69"/>
        <v>6.5890038856348738</v>
      </c>
      <c r="H567" s="11">
        <f t="shared" ca="1" si="64"/>
        <v>0.80515469022783681</v>
      </c>
      <c r="I567" s="11">
        <f t="shared" ca="1" si="65"/>
        <v>58.280146844415761</v>
      </c>
      <c r="J567" s="11">
        <f t="shared" ca="1" si="66"/>
        <v>-51.691142958780887</v>
      </c>
      <c r="K567" s="11">
        <f t="shared" ca="1" si="67"/>
        <v>8.2604030857681146</v>
      </c>
      <c r="L567" s="20">
        <f t="shared" ca="1" si="68"/>
        <v>-1.6713992001332407</v>
      </c>
    </row>
    <row r="568" spans="4:12" x14ac:dyDescent="0.25">
      <c r="D568" s="22">
        <f t="shared" ca="1" si="70"/>
        <v>6.2636329991793138E-2</v>
      </c>
      <c r="E568" s="11">
        <v>1.5722222222222222</v>
      </c>
      <c r="F568" s="11">
        <f t="shared" ca="1" si="71"/>
        <v>71.372017830046588</v>
      </c>
      <c r="G568" s="11">
        <f t="shared" ca="1" si="69"/>
        <v>5.7653774337405395</v>
      </c>
      <c r="H568" s="11">
        <f t="shared" ca="1" si="64"/>
        <v>0.7744214195371355</v>
      </c>
      <c r="I568" s="11">
        <f t="shared" ca="1" si="65"/>
        <v>55.272019363174422</v>
      </c>
      <c r="J568" s="11">
        <f t="shared" ca="1" si="66"/>
        <v>-49.506641929433883</v>
      </c>
      <c r="K568" s="11">
        <f t="shared" ca="1" si="67"/>
        <v>7.4430185225426984</v>
      </c>
      <c r="L568" s="20">
        <f t="shared" ca="1" si="68"/>
        <v>-1.6776410888021589</v>
      </c>
    </row>
    <row r="569" spans="4:12" x14ac:dyDescent="0.25">
      <c r="D569" s="22">
        <f t="shared" ca="1" si="70"/>
        <v>6.2719753958536906E-2</v>
      </c>
      <c r="E569" s="11">
        <v>1.575</v>
      </c>
      <c r="F569" s="11">
        <f t="shared" ca="1" si="71"/>
        <v>70.622103058543644</v>
      </c>
      <c r="G569" s="11">
        <f t="shared" ca="1" si="69"/>
        <v>5.1760014971401347</v>
      </c>
      <c r="H569" s="11">
        <f t="shared" ca="1" si="64"/>
        <v>0.74966779019563989</v>
      </c>
      <c r="I569" s="11">
        <f t="shared" ca="1" si="65"/>
        <v>52.943115938867152</v>
      </c>
      <c r="J569" s="11">
        <f t="shared" ca="1" si="66"/>
        <v>-47.767114441727017</v>
      </c>
      <c r="K569" s="11">
        <f t="shared" ca="1" si="67"/>
        <v>6.8555895939407039</v>
      </c>
      <c r="L569" s="20">
        <f t="shared" ca="1" si="68"/>
        <v>-1.6795880968005692</v>
      </c>
    </row>
    <row r="570" spans="4:12" x14ac:dyDescent="0.25">
      <c r="D570" s="22">
        <f t="shared" ca="1" si="70"/>
        <v>6.2501257601765392E-2</v>
      </c>
      <c r="E570" s="11">
        <v>1.5777777777777779</v>
      </c>
      <c r="F570" s="11">
        <f t="shared" ca="1" si="71"/>
        <v>71.078333569197625</v>
      </c>
      <c r="G570" s="11">
        <f t="shared" ca="1" si="69"/>
        <v>5.5097290272618622</v>
      </c>
      <c r="H570" s="11">
        <f t="shared" ca="1" si="64"/>
        <v>0.76507662378305263</v>
      </c>
      <c r="I570" s="11">
        <f t="shared" ca="1" si="65"/>
        <v>54.380371471247329</v>
      </c>
      <c r="J570" s="11">
        <f t="shared" ca="1" si="66"/>
        <v>-48.870642443985467</v>
      </c>
      <c r="K570" s="11">
        <f t="shared" ca="1" si="67"/>
        <v>7.179261773645405</v>
      </c>
      <c r="L570" s="20">
        <f t="shared" ca="1" si="68"/>
        <v>-1.6695327463835428</v>
      </c>
    </row>
    <row r="571" spans="4:12" x14ac:dyDescent="0.25">
      <c r="D571" s="22">
        <f t="shared" ca="1" si="70"/>
        <v>6.1942918919432731E-2</v>
      </c>
      <c r="E571" s="11">
        <v>1.5805555555555557</v>
      </c>
      <c r="F571" s="11">
        <f t="shared" ca="1" si="71"/>
        <v>72.424069941312951</v>
      </c>
      <c r="G571" s="11">
        <f t="shared" ca="1" si="69"/>
        <v>6.5309108820860544</v>
      </c>
      <c r="H571" s="11">
        <f t="shared" ca="1" si="64"/>
        <v>0.80684893037629124</v>
      </c>
      <c r="I571" s="11">
        <f t="shared" ca="1" si="65"/>
        <v>58.435283365646058</v>
      </c>
      <c r="J571" s="11">
        <f t="shared" ca="1" si="66"/>
        <v>-51.904372483560003</v>
      </c>
      <c r="K571" s="11">
        <f t="shared" ca="1" si="67"/>
        <v>8.2087414872782336</v>
      </c>
      <c r="L571" s="20">
        <f t="shared" ca="1" si="68"/>
        <v>-1.6778306051921792</v>
      </c>
    </row>
    <row r="572" spans="4:12" x14ac:dyDescent="0.25">
      <c r="D572" s="22">
        <f t="shared" ca="1" si="70"/>
        <v>6.1612094032353279E-2</v>
      </c>
      <c r="E572" s="11">
        <v>1.5833333333333335</v>
      </c>
      <c r="F572" s="11">
        <f t="shared" ca="1" si="71"/>
        <v>71.9057571516053</v>
      </c>
      <c r="G572" s="11">
        <f t="shared" ca="1" si="69"/>
        <v>6.1038268433635281</v>
      </c>
      <c r="H572" s="11">
        <f t="shared" ca="1" si="64"/>
        <v>0.7912484388743648</v>
      </c>
      <c r="I572" s="11">
        <f t="shared" ca="1" si="65"/>
        <v>56.895318092286885</v>
      </c>
      <c r="J572" s="11">
        <f t="shared" ca="1" si="66"/>
        <v>-50.791491248923357</v>
      </c>
      <c r="K572" s="11">
        <f t="shared" ca="1" si="67"/>
        <v>7.7704461240645228</v>
      </c>
      <c r="L572" s="20">
        <f t="shared" ca="1" si="68"/>
        <v>-1.6666192807009947</v>
      </c>
    </row>
    <row r="573" spans="4:12" x14ac:dyDescent="0.25">
      <c r="D573" s="22">
        <f t="shared" ca="1" si="70"/>
        <v>6.1885293399258696E-2</v>
      </c>
      <c r="E573" s="11">
        <v>1.5861111111111112</v>
      </c>
      <c r="F573" s="11">
        <f t="shared" ca="1" si="71"/>
        <v>72.612361919042641</v>
      </c>
      <c r="G573" s="11">
        <f t="shared" ca="1" si="69"/>
        <v>6.6541947721626329</v>
      </c>
      <c r="H573" s="11">
        <f t="shared" ca="1" si="64"/>
        <v>0.81288936815630453</v>
      </c>
      <c r="I573" s="11">
        <f t="shared" ca="1" si="65"/>
        <v>59.025817000707484</v>
      </c>
      <c r="J573" s="11">
        <f t="shared" ca="1" si="66"/>
        <v>-52.371622228544851</v>
      </c>
      <c r="K573" s="11">
        <f t="shared" ca="1" si="67"/>
        <v>8.325721135465777</v>
      </c>
      <c r="L573" s="20">
        <f t="shared" ca="1" si="68"/>
        <v>-1.6715263633031441</v>
      </c>
    </row>
    <row r="574" spans="4:12" x14ac:dyDescent="0.25">
      <c r="D574" s="22">
        <f t="shared" ca="1" si="70"/>
        <v>6.2992718576352871E-2</v>
      </c>
      <c r="E574" s="11">
        <v>1.588888888888889</v>
      </c>
      <c r="F574" s="11">
        <f t="shared" ca="1" si="71"/>
        <v>72.788357187609265</v>
      </c>
      <c r="G574" s="11">
        <f t="shared" ca="1" si="69"/>
        <v>6.7880946784120866</v>
      </c>
      <c r="H574" s="11">
        <f t="shared" ca="1" si="64"/>
        <v>0.81918026391603316</v>
      </c>
      <c r="I574" s="11">
        <f t="shared" ca="1" si="65"/>
        <v>59.626785650960244</v>
      </c>
      <c r="J574" s="11">
        <f t="shared" ca="1" si="66"/>
        <v>-52.838690972548157</v>
      </c>
      <c r="K574" s="11">
        <f t="shared" ca="1" si="67"/>
        <v>8.4754086311356822</v>
      </c>
      <c r="L574" s="20">
        <f t="shared" ca="1" si="68"/>
        <v>-1.6873139527235956</v>
      </c>
    </row>
    <row r="575" spans="4:12" x14ac:dyDescent="0.25">
      <c r="D575" s="22">
        <f t="shared" ca="1" si="70"/>
        <v>6.2900602766984531E-2</v>
      </c>
      <c r="E575" s="11">
        <v>1.5916666666666668</v>
      </c>
      <c r="F575" s="11">
        <f t="shared" ca="1" si="71"/>
        <v>72.201482754593172</v>
      </c>
      <c r="G575" s="11">
        <f t="shared" ca="1" si="69"/>
        <v>6.2981057369233682</v>
      </c>
      <c r="H575" s="11">
        <f t="shared" ca="1" si="64"/>
        <v>0.80231005343603801</v>
      </c>
      <c r="I575" s="11">
        <f t="shared" ca="1" si="65"/>
        <v>57.927975486998825</v>
      </c>
      <c r="J575" s="11">
        <f t="shared" ca="1" si="66"/>
        <v>-51.629869750075457</v>
      </c>
      <c r="K575" s="11">
        <f t="shared" ca="1" si="67"/>
        <v>7.9802853487372696</v>
      </c>
      <c r="L575" s="20">
        <f t="shared" ca="1" si="68"/>
        <v>-1.6821796118139014</v>
      </c>
    </row>
    <row r="576" spans="4:12" x14ac:dyDescent="0.25">
      <c r="D576" s="22">
        <f t="shared" ca="1" si="70"/>
        <v>6.2966391713873526E-2</v>
      </c>
      <c r="E576" s="11">
        <v>1.5944444444444446</v>
      </c>
      <c r="F576" s="11">
        <f t="shared" ca="1" si="71"/>
        <v>72.386068367284011</v>
      </c>
      <c r="G576" s="11">
        <f t="shared" ca="1" si="69"/>
        <v>6.4371694326896645</v>
      </c>
      <c r="H576" s="11">
        <f t="shared" ca="1" si="64"/>
        <v>0.80819259103151442</v>
      </c>
      <c r="I576" s="11">
        <f t="shared" ca="1" si="65"/>
        <v>58.501884148339606</v>
      </c>
      <c r="J576" s="11">
        <f t="shared" ca="1" si="66"/>
        <v>-52.064714715649941</v>
      </c>
      <c r="K576" s="11">
        <f t="shared" ca="1" si="67"/>
        <v>8.112825219621957</v>
      </c>
      <c r="L576" s="20">
        <f t="shared" ca="1" si="68"/>
        <v>-1.6756557869322926</v>
      </c>
    </row>
    <row r="577" spans="4:12" x14ac:dyDescent="0.25">
      <c r="D577" s="22">
        <f t="shared" ca="1" si="70"/>
        <v>6.2828936150564327E-2</v>
      </c>
      <c r="E577" s="11">
        <v>1.5972222222222223</v>
      </c>
      <c r="F577" s="11">
        <f t="shared" ca="1" si="71"/>
        <v>73.202066873686462</v>
      </c>
      <c r="G577" s="11">
        <f t="shared" ca="1" si="69"/>
        <v>7.0875660017918776</v>
      </c>
      <c r="H577" s="11">
        <f t="shared" ca="1" si="64"/>
        <v>0.83155232137263957</v>
      </c>
      <c r="I577" s="11">
        <f t="shared" ca="1" si="65"/>
        <v>60.871348638089181</v>
      </c>
      <c r="J577" s="11">
        <f t="shared" ca="1" si="66"/>
        <v>-53.783782636297303</v>
      </c>
      <c r="K577" s="11">
        <f t="shared" ca="1" si="67"/>
        <v>8.7618310177199099</v>
      </c>
      <c r="L577" s="20">
        <f t="shared" ca="1" si="68"/>
        <v>-1.6742650159280323</v>
      </c>
    </row>
    <row r="578" spans="4:12" x14ac:dyDescent="0.25">
      <c r="D578" s="22">
        <f t="shared" ca="1" si="70"/>
        <v>6.2060458762039791E-2</v>
      </c>
      <c r="E578" s="11">
        <v>1.6</v>
      </c>
      <c r="F578" s="11">
        <f t="shared" ca="1" si="71"/>
        <v>73.982458319964394</v>
      </c>
      <c r="G578" s="11">
        <f t="shared" ca="1" si="69"/>
        <v>7.7272297262269021</v>
      </c>
      <c r="H578" s="11">
        <f t="shared" ref="H578:H641" ca="1" si="72">BSGreeks(F578,$B$3,$B$6 - E578,D578, $B$5,$H$1)</f>
        <v>0.85157958941221801</v>
      </c>
      <c r="I578" s="11">
        <f t="shared" ref="I578:I641" ca="1" si="73">F578*H578</f>
        <v>63.001951479821813</v>
      </c>
      <c r="J578" s="11">
        <f t="shared" ref="J578:J641" ca="1" si="74">G578 - I578</f>
        <v>-55.27472175359491</v>
      </c>
      <c r="K578" s="11">
        <f t="shared" ref="K578:K641" ca="1" si="75">BSCall(F578,$B$3, $B$6 - E578,D578,$B$5)</f>
        <v>9.3854220624537792</v>
      </c>
      <c r="L578" s="20">
        <f t="shared" ref="L578:L641" ca="1" si="76">G578 - K578</f>
        <v>-1.6581923362268771</v>
      </c>
    </row>
    <row r="579" spans="4:12" x14ac:dyDescent="0.25">
      <c r="D579" s="22">
        <f t="shared" ca="1" si="70"/>
        <v>6.0909226894787685E-2</v>
      </c>
      <c r="E579" s="11">
        <v>1.6027777777777779</v>
      </c>
      <c r="F579" s="11">
        <f t="shared" ca="1" si="71"/>
        <v>75.035656369958232</v>
      </c>
      <c r="G579" s="11">
        <f t="shared" ref="G579:G642" ca="1" si="77" xml:space="preserve"> H578*F579 + J578* EXP(D579*(E579 - E578))</f>
        <v>8.6147588408821107</v>
      </c>
      <c r="H579" s="11">
        <f t="shared" ca="1" si="72"/>
        <v>0.87566326682425899</v>
      </c>
      <c r="I579" s="11">
        <f t="shared" ca="1" si="73"/>
        <v>65.705967985220141</v>
      </c>
      <c r="J579" s="11">
        <f t="shared" ca="1" si="74"/>
        <v>-57.091209144338031</v>
      </c>
      <c r="K579" s="11">
        <f t="shared" ca="1" si="75"/>
        <v>10.2537545094245</v>
      </c>
      <c r="L579" s="20">
        <f t="shared" ca="1" si="76"/>
        <v>-1.638995668542389</v>
      </c>
    </row>
    <row r="580" spans="4:12" x14ac:dyDescent="0.25">
      <c r="D580" s="22">
        <f t="shared" ref="D580:D643" ca="1" si="78">D579*1.002 + $B$5*D579*SQRT(E580-E579)*_xlfn.NORM.S.INV(RAND())</f>
        <v>6.1467717560429125E-2</v>
      </c>
      <c r="E580" s="11">
        <v>1.6055555555555556</v>
      </c>
      <c r="F580" s="11">
        <f t="shared" ref="F580:F643" ca="1" si="79">F579 + D579*F579*(E580-E579) + $B$5*F579*SQRT(E580-E579)*_xlfn.NORM.S.INV(RAND())</f>
        <v>73.756838159460528</v>
      </c>
      <c r="G580" s="11">
        <f t="shared" ca="1" si="77"/>
        <v>7.4851959147577674</v>
      </c>
      <c r="H580" s="11">
        <f t="shared" ca="1" si="72"/>
        <v>0.84631271427891319</v>
      </c>
      <c r="I580" s="11">
        <f t="shared" ca="1" si="73"/>
        <v>62.421349899363562</v>
      </c>
      <c r="J580" s="11">
        <f t="shared" ca="1" si="74"/>
        <v>-54.936153984605795</v>
      </c>
      <c r="K580" s="11">
        <f t="shared" ca="1" si="75"/>
        <v>9.1477041145360065</v>
      </c>
      <c r="L580" s="20">
        <f t="shared" ca="1" si="76"/>
        <v>-1.6625081997782392</v>
      </c>
    </row>
    <row r="581" spans="4:12" x14ac:dyDescent="0.25">
      <c r="D581" s="22">
        <f t="shared" ca="1" si="78"/>
        <v>6.1385753084690776E-2</v>
      </c>
      <c r="E581" s="11">
        <v>1.6083333333333334</v>
      </c>
      <c r="F581" s="11">
        <f t="shared" ca="1" si="79"/>
        <v>74.464221771346786</v>
      </c>
      <c r="G581" s="11">
        <f t="shared" ca="1" si="77"/>
        <v>8.0744953684931318</v>
      </c>
      <c r="H581" s="11">
        <f t="shared" ca="1" si="72"/>
        <v>0.8640186954339284</v>
      </c>
      <c r="I581" s="11">
        <f t="shared" ca="1" si="73"/>
        <v>64.338479751381783</v>
      </c>
      <c r="J581" s="11">
        <f t="shared" ca="1" si="74"/>
        <v>-56.263984382888651</v>
      </c>
      <c r="K581" s="11">
        <f t="shared" ca="1" si="75"/>
        <v>9.734308109930554</v>
      </c>
      <c r="L581" s="20">
        <f t="shared" ca="1" si="76"/>
        <v>-1.6598127414374222</v>
      </c>
    </row>
    <row r="582" spans="4:12" x14ac:dyDescent="0.25">
      <c r="D582" s="22">
        <f t="shared" ca="1" si="78"/>
        <v>6.1504670786897808E-2</v>
      </c>
      <c r="E582" s="11">
        <v>1.6111111111111112</v>
      </c>
      <c r="F582" s="11">
        <f t="shared" ca="1" si="79"/>
        <v>74.236134510753857</v>
      </c>
      <c r="G582" s="11">
        <f t="shared" ca="1" si="77"/>
        <v>7.8678103959835681</v>
      </c>
      <c r="H582" s="11">
        <f t="shared" ca="1" si="72"/>
        <v>0.8591329566520387</v>
      </c>
      <c r="I582" s="11">
        <f t="shared" ca="1" si="73"/>
        <v>63.778709732642405</v>
      </c>
      <c r="J582" s="11">
        <f t="shared" ca="1" si="74"/>
        <v>-55.910899336658836</v>
      </c>
      <c r="K582" s="11">
        <f t="shared" ca="1" si="75"/>
        <v>9.5237252830009549</v>
      </c>
      <c r="L582" s="20">
        <f t="shared" ca="1" si="76"/>
        <v>-1.6559148870173868</v>
      </c>
    </row>
    <row r="583" spans="4:12" x14ac:dyDescent="0.25">
      <c r="D583" s="22">
        <f t="shared" ca="1" si="78"/>
        <v>6.1388636024616937E-2</v>
      </c>
      <c r="E583" s="11">
        <v>1.6138888888888889</v>
      </c>
      <c r="F583" s="11">
        <f t="shared" ca="1" si="79"/>
        <v>73.71085365543432</v>
      </c>
      <c r="G583" s="11">
        <f t="shared" ca="1" si="77"/>
        <v>7.4069893391522896</v>
      </c>
      <c r="H583" s="11">
        <f t="shared" ca="1" si="72"/>
        <v>0.84636711015316413</v>
      </c>
      <c r="I583" s="11">
        <f t="shared" ca="1" si="73"/>
        <v>62.386442195272743</v>
      </c>
      <c r="J583" s="11">
        <f t="shared" ca="1" si="74"/>
        <v>-54.979452856120453</v>
      </c>
      <c r="K583" s="11">
        <f t="shared" ca="1" si="75"/>
        <v>9.0565521630153203</v>
      </c>
      <c r="L583" s="20">
        <f t="shared" ca="1" si="76"/>
        <v>-1.6495628238630307</v>
      </c>
    </row>
    <row r="584" spans="4:12" x14ac:dyDescent="0.25">
      <c r="D584" s="22">
        <f t="shared" ca="1" si="78"/>
        <v>6.1614757705048692E-2</v>
      </c>
      <c r="E584" s="11">
        <v>1.6166666666666667</v>
      </c>
      <c r="F584" s="11">
        <f t="shared" ca="1" si="79"/>
        <v>73.629541652488882</v>
      </c>
      <c r="G584" s="11">
        <f t="shared" ca="1" si="77"/>
        <v>7.3287588798213363</v>
      </c>
      <c r="H584" s="11">
        <f t="shared" ca="1" si="72"/>
        <v>0.8448587396081314</v>
      </c>
      <c r="I584" s="11">
        <f t="shared" ca="1" si="73"/>
        <v>62.206561758446171</v>
      </c>
      <c r="J584" s="11">
        <f t="shared" ca="1" si="74"/>
        <v>-54.877802878624834</v>
      </c>
      <c r="K584" s="11">
        <f t="shared" ca="1" si="75"/>
        <v>8.9754851771930149</v>
      </c>
      <c r="L584" s="20">
        <f t="shared" ca="1" si="76"/>
        <v>-1.6467262973716785</v>
      </c>
    </row>
    <row r="585" spans="4:12" x14ac:dyDescent="0.25">
      <c r="D585" s="22">
        <f t="shared" ca="1" si="78"/>
        <v>6.1250482047753477E-2</v>
      </c>
      <c r="E585" s="11">
        <v>1.6194444444444445</v>
      </c>
      <c r="F585" s="11">
        <f t="shared" ca="1" si="79"/>
        <v>72.847755327795213</v>
      </c>
      <c r="G585" s="11">
        <f t="shared" ca="1" si="77"/>
        <v>6.6589221546707194</v>
      </c>
      <c r="H585" s="11">
        <f t="shared" ca="1" si="72"/>
        <v>0.82351537550010845</v>
      </c>
      <c r="I585" s="11">
        <f t="shared" ca="1" si="73"/>
        <v>59.991246583109302</v>
      </c>
      <c r="J585" s="11">
        <f t="shared" ca="1" si="74"/>
        <v>-53.332324428438582</v>
      </c>
      <c r="K585" s="11">
        <f t="shared" ca="1" si="75"/>
        <v>8.2987444455793575</v>
      </c>
      <c r="L585" s="20">
        <f t="shared" ca="1" si="76"/>
        <v>-1.6398222909086382</v>
      </c>
    </row>
    <row r="586" spans="4:12" x14ac:dyDescent="0.25">
      <c r="D586" s="22">
        <f t="shared" ca="1" si="78"/>
        <v>6.2431781758742678E-2</v>
      </c>
      <c r="E586" s="11">
        <v>1.6222222222222222</v>
      </c>
      <c r="F586" s="11">
        <f t="shared" ca="1" si="79"/>
        <v>73.118182796478521</v>
      </c>
      <c r="G586" s="11">
        <f t="shared" ca="1" si="77"/>
        <v>6.8723735531690622</v>
      </c>
      <c r="H586" s="11">
        <f t="shared" ca="1" si="72"/>
        <v>0.83252489833469456</v>
      </c>
      <c r="I586" s="11">
        <f t="shared" ca="1" si="73"/>
        <v>60.872707699055894</v>
      </c>
      <c r="J586" s="11">
        <f t="shared" ca="1" si="74"/>
        <v>-54.000334145886832</v>
      </c>
      <c r="K586" s="11">
        <f t="shared" ca="1" si="75"/>
        <v>8.5286417832474886</v>
      </c>
      <c r="L586" s="20">
        <f t="shared" ca="1" si="76"/>
        <v>-1.6562682300784264</v>
      </c>
    </row>
    <row r="587" spans="4:12" x14ac:dyDescent="0.25">
      <c r="D587" s="22">
        <f t="shared" ca="1" si="78"/>
        <v>6.2064559228614855E-2</v>
      </c>
      <c r="E587" s="11">
        <v>1.625</v>
      </c>
      <c r="F587" s="11">
        <f t="shared" ca="1" si="79"/>
        <v>73.244780395710421</v>
      </c>
      <c r="G587" s="11">
        <f t="shared" ca="1" si="77"/>
        <v>6.968458662554383</v>
      </c>
      <c r="H587" s="11">
        <f t="shared" ca="1" si="72"/>
        <v>0.83618188005164185</v>
      </c>
      <c r="I587" s="11">
        <f t="shared" ca="1" si="73"/>
        <v>61.245958175254778</v>
      </c>
      <c r="J587" s="11">
        <f t="shared" ca="1" si="74"/>
        <v>-54.277499512700395</v>
      </c>
      <c r="K587" s="11">
        <f t="shared" ca="1" si="75"/>
        <v>8.6096921725915383</v>
      </c>
      <c r="L587" s="20">
        <f t="shared" ca="1" si="76"/>
        <v>-1.6412335100371553</v>
      </c>
    </row>
    <row r="588" spans="4:12" x14ac:dyDescent="0.25">
      <c r="D588" s="22">
        <f t="shared" ca="1" si="78"/>
        <v>6.3447960918575408E-2</v>
      </c>
      <c r="E588" s="11">
        <v>1.6277777777777778</v>
      </c>
      <c r="F588" s="11">
        <f t="shared" ca="1" si="79"/>
        <v>73.559605073647631</v>
      </c>
      <c r="G588" s="11">
        <f t="shared" ca="1" si="77"/>
        <v>7.2221424087483044</v>
      </c>
      <c r="H588" s="11">
        <f t="shared" ca="1" si="72"/>
        <v>0.84614385695922723</v>
      </c>
      <c r="I588" s="11">
        <f t="shared" ca="1" si="73"/>
        <v>62.242007953413747</v>
      </c>
      <c r="J588" s="11">
        <f t="shared" ca="1" si="74"/>
        <v>-55.019865544665443</v>
      </c>
      <c r="K588" s="11">
        <f t="shared" ca="1" si="75"/>
        <v>8.8845985765648887</v>
      </c>
      <c r="L588" s="20">
        <f t="shared" ca="1" si="76"/>
        <v>-1.6624561678165843</v>
      </c>
    </row>
    <row r="589" spans="4:12" x14ac:dyDescent="0.25">
      <c r="D589" s="22">
        <f t="shared" ca="1" si="78"/>
        <v>6.3565524458688627E-2</v>
      </c>
      <c r="E589" s="11">
        <v>1.6305555555555555</v>
      </c>
      <c r="F589" s="11">
        <f t="shared" ca="1" si="79"/>
        <v>72.720297734350609</v>
      </c>
      <c r="G589" s="11">
        <f t="shared" ca="1" si="77"/>
        <v>6.5022518945186931</v>
      </c>
      <c r="H589" s="11">
        <f t="shared" ca="1" si="72"/>
        <v>0.82327372581311453</v>
      </c>
      <c r="I589" s="11">
        <f t="shared" ca="1" si="73"/>
        <v>59.868710457997814</v>
      </c>
      <c r="J589" s="11">
        <f t="shared" ca="1" si="74"/>
        <v>-53.366458563479121</v>
      </c>
      <c r="K589" s="11">
        <f t="shared" ca="1" si="75"/>
        <v>8.1685881231053283</v>
      </c>
      <c r="L589" s="20">
        <f t="shared" ca="1" si="76"/>
        <v>-1.6663362285866352</v>
      </c>
    </row>
    <row r="590" spans="4:12" x14ac:dyDescent="0.25">
      <c r="D590" s="22">
        <f t="shared" ca="1" si="78"/>
        <v>6.3069779640061302E-2</v>
      </c>
      <c r="E590" s="11">
        <v>1.6333333333333333</v>
      </c>
      <c r="F590" s="11">
        <f t="shared" ca="1" si="79"/>
        <v>73.166497044895024</v>
      </c>
      <c r="G590" s="11">
        <f t="shared" ca="1" si="77"/>
        <v>6.860245769939084</v>
      </c>
      <c r="H590" s="11">
        <f t="shared" ca="1" si="72"/>
        <v>0.83608990455551546</v>
      </c>
      <c r="I590" s="11">
        <f t="shared" ca="1" si="73"/>
        <v>61.173769530927686</v>
      </c>
      <c r="J590" s="11">
        <f t="shared" ca="1" si="74"/>
        <v>-54.313523760988602</v>
      </c>
      <c r="K590" s="11">
        <f t="shared" ca="1" si="75"/>
        <v>8.5116548715866802</v>
      </c>
      <c r="L590" s="20">
        <f t="shared" ca="1" si="76"/>
        <v>-1.6514091016475962</v>
      </c>
    </row>
    <row r="591" spans="4:12" x14ac:dyDescent="0.25">
      <c r="D591" s="22">
        <f t="shared" ca="1" si="78"/>
        <v>6.2763617049059112E-2</v>
      </c>
      <c r="E591" s="11">
        <v>1.6361111111111111</v>
      </c>
      <c r="F591" s="11">
        <f t="shared" ca="1" si="79"/>
        <v>75.218561940373647</v>
      </c>
      <c r="G591" s="11">
        <f t="shared" ca="1" si="77"/>
        <v>8.566486483697318</v>
      </c>
      <c r="H591" s="11">
        <f t="shared" ca="1" si="72"/>
        <v>0.88660594376493085</v>
      </c>
      <c r="I591" s="11">
        <f t="shared" ca="1" si="73"/>
        <v>66.689224097785882</v>
      </c>
      <c r="J591" s="11">
        <f t="shared" ca="1" si="74"/>
        <v>-58.122737614088564</v>
      </c>
      <c r="K591" s="11">
        <f t="shared" ca="1" si="75"/>
        <v>10.258404964400766</v>
      </c>
      <c r="L591" s="20">
        <f t="shared" ca="1" si="76"/>
        <v>-1.691918480703448</v>
      </c>
    </row>
    <row r="592" spans="4:12" x14ac:dyDescent="0.25">
      <c r="D592" s="22">
        <f t="shared" ca="1" si="78"/>
        <v>6.2341703594171217E-2</v>
      </c>
      <c r="E592" s="11">
        <v>1.6388888888888891</v>
      </c>
      <c r="F592" s="11">
        <f t="shared" ca="1" si="79"/>
        <v>74.762782443802905</v>
      </c>
      <c r="G592" s="11">
        <f t="shared" ca="1" si="77"/>
        <v>8.1523236056602428</v>
      </c>
      <c r="H592" s="11">
        <f t="shared" ca="1" si="72"/>
        <v>0.87688653994150112</v>
      </c>
      <c r="I592" s="11">
        <f t="shared" ca="1" si="73"/>
        <v>65.558477613545534</v>
      </c>
      <c r="J592" s="11">
        <f t="shared" ca="1" si="74"/>
        <v>-57.406154007885291</v>
      </c>
      <c r="K592" s="11">
        <f t="shared" ca="1" si="75"/>
        <v>9.8313276765730482</v>
      </c>
      <c r="L592" s="20">
        <f t="shared" ca="1" si="76"/>
        <v>-1.6790040709128053</v>
      </c>
    </row>
    <row r="593" spans="4:12" x14ac:dyDescent="0.25">
      <c r="D593" s="22">
        <f t="shared" ca="1" si="78"/>
        <v>6.2094539918599992E-2</v>
      </c>
      <c r="E593" s="11">
        <v>1.6416666666666668</v>
      </c>
      <c r="F593" s="11">
        <f t="shared" ca="1" si="79"/>
        <v>74.574343252662345</v>
      </c>
      <c r="G593" s="11">
        <f t="shared" ca="1" si="77"/>
        <v>7.9771812704633902</v>
      </c>
      <c r="H593" s="11">
        <f t="shared" ca="1" si="72"/>
        <v>0.87292321330231959</v>
      </c>
      <c r="I593" s="11">
        <f t="shared" ca="1" si="73"/>
        <v>65.097675342024175</v>
      </c>
      <c r="J593" s="11">
        <f t="shared" ca="1" si="74"/>
        <v>-57.120494071560785</v>
      </c>
      <c r="K593" s="11">
        <f t="shared" ca="1" si="75"/>
        <v>9.644786972947248</v>
      </c>
      <c r="L593" s="20">
        <f t="shared" ca="1" si="76"/>
        <v>-1.6676057024838578</v>
      </c>
    </row>
    <row r="594" spans="4:12" x14ac:dyDescent="0.25">
      <c r="D594" s="22">
        <f t="shared" ca="1" si="78"/>
        <v>6.3252900089716568E-2</v>
      </c>
      <c r="E594" s="11">
        <v>1.6444444444444446</v>
      </c>
      <c r="F594" s="11">
        <f t="shared" ca="1" si="79"/>
        <v>74.563978056023984</v>
      </c>
      <c r="G594" s="11">
        <f t="shared" ca="1" si="77"/>
        <v>7.9580961543379232</v>
      </c>
      <c r="H594" s="11">
        <f t="shared" ca="1" si="72"/>
        <v>0.8739244518379683</v>
      </c>
      <c r="I594" s="11">
        <f t="shared" ca="1" si="73"/>
        <v>65.163283649469051</v>
      </c>
      <c r="J594" s="11">
        <f t="shared" ca="1" si="74"/>
        <v>-57.205187495131128</v>
      </c>
      <c r="K594" s="11">
        <f t="shared" ca="1" si="75"/>
        <v>9.6418164388809462</v>
      </c>
      <c r="L594" s="20">
        <f t="shared" ca="1" si="76"/>
        <v>-1.683720284543023</v>
      </c>
    </row>
    <row r="595" spans="4:12" x14ac:dyDescent="0.25">
      <c r="D595" s="22">
        <f t="shared" ca="1" si="78"/>
        <v>6.3451737663845847E-2</v>
      </c>
      <c r="E595" s="11">
        <v>1.6472222222222224</v>
      </c>
      <c r="F595" s="11">
        <f t="shared" ca="1" si="79"/>
        <v>74.795844157113009</v>
      </c>
      <c r="G595" s="11">
        <f t="shared" ca="1" si="77"/>
        <v>8.1506460306017843</v>
      </c>
      <c r="H595" s="11">
        <f t="shared" ca="1" si="72"/>
        <v>0.87988664664665162</v>
      </c>
      <c r="I595" s="11">
        <f t="shared" ca="1" si="73"/>
        <v>65.811864498507717</v>
      </c>
      <c r="J595" s="11">
        <f t="shared" ca="1" si="74"/>
        <v>-57.661218467905933</v>
      </c>
      <c r="K595" s="11">
        <f t="shared" ca="1" si="75"/>
        <v>9.8321615010565306</v>
      </c>
      <c r="L595" s="20">
        <f t="shared" ca="1" si="76"/>
        <v>-1.6815154704547464</v>
      </c>
    </row>
    <row r="596" spans="4:12" x14ac:dyDescent="0.25">
      <c r="D596" s="22">
        <f t="shared" ca="1" si="78"/>
        <v>6.2923907115982766E-2</v>
      </c>
      <c r="E596" s="11">
        <v>1.6500000000000001</v>
      </c>
      <c r="F596" s="11">
        <f t="shared" ca="1" si="79"/>
        <v>72.925238397857797</v>
      </c>
      <c r="G596" s="11">
        <f t="shared" ca="1" si="77"/>
        <v>6.4946455956049078</v>
      </c>
      <c r="H596" s="11">
        <f t="shared" ca="1" si="72"/>
        <v>0.83184814036721955</v>
      </c>
      <c r="I596" s="11">
        <f t="shared" ca="1" si="73"/>
        <v>60.662723947094165</v>
      </c>
      <c r="J596" s="11">
        <f t="shared" ca="1" si="74"/>
        <v>-54.168078351489257</v>
      </c>
      <c r="K596" s="11">
        <f t="shared" ca="1" si="75"/>
        <v>8.2018245065927466</v>
      </c>
      <c r="L596" s="20">
        <f t="shared" ca="1" si="76"/>
        <v>-1.7071789109878388</v>
      </c>
    </row>
    <row r="597" spans="4:12" x14ac:dyDescent="0.25">
      <c r="D597" s="22">
        <f t="shared" ca="1" si="78"/>
        <v>6.2756332687517458E-2</v>
      </c>
      <c r="E597" s="11">
        <v>1.6527777777777779</v>
      </c>
      <c r="F597" s="11">
        <f t="shared" ca="1" si="79"/>
        <v>72.675432538388378</v>
      </c>
      <c r="G597" s="11">
        <f t="shared" ca="1" si="77"/>
        <v>6.2774014830094771</v>
      </c>
      <c r="H597" s="11">
        <f t="shared" ca="1" si="72"/>
        <v>0.82478821528429713</v>
      </c>
      <c r="I597" s="11">
        <f t="shared" ca="1" si="73"/>
        <v>59.941840298351686</v>
      </c>
      <c r="J597" s="11">
        <f t="shared" ca="1" si="74"/>
        <v>-53.664438815342208</v>
      </c>
      <c r="K597" s="11">
        <f t="shared" ca="1" si="75"/>
        <v>7.9740144811669058</v>
      </c>
      <c r="L597" s="20">
        <f t="shared" ca="1" si="76"/>
        <v>-1.6966129981574287</v>
      </c>
    </row>
    <row r="598" spans="4:12" x14ac:dyDescent="0.25">
      <c r="D598" s="22">
        <f t="shared" ca="1" si="78"/>
        <v>6.3982195070620168E-2</v>
      </c>
      <c r="E598" s="11">
        <v>1.6555555555555557</v>
      </c>
      <c r="F598" s="11">
        <f t="shared" ca="1" si="79"/>
        <v>72.467998144028002</v>
      </c>
      <c r="G598" s="11">
        <f t="shared" ca="1" si="77"/>
        <v>6.0967735009522244</v>
      </c>
      <c r="H598" s="11">
        <f t="shared" ca="1" si="72"/>
        <v>0.81985511256092869</v>
      </c>
      <c r="I598" s="11">
        <f t="shared" ca="1" si="73"/>
        <v>59.413258775437249</v>
      </c>
      <c r="J598" s="11">
        <f t="shared" ca="1" si="74"/>
        <v>-53.316485274485025</v>
      </c>
      <c r="K598" s="11">
        <f t="shared" ca="1" si="75"/>
        <v>7.8073521609792884</v>
      </c>
      <c r="L598" s="20">
        <f t="shared" ca="1" si="76"/>
        <v>-1.710578660027064</v>
      </c>
    </row>
    <row r="599" spans="4:12" x14ac:dyDescent="0.25">
      <c r="D599" s="22">
        <f t="shared" ca="1" si="78"/>
        <v>6.4268991195085778E-2</v>
      </c>
      <c r="E599" s="11">
        <v>1.6583333333333334</v>
      </c>
      <c r="F599" s="11">
        <f t="shared" ca="1" si="79"/>
        <v>72.633639098965944</v>
      </c>
      <c r="G599" s="11">
        <f t="shared" ca="1" si="77"/>
        <v>6.2230559107981023</v>
      </c>
      <c r="H599" s="11">
        <f t="shared" ca="1" si="72"/>
        <v>0.82559413053710062</v>
      </c>
      <c r="I599" s="11">
        <f t="shared" ca="1" si="73"/>
        <v>59.965906119656346</v>
      </c>
      <c r="J599" s="11">
        <f t="shared" ca="1" si="74"/>
        <v>-53.742850208858243</v>
      </c>
      <c r="K599" s="11">
        <f t="shared" ca="1" si="75"/>
        <v>7.9305560878302543</v>
      </c>
      <c r="L599" s="20">
        <f t="shared" ca="1" si="76"/>
        <v>-1.7075001770321521</v>
      </c>
    </row>
    <row r="600" spans="4:12" x14ac:dyDescent="0.25">
      <c r="D600" s="22">
        <f t="shared" ca="1" si="78"/>
        <v>6.4156958906598394E-2</v>
      </c>
      <c r="E600" s="11">
        <v>1.6611111111111112</v>
      </c>
      <c r="F600" s="11">
        <f t="shared" ca="1" si="79"/>
        <v>70.653597011601548</v>
      </c>
      <c r="G600" s="11">
        <f t="shared" ca="1" si="77"/>
        <v>4.5787662155614086</v>
      </c>
      <c r="H600" s="11">
        <f t="shared" ca="1" si="72"/>
        <v>0.7583484976024264</v>
      </c>
      <c r="I600" s="11">
        <f t="shared" ca="1" si="73"/>
        <v>53.580049143955314</v>
      </c>
      <c r="J600" s="11">
        <f t="shared" ca="1" si="74"/>
        <v>-49.001282928393906</v>
      </c>
      <c r="K600" s="11">
        <f t="shared" ca="1" si="75"/>
        <v>6.3394037609926039</v>
      </c>
      <c r="L600" s="20">
        <f t="shared" ca="1" si="76"/>
        <v>-1.7606375454311953</v>
      </c>
    </row>
    <row r="601" spans="4:12" x14ac:dyDescent="0.25">
      <c r="D601" s="22">
        <f t="shared" ca="1" si="78"/>
        <v>6.5645747533911059E-2</v>
      </c>
      <c r="E601" s="11">
        <v>1.663888888888889</v>
      </c>
      <c r="F601" s="11">
        <f t="shared" ca="1" si="79"/>
        <v>70.356504684372965</v>
      </c>
      <c r="G601" s="11">
        <f t="shared" ca="1" si="77"/>
        <v>4.3445305312538736</v>
      </c>
      <c r="H601" s="11">
        <f t="shared" ca="1" si="72"/>
        <v>0.74852296300917009</v>
      </c>
      <c r="I601" s="11">
        <f t="shared" ca="1" si="73"/>
        <v>52.66345935331541</v>
      </c>
      <c r="J601" s="11">
        <f t="shared" ca="1" si="74"/>
        <v>-48.318928822061537</v>
      </c>
      <c r="K601" s="11">
        <f t="shared" ca="1" si="75"/>
        <v>6.1200309521650045</v>
      </c>
      <c r="L601" s="20">
        <f t="shared" ca="1" si="76"/>
        <v>-1.7755004209111309</v>
      </c>
    </row>
    <row r="602" spans="4:12" x14ac:dyDescent="0.25">
      <c r="D602" s="22">
        <f t="shared" ca="1" si="78"/>
        <v>6.662971728884004E-2</v>
      </c>
      <c r="E602" s="11">
        <v>1.6666666666666667</v>
      </c>
      <c r="F602" s="11">
        <f t="shared" ca="1" si="79"/>
        <v>70.991813203745366</v>
      </c>
      <c r="G602" s="11">
        <f t="shared" ca="1" si="77"/>
        <v>4.8111297284884742</v>
      </c>
      <c r="H602" s="11">
        <f t="shared" ca="1" si="72"/>
        <v>0.77375316197089494</v>
      </c>
      <c r="I602" s="11">
        <f t="shared" ca="1" si="73"/>
        <v>54.930139940445109</v>
      </c>
      <c r="J602" s="11">
        <f t="shared" ca="1" si="74"/>
        <v>-50.119010211956635</v>
      </c>
      <c r="K602" s="11">
        <f t="shared" ca="1" si="75"/>
        <v>6.6000607511313909</v>
      </c>
      <c r="L602" s="20">
        <f t="shared" ca="1" si="76"/>
        <v>-1.7889310226429167</v>
      </c>
    </row>
    <row r="603" spans="4:12" x14ac:dyDescent="0.25">
      <c r="D603" s="22">
        <f t="shared" ca="1" si="78"/>
        <v>6.7409014771042358E-2</v>
      </c>
      <c r="E603" s="11">
        <v>1.6694444444444445</v>
      </c>
      <c r="F603" s="11">
        <f t="shared" ca="1" si="79"/>
        <v>70.944836673633347</v>
      </c>
      <c r="G603" s="11">
        <f t="shared" ca="1" si="77"/>
        <v>4.7653959635971148</v>
      </c>
      <c r="H603" s="11">
        <f t="shared" ca="1" si="72"/>
        <v>0.77301265826195598</v>
      </c>
      <c r="I603" s="11">
        <f t="shared" ca="1" si="73"/>
        <v>54.841256787045616</v>
      </c>
      <c r="J603" s="11">
        <f t="shared" ca="1" si="74"/>
        <v>-50.075860823448501</v>
      </c>
      <c r="K603" s="11">
        <f t="shared" ca="1" si="75"/>
        <v>6.5569295867283204</v>
      </c>
      <c r="L603" s="20">
        <f t="shared" ca="1" si="76"/>
        <v>-1.7915336231312056</v>
      </c>
    </row>
    <row r="604" spans="4:12" x14ac:dyDescent="0.25">
      <c r="D604" s="22">
        <f t="shared" ca="1" si="78"/>
        <v>6.7821409112139658E-2</v>
      </c>
      <c r="E604" s="11">
        <v>1.6722222222222223</v>
      </c>
      <c r="F604" s="11">
        <f t="shared" ca="1" si="79"/>
        <v>71.536242302065617</v>
      </c>
      <c r="G604" s="11">
        <f t="shared" ca="1" si="77"/>
        <v>5.213125180056764</v>
      </c>
      <c r="H604" s="11">
        <f t="shared" ca="1" si="72"/>
        <v>0.79489719372549594</v>
      </c>
      <c r="I604" s="11">
        <f t="shared" ca="1" si="73"/>
        <v>56.863958255579071</v>
      </c>
      <c r="J604" s="11">
        <f t="shared" ca="1" si="74"/>
        <v>-51.650833075522307</v>
      </c>
      <c r="K604" s="11">
        <f t="shared" ca="1" si="75"/>
        <v>7.0079712781260088</v>
      </c>
      <c r="L604" s="20">
        <f t="shared" ca="1" si="76"/>
        <v>-1.7948460980692449</v>
      </c>
    </row>
    <row r="605" spans="4:12" x14ac:dyDescent="0.25">
      <c r="D605" s="22">
        <f t="shared" ca="1" si="78"/>
        <v>6.7769412714966698E-2</v>
      </c>
      <c r="E605" s="11">
        <v>1.675</v>
      </c>
      <c r="F605" s="11">
        <f t="shared" ca="1" si="79"/>
        <v>72.245744588042214</v>
      </c>
      <c r="G605" s="11">
        <f t="shared" ca="1" si="77"/>
        <v>5.7673824558110738</v>
      </c>
      <c r="H605" s="11">
        <f t="shared" ca="1" si="72"/>
        <v>0.81893521766418065</v>
      </c>
      <c r="I605" s="11">
        <f t="shared" ca="1" si="73"/>
        <v>59.16458456951915</v>
      </c>
      <c r="J605" s="11">
        <f t="shared" ca="1" si="74"/>
        <v>-53.397202113708076</v>
      </c>
      <c r="K605" s="11">
        <f t="shared" ca="1" si="75"/>
        <v>7.5606024445961966</v>
      </c>
      <c r="L605" s="20">
        <f t="shared" ca="1" si="76"/>
        <v>-1.7932199887851228</v>
      </c>
    </row>
    <row r="606" spans="4:12" x14ac:dyDescent="0.25">
      <c r="D606" s="22">
        <f t="shared" ca="1" si="78"/>
        <v>6.763367425715984E-2</v>
      </c>
      <c r="E606" s="11">
        <v>1.6777777777777778</v>
      </c>
      <c r="F606" s="11">
        <f t="shared" ca="1" si="79"/>
        <v>72.63226179782184</v>
      </c>
      <c r="G606" s="11">
        <f t="shared" ca="1" si="77"/>
        <v>6.0738822660243414</v>
      </c>
      <c r="H606" s="11">
        <f t="shared" ca="1" si="72"/>
        <v>0.83139707550309949</v>
      </c>
      <c r="I606" s="11">
        <f t="shared" ca="1" si="73"/>
        <v>60.386250045884573</v>
      </c>
      <c r="J606" s="11">
        <f t="shared" ca="1" si="74"/>
        <v>-54.312367779860232</v>
      </c>
      <c r="K606" s="11">
        <f t="shared" ca="1" si="75"/>
        <v>7.8583709020569357</v>
      </c>
      <c r="L606" s="20">
        <f t="shared" ca="1" si="76"/>
        <v>-1.7844886360325942</v>
      </c>
    </row>
    <row r="607" spans="4:12" x14ac:dyDescent="0.25">
      <c r="D607" s="22">
        <f t="shared" ca="1" si="78"/>
        <v>6.8969343554591958E-2</v>
      </c>
      <c r="E607" s="11">
        <v>1.6805555555555556</v>
      </c>
      <c r="F607" s="11">
        <f t="shared" ca="1" si="79"/>
        <v>72.984639074928253</v>
      </c>
      <c r="G607" s="11">
        <f t="shared" ca="1" si="77"/>
        <v>6.356441461470304</v>
      </c>
      <c r="H607" s="11">
        <f t="shared" ca="1" si="72"/>
        <v>0.84334494499262047</v>
      </c>
      <c r="I607" s="11">
        <f t="shared" ca="1" si="73"/>
        <v>61.551226425951626</v>
      </c>
      <c r="J607" s="11">
        <f t="shared" ca="1" si="74"/>
        <v>-55.194784964481322</v>
      </c>
      <c r="K607" s="11">
        <f t="shared" ca="1" si="75"/>
        <v>8.1573264458191392</v>
      </c>
      <c r="L607" s="20">
        <f t="shared" ca="1" si="76"/>
        <v>-1.8008849843488353</v>
      </c>
    </row>
    <row r="608" spans="4:12" x14ac:dyDescent="0.25">
      <c r="D608" s="22">
        <f t="shared" ca="1" si="78"/>
        <v>6.9590003785039878E-2</v>
      </c>
      <c r="E608" s="11">
        <v>1.6833333333333333</v>
      </c>
      <c r="F608" s="11">
        <f t="shared" ca="1" si="79"/>
        <v>72.744288024911754</v>
      </c>
      <c r="G608" s="11">
        <f t="shared" ca="1" si="77"/>
        <v>6.14307212796421</v>
      </c>
      <c r="H608" s="11">
        <f t="shared" ca="1" si="72"/>
        <v>0.83718520885385228</v>
      </c>
      <c r="I608" s="11">
        <f t="shared" ca="1" si="73"/>
        <v>60.90044196306053</v>
      </c>
      <c r="J608" s="11">
        <f t="shared" ca="1" si="74"/>
        <v>-54.75736983509632</v>
      </c>
      <c r="K608" s="11">
        <f t="shared" ca="1" si="75"/>
        <v>7.9469052047475</v>
      </c>
      <c r="L608" s="20">
        <f t="shared" ca="1" si="76"/>
        <v>-1.80383307678329</v>
      </c>
    </row>
    <row r="609" spans="4:12" x14ac:dyDescent="0.25">
      <c r="D609" s="22">
        <f t="shared" ca="1" si="78"/>
        <v>6.9114486372973821E-2</v>
      </c>
      <c r="E609" s="11">
        <v>1.6861111111111111</v>
      </c>
      <c r="F609" s="11">
        <f t="shared" ca="1" si="79"/>
        <v>72.633719171251087</v>
      </c>
      <c r="G609" s="11">
        <f t="shared" ca="1" si="77"/>
        <v>6.0399919335634777</v>
      </c>
      <c r="H609" s="11">
        <f t="shared" ca="1" si="72"/>
        <v>0.83401826560514869</v>
      </c>
      <c r="I609" s="11">
        <f t="shared" ca="1" si="73"/>
        <v>60.577848487658272</v>
      </c>
      <c r="J609" s="11">
        <f t="shared" ca="1" si="74"/>
        <v>-54.537856554094795</v>
      </c>
      <c r="K609" s="11">
        <f t="shared" ca="1" si="75"/>
        <v>7.8275025534389329</v>
      </c>
      <c r="L609" s="20">
        <f t="shared" ca="1" si="76"/>
        <v>-1.7875106198754551</v>
      </c>
    </row>
    <row r="610" spans="4:12" x14ac:dyDescent="0.25">
      <c r="D610" s="22">
        <f t="shared" ca="1" si="78"/>
        <v>6.9278663959016842E-2</v>
      </c>
      <c r="E610" s="11">
        <v>1.6888888888888889</v>
      </c>
      <c r="F610" s="11">
        <f t="shared" ca="1" si="79"/>
        <v>72.34968684857968</v>
      </c>
      <c r="G610" s="11">
        <f t="shared" ca="1" si="77"/>
        <v>5.7926074734028887</v>
      </c>
      <c r="H610" s="11">
        <f t="shared" ca="1" si="72"/>
        <v>0.82577598732244117</v>
      </c>
      <c r="I610" s="11">
        <f t="shared" ca="1" si="73"/>
        <v>59.744634089855325</v>
      </c>
      <c r="J610" s="11">
        <f t="shared" ca="1" si="74"/>
        <v>-53.952026616452436</v>
      </c>
      <c r="K610" s="11">
        <f t="shared" ca="1" si="75"/>
        <v>7.5752667213381768</v>
      </c>
      <c r="L610" s="20">
        <f t="shared" ca="1" si="76"/>
        <v>-1.7826592479352881</v>
      </c>
    </row>
    <row r="611" spans="4:12" x14ac:dyDescent="0.25">
      <c r="D611" s="22">
        <f t="shared" ca="1" si="78"/>
        <v>6.9450097161106783E-2</v>
      </c>
      <c r="E611" s="11">
        <v>1.6916666666666667</v>
      </c>
      <c r="F611" s="11">
        <f t="shared" ca="1" si="79"/>
        <v>71.314159521814958</v>
      </c>
      <c r="G611" s="11">
        <f t="shared" ca="1" si="77"/>
        <v>4.9270846090190545</v>
      </c>
      <c r="H611" s="11">
        <f t="shared" ca="1" si="72"/>
        <v>0.79110167742465176</v>
      </c>
      <c r="I611" s="11">
        <f t="shared" ca="1" si="73"/>
        <v>56.416751221837018</v>
      </c>
      <c r="J611" s="11">
        <f t="shared" ca="1" si="74"/>
        <v>-51.489666612817963</v>
      </c>
      <c r="K611" s="11">
        <f t="shared" ca="1" si="75"/>
        <v>6.7208317761703205</v>
      </c>
      <c r="L611" s="20">
        <f t="shared" ca="1" si="76"/>
        <v>-1.7937471671512659</v>
      </c>
    </row>
    <row r="612" spans="4:12" x14ac:dyDescent="0.25">
      <c r="D612" s="22">
        <f t="shared" ca="1" si="78"/>
        <v>7.0051181184333247E-2</v>
      </c>
      <c r="E612" s="11">
        <v>1.6944444444444444</v>
      </c>
      <c r="F612" s="11">
        <f t="shared" ca="1" si="79"/>
        <v>71.634333036913759</v>
      </c>
      <c r="G612" s="11">
        <f t="shared" ca="1" si="77"/>
        <v>5.1703542391135144</v>
      </c>
      <c r="H612" s="11">
        <f t="shared" ca="1" si="72"/>
        <v>0.80340800386014799</v>
      </c>
      <c r="I612" s="11">
        <f t="shared" ca="1" si="73"/>
        <v>57.551596513039939</v>
      </c>
      <c r="J612" s="11">
        <f t="shared" ca="1" si="74"/>
        <v>-52.381242273926425</v>
      </c>
      <c r="K612" s="11">
        <f t="shared" ca="1" si="75"/>
        <v>6.9655249022388972</v>
      </c>
      <c r="L612" s="20">
        <f t="shared" ca="1" si="76"/>
        <v>-1.7951706631253828</v>
      </c>
    </row>
    <row r="613" spans="4:12" x14ac:dyDescent="0.25">
      <c r="D613" s="22">
        <f t="shared" ca="1" si="78"/>
        <v>7.0936735383846122E-2</v>
      </c>
      <c r="E613" s="11">
        <v>1.6972222222222222</v>
      </c>
      <c r="F613" s="11">
        <f t="shared" ca="1" si="79"/>
        <v>71.690056538590511</v>
      </c>
      <c r="G613" s="11">
        <f t="shared" ca="1" si="77"/>
        <v>5.2048003896012958</v>
      </c>
      <c r="H613" s="11">
        <f t="shared" ca="1" si="72"/>
        <v>0.80647906684680848</v>
      </c>
      <c r="I613" s="11">
        <f t="shared" ca="1" si="73"/>
        <v>57.816529899437413</v>
      </c>
      <c r="J613" s="11">
        <f t="shared" ca="1" si="74"/>
        <v>-52.611729509836117</v>
      </c>
      <c r="K613" s="11">
        <f t="shared" ca="1" si="75"/>
        <v>7.0041545030872712</v>
      </c>
      <c r="L613" s="20">
        <f t="shared" ca="1" si="76"/>
        <v>-1.7993541134859754</v>
      </c>
    </row>
    <row r="614" spans="4:12" x14ac:dyDescent="0.25">
      <c r="D614" s="22">
        <f t="shared" ca="1" si="78"/>
        <v>7.1404028184568855E-2</v>
      </c>
      <c r="E614" s="11">
        <v>1.7</v>
      </c>
      <c r="F614" s="11">
        <f t="shared" ca="1" si="79"/>
        <v>72.120111569707475</v>
      </c>
      <c r="G614" s="11">
        <f t="shared" ca="1" si="77"/>
        <v>5.5411944864537901</v>
      </c>
      <c r="H614" s="11">
        <f t="shared" ca="1" si="72"/>
        <v>0.82188208214312719</v>
      </c>
      <c r="I614" s="11">
        <f t="shared" ca="1" si="73"/>
        <v>59.27422746130582</v>
      </c>
      <c r="J614" s="11">
        <f t="shared" ca="1" si="74"/>
        <v>-53.73303297485203</v>
      </c>
      <c r="K614" s="11">
        <f t="shared" ca="1" si="75"/>
        <v>7.3416674775537079</v>
      </c>
      <c r="L614" s="20">
        <f t="shared" ca="1" si="76"/>
        <v>-1.8004729910999178</v>
      </c>
    </row>
    <row r="615" spans="4:12" x14ac:dyDescent="0.25">
      <c r="D615" s="22">
        <f t="shared" ca="1" si="78"/>
        <v>7.1602308468910983E-2</v>
      </c>
      <c r="E615" s="11">
        <v>1.7027777777777779</v>
      </c>
      <c r="F615" s="11">
        <f t="shared" ca="1" si="79"/>
        <v>72.267141210929097</v>
      </c>
      <c r="G615" s="11">
        <f t="shared" ca="1" si="77"/>
        <v>5.6513472034421923</v>
      </c>
      <c r="H615" s="11">
        <f t="shared" ca="1" si="72"/>
        <v>0.82735193244395888</v>
      </c>
      <c r="I615" s="11">
        <f t="shared" ca="1" si="73"/>
        <v>59.790358933062649</v>
      </c>
      <c r="J615" s="11">
        <f t="shared" ca="1" si="74"/>
        <v>-54.139011729620456</v>
      </c>
      <c r="K615" s="11">
        <f t="shared" ca="1" si="75"/>
        <v>7.4461701022264197</v>
      </c>
      <c r="L615" s="20">
        <f t="shared" ca="1" si="76"/>
        <v>-1.7948228987842274</v>
      </c>
    </row>
    <row r="616" spans="4:12" x14ac:dyDescent="0.25">
      <c r="D616" s="22">
        <f t="shared" ca="1" si="78"/>
        <v>7.096505541807098E-2</v>
      </c>
      <c r="E616" s="11">
        <v>1.7055555555555557</v>
      </c>
      <c r="F616" s="11">
        <f t="shared" ca="1" si="79"/>
        <v>73.215465810979964</v>
      </c>
      <c r="G616" s="11">
        <f t="shared" ca="1" si="77"/>
        <v>6.4252721809123017</v>
      </c>
      <c r="H616" s="11">
        <f t="shared" ca="1" si="72"/>
        <v>0.856392235466373</v>
      </c>
      <c r="I616" s="11">
        <f t="shared" ca="1" si="73"/>
        <v>62.701156436576937</v>
      </c>
      <c r="J616" s="11">
        <f t="shared" ca="1" si="74"/>
        <v>-56.275884255664636</v>
      </c>
      <c r="K616" s="11">
        <f t="shared" ca="1" si="75"/>
        <v>8.2152178211273998</v>
      </c>
      <c r="L616" s="20">
        <f t="shared" ca="1" si="76"/>
        <v>-1.7899456402150982</v>
      </c>
    </row>
    <row r="617" spans="4:12" x14ac:dyDescent="0.25">
      <c r="D617" s="22">
        <f t="shared" ca="1" si="78"/>
        <v>7.0789634393272724E-2</v>
      </c>
      <c r="E617" s="11">
        <v>1.7083333333333335</v>
      </c>
      <c r="F617" s="11">
        <f t="shared" ca="1" si="79"/>
        <v>71.905636019548368</v>
      </c>
      <c r="G617" s="11">
        <f t="shared" ca="1" si="77"/>
        <v>5.292477059483069</v>
      </c>
      <c r="H617" s="11">
        <f t="shared" ca="1" si="72"/>
        <v>0.81577041012755891</v>
      </c>
      <c r="I617" s="11">
        <f t="shared" ca="1" si="73"/>
        <v>58.658490186149947</v>
      </c>
      <c r="J617" s="11">
        <f t="shared" ca="1" si="74"/>
        <v>-53.366013126666878</v>
      </c>
      <c r="K617" s="11">
        <f t="shared" ca="1" si="75"/>
        <v>7.0969111122003063</v>
      </c>
      <c r="L617" s="20">
        <f t="shared" ca="1" si="76"/>
        <v>-1.8044340527172373</v>
      </c>
    </row>
    <row r="618" spans="4:12" x14ac:dyDescent="0.25">
      <c r="D618" s="22">
        <f t="shared" ca="1" si="78"/>
        <v>7.1724055778385643E-2</v>
      </c>
      <c r="E618" s="11">
        <v>1.7111111111111112</v>
      </c>
      <c r="F618" s="11">
        <f t="shared" ca="1" si="79"/>
        <v>71.911014623288594</v>
      </c>
      <c r="G618" s="11">
        <f t="shared" ca="1" si="77"/>
        <v>5.2862314090865254</v>
      </c>
      <c r="H618" s="11">
        <f t="shared" ca="1" si="72"/>
        <v>0.81714484002117049</v>
      </c>
      <c r="I618" s="11">
        <f t="shared" ca="1" si="73"/>
        <v>58.761714540107207</v>
      </c>
      <c r="J618" s="11">
        <f t="shared" ca="1" si="74"/>
        <v>-53.475483131020681</v>
      </c>
      <c r="K618" s="11">
        <f t="shared" ca="1" si="75"/>
        <v>7.0952385347926965</v>
      </c>
      <c r="L618" s="20">
        <f t="shared" ca="1" si="76"/>
        <v>-1.8090071257061711</v>
      </c>
    </row>
    <row r="619" spans="4:12" x14ac:dyDescent="0.25">
      <c r="D619" s="22">
        <f t="shared" ca="1" si="78"/>
        <v>7.035502107327446E-2</v>
      </c>
      <c r="E619" s="11">
        <v>1.713888888888889</v>
      </c>
      <c r="F619" s="11">
        <f t="shared" ca="1" si="79"/>
        <v>72.237005139694105</v>
      </c>
      <c r="G619" s="11">
        <f t="shared" ca="1" si="77"/>
        <v>5.5421611096915058</v>
      </c>
      <c r="H619" s="11">
        <f t="shared" ca="1" si="72"/>
        <v>0.82770999250962429</v>
      </c>
      <c r="I619" s="11">
        <f t="shared" ca="1" si="73"/>
        <v>59.791290983093901</v>
      </c>
      <c r="J619" s="11">
        <f t="shared" ca="1" si="74"/>
        <v>-54.249129873402396</v>
      </c>
      <c r="K619" s="11">
        <f t="shared" ca="1" si="75"/>
        <v>7.3228696944411116</v>
      </c>
      <c r="L619" s="20">
        <f t="shared" ca="1" si="76"/>
        <v>-1.7807085847496058</v>
      </c>
    </row>
    <row r="620" spans="4:12" x14ac:dyDescent="0.25">
      <c r="D620" s="22">
        <f t="shared" ca="1" si="78"/>
        <v>7.0680679586664436E-2</v>
      </c>
      <c r="E620" s="11">
        <v>1.7166666666666668</v>
      </c>
      <c r="F620" s="11">
        <f t="shared" ca="1" si="79"/>
        <v>73.475697931344698</v>
      </c>
      <c r="G620" s="11">
        <f t="shared" ca="1" si="77"/>
        <v>6.5567874504304555</v>
      </c>
      <c r="H620" s="11">
        <f t="shared" ca="1" si="72"/>
        <v>0.86606776044403633</v>
      </c>
      <c r="I620" s="11">
        <f t="shared" ca="1" si="73"/>
        <v>63.634933154462217</v>
      </c>
      <c r="J620" s="11">
        <f t="shared" ca="1" si="74"/>
        <v>-57.078145704031762</v>
      </c>
      <c r="K620" s="11">
        <f t="shared" ca="1" si="75"/>
        <v>8.3581005934721073</v>
      </c>
      <c r="L620" s="20">
        <f t="shared" ca="1" si="76"/>
        <v>-1.8013131430416518</v>
      </c>
    </row>
    <row r="621" spans="4:12" x14ac:dyDescent="0.25">
      <c r="D621" s="22">
        <f t="shared" ca="1" si="78"/>
        <v>7.0724850954256485E-2</v>
      </c>
      <c r="E621" s="11">
        <v>1.7194444444444446</v>
      </c>
      <c r="F621" s="11">
        <f t="shared" ca="1" si="79"/>
        <v>72.015112067945736</v>
      </c>
      <c r="G621" s="11">
        <f t="shared" ca="1" si="77"/>
        <v>5.2806065674787632</v>
      </c>
      <c r="H621" s="11">
        <f t="shared" ca="1" si="72"/>
        <v>0.82164871138728146</v>
      </c>
      <c r="I621" s="11">
        <f t="shared" ca="1" si="73"/>
        <v>59.171124031038275</v>
      </c>
      <c r="J621" s="11">
        <f t="shared" ca="1" si="74"/>
        <v>-53.890517463559512</v>
      </c>
      <c r="K621" s="11">
        <f t="shared" ca="1" si="75"/>
        <v>7.1054419895983596</v>
      </c>
      <c r="L621" s="20">
        <f t="shared" ca="1" si="76"/>
        <v>-1.8248354221195964</v>
      </c>
    </row>
    <row r="622" spans="4:12" x14ac:dyDescent="0.25">
      <c r="D622" s="22">
        <f t="shared" ca="1" si="78"/>
        <v>7.0915844245759571E-2</v>
      </c>
      <c r="E622" s="11">
        <v>1.7222222222222223</v>
      </c>
      <c r="F622" s="11">
        <f t="shared" ca="1" si="79"/>
        <v>72.419333947216941</v>
      </c>
      <c r="G622" s="11">
        <f t="shared" ca="1" si="77"/>
        <v>5.6021180981908145</v>
      </c>
      <c r="H622" s="11">
        <f t="shared" ca="1" si="72"/>
        <v>0.83583339147232094</v>
      </c>
      <c r="I622" s="11">
        <f t="shared" ca="1" si="73"/>
        <v>60.530497501268918</v>
      </c>
      <c r="J622" s="11">
        <f t="shared" ca="1" si="74"/>
        <v>-54.928379403078104</v>
      </c>
      <c r="K622" s="11">
        <f t="shared" ca="1" si="75"/>
        <v>7.4232690294878276</v>
      </c>
      <c r="L622" s="20">
        <f t="shared" ca="1" si="76"/>
        <v>-1.8211509312970131</v>
      </c>
    </row>
    <row r="623" spans="4:12" x14ac:dyDescent="0.25">
      <c r="D623" s="22">
        <f t="shared" ca="1" si="78"/>
        <v>7.0361999076270165E-2</v>
      </c>
      <c r="E623" s="11">
        <v>1.7250000000000001</v>
      </c>
      <c r="F623" s="11">
        <f t="shared" ca="1" si="79"/>
        <v>71.296170884659119</v>
      </c>
      <c r="G623" s="11">
        <f t="shared" ca="1" si="77"/>
        <v>4.6526041056036149</v>
      </c>
      <c r="H623" s="11">
        <f t="shared" ca="1" si="72"/>
        <v>0.79659154545228605</v>
      </c>
      <c r="I623" s="11">
        <f t="shared" ca="1" si="73"/>
        <v>56.793926949840888</v>
      </c>
      <c r="J623" s="11">
        <f t="shared" ca="1" si="74"/>
        <v>-52.141322844237273</v>
      </c>
      <c r="K623" s="11">
        <f t="shared" ca="1" si="75"/>
        <v>6.4778053245772034</v>
      </c>
      <c r="L623" s="20">
        <f t="shared" ca="1" si="76"/>
        <v>-1.8252012189735884</v>
      </c>
    </row>
    <row r="624" spans="4:12" x14ac:dyDescent="0.25">
      <c r="D624" s="22">
        <f t="shared" ca="1" si="78"/>
        <v>7.0969400397529275E-2</v>
      </c>
      <c r="E624" s="11">
        <v>1.7277777777777779</v>
      </c>
      <c r="F624" s="11">
        <f t="shared" ca="1" si="79"/>
        <v>71.118588419631223</v>
      </c>
      <c r="G624" s="11">
        <f t="shared" ca="1" si="77"/>
        <v>4.5008634064828286</v>
      </c>
      <c r="H624" s="11">
        <f t="shared" ca="1" si="72"/>
        <v>0.79074517297618163</v>
      </c>
      <c r="I624" s="11">
        <f t="shared" ca="1" si="73"/>
        <v>56.236680501703162</v>
      </c>
      <c r="J624" s="11">
        <f t="shared" ca="1" si="74"/>
        <v>-51.735817095220334</v>
      </c>
      <c r="K624" s="11">
        <f t="shared" ca="1" si="75"/>
        <v>6.3245678847083164</v>
      </c>
      <c r="L624" s="20">
        <f t="shared" ca="1" si="76"/>
        <v>-1.8237044782254879</v>
      </c>
    </row>
    <row r="625" spans="4:12" x14ac:dyDescent="0.25">
      <c r="D625" s="22">
        <f t="shared" ca="1" si="78"/>
        <v>7.1951607714359031E-2</v>
      </c>
      <c r="E625" s="11">
        <v>1.7305555555555556</v>
      </c>
      <c r="F625" s="11">
        <f t="shared" ca="1" si="79"/>
        <v>71.320079087728615</v>
      </c>
      <c r="G625" s="11">
        <f t="shared" ca="1" si="77"/>
        <v>4.6498499373513269</v>
      </c>
      <c r="H625" s="11">
        <f t="shared" ca="1" si="72"/>
        <v>0.79969599007294245</v>
      </c>
      <c r="I625" s="11">
        <f t="shared" ca="1" si="73"/>
        <v>57.034381258141693</v>
      </c>
      <c r="J625" s="11">
        <f t="shared" ca="1" si="74"/>
        <v>-52.384531320790366</v>
      </c>
      <c r="K625" s="11">
        <f t="shared" ca="1" si="75"/>
        <v>6.4773987190077573</v>
      </c>
      <c r="L625" s="20">
        <f t="shared" ca="1" si="76"/>
        <v>-1.8275487816564304</v>
      </c>
    </row>
    <row r="626" spans="4:12" x14ac:dyDescent="0.25">
      <c r="D626" s="22">
        <f t="shared" ca="1" si="78"/>
        <v>7.2428786350903107E-2</v>
      </c>
      <c r="E626" s="11">
        <v>1.7333333333333334</v>
      </c>
      <c r="F626" s="11">
        <f t="shared" ca="1" si="79"/>
        <v>71.488484212491429</v>
      </c>
      <c r="G626" s="11">
        <f t="shared" ca="1" si="77"/>
        <v>4.7739824799788764</v>
      </c>
      <c r="H626" s="11">
        <f t="shared" ca="1" si="72"/>
        <v>0.80689118683691896</v>
      </c>
      <c r="I626" s="11">
        <f t="shared" ca="1" si="73"/>
        <v>57.683427871389554</v>
      </c>
      <c r="J626" s="11">
        <f t="shared" ca="1" si="74"/>
        <v>-52.909445391410678</v>
      </c>
      <c r="K626" s="11">
        <f t="shared" ca="1" si="75"/>
        <v>6.5983705549278886</v>
      </c>
      <c r="L626" s="20">
        <f t="shared" ca="1" si="76"/>
        <v>-1.8243880749490122</v>
      </c>
    </row>
    <row r="627" spans="4:12" x14ac:dyDescent="0.25">
      <c r="D627" s="22">
        <f t="shared" ca="1" si="78"/>
        <v>7.3309343267769084E-2</v>
      </c>
      <c r="E627" s="11">
        <v>1.7361111111111112</v>
      </c>
      <c r="F627" s="11">
        <f t="shared" ca="1" si="79"/>
        <v>71.662389601373036</v>
      </c>
      <c r="G627" s="11">
        <f t="shared" ca="1" si="77"/>
        <v>4.9035297843596979</v>
      </c>
      <c r="H627" s="11">
        <f t="shared" ca="1" si="72"/>
        <v>0.81446132903508173</v>
      </c>
      <c r="I627" s="11">
        <f t="shared" ca="1" si="73"/>
        <v>58.366245076564105</v>
      </c>
      <c r="J627" s="11">
        <f t="shared" ca="1" si="74"/>
        <v>-53.462715292204408</v>
      </c>
      <c r="K627" s="11">
        <f t="shared" ca="1" si="75"/>
        <v>6.7305030096861644</v>
      </c>
      <c r="L627" s="20">
        <f t="shared" ca="1" si="76"/>
        <v>-1.8269732253264666</v>
      </c>
    </row>
    <row r="628" spans="4:12" x14ac:dyDescent="0.25">
      <c r="D628" s="22">
        <f t="shared" ca="1" si="78"/>
        <v>7.3719430484456908E-2</v>
      </c>
      <c r="E628" s="11">
        <v>1.7388888888888889</v>
      </c>
      <c r="F628" s="11">
        <f t="shared" ca="1" si="79"/>
        <v>71.768021851139693</v>
      </c>
      <c r="G628" s="11">
        <f t="shared" ca="1" si="77"/>
        <v>4.9786141544291596</v>
      </c>
      <c r="H628" s="11">
        <f t="shared" ca="1" si="72"/>
        <v>0.8191489372500721</v>
      </c>
      <c r="I628" s="11">
        <f t="shared" ca="1" si="73"/>
        <v>58.78869882790103</v>
      </c>
      <c r="J628" s="11">
        <f t="shared" ca="1" si="74"/>
        <v>-53.81008467347187</v>
      </c>
      <c r="K628" s="11">
        <f t="shared" ca="1" si="75"/>
        <v>6.8014660921444792</v>
      </c>
      <c r="L628" s="20">
        <f t="shared" ca="1" si="76"/>
        <v>-1.8228519377153196</v>
      </c>
    </row>
    <row r="629" spans="4:12" x14ac:dyDescent="0.25">
      <c r="D629" s="22">
        <f t="shared" ca="1" si="78"/>
        <v>7.3763135437520985E-2</v>
      </c>
      <c r="E629" s="11">
        <v>1.7416666666666667</v>
      </c>
      <c r="F629" s="11">
        <f t="shared" ca="1" si="79"/>
        <v>71.688641795954652</v>
      </c>
      <c r="G629" s="11">
        <f t="shared" ca="1" si="77"/>
        <v>4.9025633798319319</v>
      </c>
      <c r="H629" s="11">
        <f t="shared" ca="1" si="72"/>
        <v>0.81691760021019899</v>
      </c>
      <c r="I629" s="11">
        <f t="shared" ca="1" si="73"/>
        <v>58.563713218279844</v>
      </c>
      <c r="J629" s="11">
        <f t="shared" ca="1" si="74"/>
        <v>-53.661149838447912</v>
      </c>
      <c r="K629" s="11">
        <f t="shared" ca="1" si="75"/>
        <v>6.7161561665514693</v>
      </c>
      <c r="L629" s="20">
        <f t="shared" ca="1" si="76"/>
        <v>-1.8135927867195374</v>
      </c>
    </row>
    <row r="630" spans="4:12" x14ac:dyDescent="0.25">
      <c r="D630" s="22">
        <f t="shared" ca="1" si="78"/>
        <v>7.2830925022893372E-2</v>
      </c>
      <c r="E630" s="11">
        <v>1.7444444444444445</v>
      </c>
      <c r="F630" s="11">
        <f t="shared" ca="1" si="79"/>
        <v>72.877797361474464</v>
      </c>
      <c r="G630" s="11">
        <f t="shared" ca="1" si="77"/>
        <v>5.8631483058690819</v>
      </c>
      <c r="H630" s="11">
        <f t="shared" ca="1" si="72"/>
        <v>0.85687072696561473</v>
      </c>
      <c r="I630" s="11">
        <f t="shared" ca="1" si="73"/>
        <v>62.446851204779385</v>
      </c>
      <c r="J630" s="11">
        <f t="shared" ca="1" si="74"/>
        <v>-56.583702898910303</v>
      </c>
      <c r="K630" s="11">
        <f t="shared" ca="1" si="75"/>
        <v>7.6786459749338905</v>
      </c>
      <c r="L630" s="20">
        <f t="shared" ca="1" si="76"/>
        <v>-1.8154976690648086</v>
      </c>
    </row>
    <row r="631" spans="4:12" x14ac:dyDescent="0.25">
      <c r="D631" s="22">
        <f t="shared" ca="1" si="78"/>
        <v>7.3341828116960939E-2</v>
      </c>
      <c r="E631" s="11">
        <v>1.7472222222222222</v>
      </c>
      <c r="F631" s="11">
        <f t="shared" ca="1" si="79"/>
        <v>73.425810936240026</v>
      </c>
      <c r="G631" s="11">
        <f t="shared" ca="1" si="77"/>
        <v>6.3211962767037519</v>
      </c>
      <c r="H631" s="11">
        <f t="shared" ca="1" si="72"/>
        <v>0.87398456408345893</v>
      </c>
      <c r="I631" s="11">
        <f t="shared" ca="1" si="73"/>
        <v>64.173025363584216</v>
      </c>
      <c r="J631" s="11">
        <f t="shared" ca="1" si="74"/>
        <v>-57.851829086880464</v>
      </c>
      <c r="K631" s="11">
        <f t="shared" ca="1" si="75"/>
        <v>8.140199458062007</v>
      </c>
      <c r="L631" s="20">
        <f t="shared" ca="1" si="76"/>
        <v>-1.819003181358255</v>
      </c>
    </row>
    <row r="632" spans="4:12" x14ac:dyDescent="0.25">
      <c r="D632" s="22">
        <f t="shared" ca="1" si="78"/>
        <v>7.2428076409024711E-2</v>
      </c>
      <c r="E632" s="11">
        <v>1.75</v>
      </c>
      <c r="F632" s="11">
        <f t="shared" ca="1" si="79"/>
        <v>74.696991254685827</v>
      </c>
      <c r="G632" s="11">
        <f t="shared" ca="1" si="77"/>
        <v>7.420547924784664</v>
      </c>
      <c r="H632" s="11">
        <f t="shared" ca="1" si="72"/>
        <v>0.90633888480757707</v>
      </c>
      <c r="I632" s="11">
        <f t="shared" ca="1" si="73"/>
        <v>67.700787752253291</v>
      </c>
      <c r="J632" s="11">
        <f t="shared" ca="1" si="74"/>
        <v>-60.280239827468627</v>
      </c>
      <c r="K632" s="11">
        <f t="shared" ca="1" si="75"/>
        <v>9.2400823499462383</v>
      </c>
      <c r="L632" s="20">
        <f t="shared" ca="1" si="76"/>
        <v>-1.8195344251615744</v>
      </c>
    </row>
    <row r="633" spans="4:12" x14ac:dyDescent="0.25">
      <c r="D633" s="22">
        <f t="shared" ca="1" si="78"/>
        <v>7.1272351306093037E-2</v>
      </c>
      <c r="E633" s="11">
        <v>1.7527777777777778</v>
      </c>
      <c r="F633" s="11">
        <f t="shared" ca="1" si="79"/>
        <v>74.051531951449178</v>
      </c>
      <c r="G633" s="11">
        <f t="shared" ca="1" si="77"/>
        <v>6.8236076715133791</v>
      </c>
      <c r="H633" s="11">
        <f t="shared" ca="1" si="72"/>
        <v>0.89124977402121119</v>
      </c>
      <c r="I633" s="11">
        <f t="shared" ca="1" si="73"/>
        <v>65.998411117653575</v>
      </c>
      <c r="J633" s="11">
        <f t="shared" ca="1" si="74"/>
        <v>-59.174803446140196</v>
      </c>
      <c r="K633" s="11">
        <f t="shared" ca="1" si="75"/>
        <v>8.6243124398412014</v>
      </c>
      <c r="L633" s="20">
        <f t="shared" ca="1" si="76"/>
        <v>-1.8007047683278223</v>
      </c>
    </row>
    <row r="634" spans="4:12" x14ac:dyDescent="0.25">
      <c r="D634" s="22">
        <f t="shared" ca="1" si="78"/>
        <v>7.1405819507018436E-2</v>
      </c>
      <c r="E634" s="11">
        <v>1.7555555555555555</v>
      </c>
      <c r="F634" s="11">
        <f t="shared" ca="1" si="79"/>
        <v>74.873063701704552</v>
      </c>
      <c r="G634" s="11">
        <f t="shared" ca="1" si="77"/>
        <v>7.5440592015646146</v>
      </c>
      <c r="H634" s="11">
        <f t="shared" ca="1" si="72"/>
        <v>0.91141680434203143</v>
      </c>
      <c r="I634" s="11">
        <f t="shared" ca="1" si="73"/>
        <v>68.24056845030492</v>
      </c>
      <c r="J634" s="11">
        <f t="shared" ca="1" si="74"/>
        <v>-60.696509248740306</v>
      </c>
      <c r="K634" s="11">
        <f t="shared" ca="1" si="75"/>
        <v>9.3481458999600431</v>
      </c>
      <c r="L634" s="20">
        <f t="shared" ca="1" si="76"/>
        <v>-1.8040866983954285</v>
      </c>
    </row>
    <row r="635" spans="4:12" x14ac:dyDescent="0.25">
      <c r="D635" s="22">
        <f t="shared" ca="1" si="78"/>
        <v>7.1224503040514461E-2</v>
      </c>
      <c r="E635" s="11">
        <v>1.7583333333333333</v>
      </c>
      <c r="F635" s="11">
        <f t="shared" ca="1" si="79"/>
        <v>73.886322144904298</v>
      </c>
      <c r="G635" s="11">
        <f t="shared" ca="1" si="77"/>
        <v>6.6327166251894809</v>
      </c>
      <c r="H635" s="11">
        <f t="shared" ca="1" si="72"/>
        <v>0.88863562961727083</v>
      </c>
      <c r="I635" s="11">
        <f t="shared" ca="1" si="73"/>
        <v>65.658018399341529</v>
      </c>
      <c r="J635" s="11">
        <f t="shared" ca="1" si="74"/>
        <v>-59.025301774152048</v>
      </c>
      <c r="K635" s="11">
        <f t="shared" ca="1" si="75"/>
        <v>8.4382998927571471</v>
      </c>
      <c r="L635" s="20">
        <f t="shared" ca="1" si="76"/>
        <v>-1.8055832675676662</v>
      </c>
    </row>
    <row r="636" spans="4:12" x14ac:dyDescent="0.25">
      <c r="D636" s="22">
        <f t="shared" ca="1" si="78"/>
        <v>7.2862646914278628E-2</v>
      </c>
      <c r="E636" s="11">
        <v>1.7611111111111111</v>
      </c>
      <c r="F636" s="11">
        <f t="shared" ca="1" si="79"/>
        <v>74.470627580781823</v>
      </c>
      <c r="G636" s="11">
        <f t="shared" ca="1" si="77"/>
        <v>7.1400035458161923</v>
      </c>
      <c r="H636" s="11">
        <f t="shared" ca="1" si="72"/>
        <v>0.90462530676965147</v>
      </c>
      <c r="I636" s="11">
        <f t="shared" ca="1" si="73"/>
        <v>67.368014320593218</v>
      </c>
      <c r="J636" s="11">
        <f t="shared" ca="1" si="74"/>
        <v>-60.228010774777026</v>
      </c>
      <c r="K636" s="11">
        <f t="shared" ca="1" si="75"/>
        <v>8.9659310128221019</v>
      </c>
      <c r="L636" s="20">
        <f t="shared" ca="1" si="76"/>
        <v>-1.8259274670059096</v>
      </c>
    </row>
    <row r="637" spans="4:12" x14ac:dyDescent="0.25">
      <c r="D637" s="22">
        <f t="shared" ca="1" si="78"/>
        <v>7.2597494818315678E-2</v>
      </c>
      <c r="E637" s="11">
        <v>1.7638888888888891</v>
      </c>
      <c r="F637" s="11">
        <f t="shared" ca="1" si="79"/>
        <v>74.348779168639879</v>
      </c>
      <c r="G637" s="11">
        <f t="shared" ca="1" si="77"/>
        <v>7.017629600829288</v>
      </c>
      <c r="H637" s="11">
        <f t="shared" ca="1" si="72"/>
        <v>0.90249341365071789</v>
      </c>
      <c r="I637" s="11">
        <f t="shared" ca="1" si="73"/>
        <v>67.099283512669189</v>
      </c>
      <c r="J637" s="11">
        <f t="shared" ca="1" si="74"/>
        <v>-60.081653911839901</v>
      </c>
      <c r="K637" s="11">
        <f t="shared" ca="1" si="75"/>
        <v>8.8331263483917688</v>
      </c>
      <c r="L637" s="20">
        <f t="shared" ca="1" si="76"/>
        <v>-1.8154967475624808</v>
      </c>
    </row>
    <row r="638" spans="4:12" x14ac:dyDescent="0.25">
      <c r="D638" s="22">
        <f t="shared" ca="1" si="78"/>
        <v>7.2874255535715471E-2</v>
      </c>
      <c r="E638" s="11">
        <v>1.7666666666666668</v>
      </c>
      <c r="F638" s="11">
        <f t="shared" ca="1" si="79"/>
        <v>73.764998838091131</v>
      </c>
      <c r="G638" s="11">
        <f t="shared" ca="1" si="77"/>
        <v>6.478608228081562</v>
      </c>
      <c r="H638" s="11">
        <f t="shared" ca="1" si="72"/>
        <v>0.88876597594073492</v>
      </c>
      <c r="I638" s="11">
        <f t="shared" ca="1" si="73"/>
        <v>65.559821182603244</v>
      </c>
      <c r="J638" s="11">
        <f t="shared" ca="1" si="74"/>
        <v>-59.081212954521682</v>
      </c>
      <c r="K638" s="11">
        <f t="shared" ca="1" si="75"/>
        <v>8.294600272284006</v>
      </c>
      <c r="L638" s="20">
        <f t="shared" ca="1" si="76"/>
        <v>-1.815992044202444</v>
      </c>
    </row>
    <row r="639" spans="4:12" x14ac:dyDescent="0.25">
      <c r="D639" s="22">
        <f t="shared" ca="1" si="78"/>
        <v>7.2392894529177548E-2</v>
      </c>
      <c r="E639" s="11">
        <v>1.7694444444444446</v>
      </c>
      <c r="F639" s="11">
        <f t="shared" ca="1" si="79"/>
        <v>73.140447213997774</v>
      </c>
      <c r="G639" s="11">
        <f t="shared" ca="1" si="77"/>
        <v>5.9116460774609791</v>
      </c>
      <c r="H639" s="11">
        <f t="shared" ca="1" si="72"/>
        <v>0.87179887325411576</v>
      </c>
      <c r="I639" s="11">
        <f t="shared" ca="1" si="73"/>
        <v>63.763759470465388</v>
      </c>
      <c r="J639" s="11">
        <f t="shared" ca="1" si="74"/>
        <v>-57.852113393004409</v>
      </c>
      <c r="K639" s="11">
        <f t="shared" ca="1" si="75"/>
        <v>7.7185026744544176</v>
      </c>
      <c r="L639" s="20">
        <f t="shared" ca="1" si="76"/>
        <v>-1.8068565969934385</v>
      </c>
    </row>
    <row r="640" spans="4:12" x14ac:dyDescent="0.25">
      <c r="D640" s="22">
        <f t="shared" ca="1" si="78"/>
        <v>7.252903250702436E-2</v>
      </c>
      <c r="E640" s="11">
        <v>1.7722222222222224</v>
      </c>
      <c r="F640" s="11">
        <f t="shared" ca="1" si="79"/>
        <v>72.286257451543946</v>
      </c>
      <c r="G640" s="11">
        <f t="shared" ca="1" si="77"/>
        <v>5.1553077924527031</v>
      </c>
      <c r="H640" s="11">
        <f t="shared" ca="1" si="72"/>
        <v>0.8452803198390364</v>
      </c>
      <c r="I640" s="11">
        <f t="shared" ca="1" si="73"/>
        <v>61.102150818607996</v>
      </c>
      <c r="J640" s="11">
        <f t="shared" ca="1" si="74"/>
        <v>-55.946843026155292</v>
      </c>
      <c r="K640" s="11">
        <f t="shared" ca="1" si="75"/>
        <v>6.9660513073917114</v>
      </c>
      <c r="L640" s="20">
        <f t="shared" ca="1" si="76"/>
        <v>-1.8107435149390083</v>
      </c>
    </row>
    <row r="641" spans="4:12" x14ac:dyDescent="0.25">
      <c r="D641" s="22">
        <f t="shared" ca="1" si="78"/>
        <v>7.2753800639401803E-2</v>
      </c>
      <c r="E641" s="11">
        <v>1.7750000000000001</v>
      </c>
      <c r="F641" s="11">
        <f t="shared" ca="1" si="79"/>
        <v>73.957979207319397</v>
      </c>
      <c r="G641" s="11">
        <f t="shared" ca="1" si="77"/>
        <v>6.5570736351130776</v>
      </c>
      <c r="H641" s="11">
        <f t="shared" ca="1" si="72"/>
        <v>0.89643120036114821</v>
      </c>
      <c r="I641" s="11">
        <f t="shared" ca="1" si="73"/>
        <v>66.298240077102164</v>
      </c>
      <c r="J641" s="11">
        <f t="shared" ca="1" si="74"/>
        <v>-59.741166441989087</v>
      </c>
      <c r="K641" s="11">
        <f t="shared" ca="1" si="75"/>
        <v>8.4065665705201855</v>
      </c>
      <c r="L641" s="20">
        <f t="shared" ca="1" si="76"/>
        <v>-1.8494929354071079</v>
      </c>
    </row>
    <row r="642" spans="4:12" x14ac:dyDescent="0.25">
      <c r="D642" s="22">
        <f t="shared" ca="1" si="78"/>
        <v>7.2074109110386031E-2</v>
      </c>
      <c r="E642" s="11">
        <v>1.7777777777777779</v>
      </c>
      <c r="F642" s="11">
        <f t="shared" ca="1" si="79"/>
        <v>73.247976527413556</v>
      </c>
      <c r="G642" s="11">
        <f t="shared" ca="1" si="77"/>
        <v>5.9086433516176413</v>
      </c>
      <c r="H642" s="11">
        <f t="shared" ref="H642:H705" ca="1" si="80">BSGreeks(F642,$B$3,$B$6 - E642,D642, $B$5,$H$1)</f>
        <v>0.87752117158376353</v>
      </c>
      <c r="I642" s="11">
        <f t="shared" ref="I642:I705" ca="1" si="81">F642*H642</f>
        <v>64.276650178475961</v>
      </c>
      <c r="J642" s="11">
        <f t="shared" ref="J642:J705" ca="1" si="82">G642 - I642</f>
        <v>-58.36800682685832</v>
      </c>
      <c r="K642" s="11">
        <f t="shared" ref="K642:K705" ca="1" si="83">BSCall(F642,$B$3, $B$6 - E642,D642,$B$5)</f>
        <v>7.7481704455653331</v>
      </c>
      <c r="L642" s="20">
        <f t="shared" ref="L642:L705" ca="1" si="84">G642 - K642</f>
        <v>-1.8395270939476918</v>
      </c>
    </row>
    <row r="643" spans="4:12" x14ac:dyDescent="0.25">
      <c r="D643" s="22">
        <f t="shared" ca="1" si="78"/>
        <v>7.2691298857706393E-2</v>
      </c>
      <c r="E643" s="11">
        <v>1.7805555555555557</v>
      </c>
      <c r="F643" s="11">
        <f t="shared" ca="1" si="79"/>
        <v>73.695176898344286</v>
      </c>
      <c r="G643" s="11">
        <f t="shared" ref="G643:G706" ca="1" si="85" xml:space="preserve"> H642*F643 + J642* EXP(D643*(E643 - E642))</f>
        <v>6.2892842711184826</v>
      </c>
      <c r="H643" s="11">
        <f t="shared" ca="1" si="80"/>
        <v>0.89134309104269327</v>
      </c>
      <c r="I643" s="11">
        <f t="shared" ca="1" si="81"/>
        <v>65.687686771508282</v>
      </c>
      <c r="J643" s="11">
        <f t="shared" ca="1" si="82"/>
        <v>-59.3984025003898</v>
      </c>
      <c r="K643" s="11">
        <f t="shared" ca="1" si="83"/>
        <v>8.1315815767177302</v>
      </c>
      <c r="L643" s="20">
        <f t="shared" ca="1" si="84"/>
        <v>-1.8422973055992475</v>
      </c>
    </row>
    <row r="644" spans="4:12" x14ac:dyDescent="0.25">
      <c r="D644" s="22">
        <f t="shared" ref="D644:D707" ca="1" si="86">D643*1.002 + $B$5*D643*SQRT(E644-E643)*_xlfn.NORM.S.INV(RAND())</f>
        <v>7.3093773119780714E-2</v>
      </c>
      <c r="E644" s="11">
        <v>1.7833333333333334</v>
      </c>
      <c r="F644" s="11">
        <f t="shared" ref="F644:F707" ca="1" si="87">F643 + D643*F643*(E644-E643) + $B$5*F643*SQRT(E644-E643)*_xlfn.NORM.S.INV(RAND())</f>
        <v>73.0302117577057</v>
      </c>
      <c r="G644" s="11">
        <f t="shared" ca="1" si="85"/>
        <v>5.6845108145962158</v>
      </c>
      <c r="H644" s="11">
        <f t="shared" ca="1" si="80"/>
        <v>0.87335445568483883</v>
      </c>
      <c r="I644" s="11">
        <f t="shared" ca="1" si="81"/>
        <v>63.781260838199579</v>
      </c>
      <c r="J644" s="11">
        <f t="shared" ca="1" si="82"/>
        <v>-58.096750023603363</v>
      </c>
      <c r="K644" s="11">
        <f t="shared" ca="1" si="83"/>
        <v>7.5295956460541982</v>
      </c>
      <c r="L644" s="20">
        <f t="shared" ca="1" si="84"/>
        <v>-1.8450848314579824</v>
      </c>
    </row>
    <row r="645" spans="4:12" x14ac:dyDescent="0.25">
      <c r="D645" s="22">
        <f t="shared" ca="1" si="86"/>
        <v>7.3377538596298184E-2</v>
      </c>
      <c r="E645" s="11">
        <v>1.7861111111111112</v>
      </c>
      <c r="F645" s="11">
        <f t="shared" ca="1" si="87"/>
        <v>73.213281889962005</v>
      </c>
      <c r="G645" s="11">
        <f t="shared" ca="1" si="85"/>
        <v>5.83255306640919</v>
      </c>
      <c r="H645" s="11">
        <f t="shared" ca="1" si="80"/>
        <v>0.87994545285301617</v>
      </c>
      <c r="I645" s="11">
        <f t="shared" ca="1" si="81"/>
        <v>64.423694487518148</v>
      </c>
      <c r="J645" s="11">
        <f t="shared" ca="1" si="82"/>
        <v>-58.591141421108958</v>
      </c>
      <c r="K645" s="11">
        <f t="shared" ca="1" si="83"/>
        <v>7.6731169126630965</v>
      </c>
      <c r="L645" s="20">
        <f t="shared" ca="1" si="84"/>
        <v>-1.8405638462539065</v>
      </c>
    </row>
    <row r="646" spans="4:12" x14ac:dyDescent="0.25">
      <c r="D646" s="22">
        <f t="shared" ca="1" si="86"/>
        <v>7.4214141038300915E-2</v>
      </c>
      <c r="E646" s="11">
        <v>1.788888888888889</v>
      </c>
      <c r="F646" s="11">
        <f t="shared" ca="1" si="87"/>
        <v>73.0228796663596</v>
      </c>
      <c r="G646" s="11">
        <f t="shared" ca="1" si="85"/>
        <v>5.6529296636905073</v>
      </c>
      <c r="H646" s="11">
        <f t="shared" ca="1" si="80"/>
        <v>0.87558155661315096</v>
      </c>
      <c r="I646" s="11">
        <f t="shared" ca="1" si="81"/>
        <v>63.937486646645951</v>
      </c>
      <c r="J646" s="11">
        <f t="shared" ca="1" si="82"/>
        <v>-58.284556982955444</v>
      </c>
      <c r="K646" s="11">
        <f t="shared" ca="1" si="83"/>
        <v>7.4955178497982313</v>
      </c>
      <c r="L646" s="20">
        <f t="shared" ca="1" si="84"/>
        <v>-1.842588186107724</v>
      </c>
    </row>
    <row r="647" spans="4:12" x14ac:dyDescent="0.25">
      <c r="D647" s="22">
        <f t="shared" ca="1" si="86"/>
        <v>7.4511642954029067E-2</v>
      </c>
      <c r="E647" s="11">
        <v>1.7916666666666667</v>
      </c>
      <c r="F647" s="11">
        <f t="shared" ca="1" si="87"/>
        <v>74.264954581126716</v>
      </c>
      <c r="G647" s="11">
        <f t="shared" ca="1" si="85"/>
        <v>6.7284027521920748</v>
      </c>
      <c r="H647" s="11">
        <f t="shared" ca="1" si="80"/>
        <v>0.91043122309705371</v>
      </c>
      <c r="I647" s="11">
        <f t="shared" ca="1" si="81"/>
        <v>67.613133432542341</v>
      </c>
      <c r="J647" s="11">
        <f t="shared" ca="1" si="82"/>
        <v>-60.884730680350266</v>
      </c>
      <c r="K647" s="11">
        <f t="shared" ca="1" si="83"/>
        <v>8.5890542519825743</v>
      </c>
      <c r="L647" s="20">
        <f t="shared" ca="1" si="84"/>
        <v>-1.8606514997904995</v>
      </c>
    </row>
    <row r="648" spans="4:12" x14ac:dyDescent="0.25">
      <c r="D648" s="22">
        <f t="shared" ca="1" si="86"/>
        <v>7.3538732538763057E-2</v>
      </c>
      <c r="E648" s="11">
        <v>1.7944444444444445</v>
      </c>
      <c r="F648" s="11">
        <f t="shared" ca="1" si="87"/>
        <v>75.26157536512298</v>
      </c>
      <c r="G648" s="11">
        <f t="shared" ca="1" si="85"/>
        <v>7.623318978019519</v>
      </c>
      <c r="H648" s="11">
        <f t="shared" ca="1" si="80"/>
        <v>0.93246097371225778</v>
      </c>
      <c r="I648" s="11">
        <f t="shared" ca="1" si="81"/>
        <v>70.178481848081049</v>
      </c>
      <c r="J648" s="11">
        <f t="shared" ca="1" si="82"/>
        <v>-62.55516287006153</v>
      </c>
      <c r="K648" s="11">
        <f t="shared" ca="1" si="83"/>
        <v>9.4767430800802774</v>
      </c>
      <c r="L648" s="20">
        <f t="shared" ca="1" si="84"/>
        <v>-1.8534241020607585</v>
      </c>
    </row>
    <row r="649" spans="4:12" x14ac:dyDescent="0.25">
      <c r="D649" s="22">
        <f t="shared" ca="1" si="86"/>
        <v>7.2954211404769168E-2</v>
      </c>
      <c r="E649" s="11">
        <v>1.7972222222222223</v>
      </c>
      <c r="F649" s="11">
        <f t="shared" ca="1" si="87"/>
        <v>75.228168025264196</v>
      </c>
      <c r="G649" s="11">
        <f t="shared" ca="1" si="85"/>
        <v>7.5794898123040753</v>
      </c>
      <c r="H649" s="11">
        <f t="shared" ca="1" si="80"/>
        <v>0.93260058901406306</v>
      </c>
      <c r="I649" s="11">
        <f t="shared" ca="1" si="81"/>
        <v>70.157833810810288</v>
      </c>
      <c r="J649" s="11">
        <f t="shared" ca="1" si="82"/>
        <v>-62.578343998506213</v>
      </c>
      <c r="K649" s="11">
        <f t="shared" ca="1" si="83"/>
        <v>9.4199521702134739</v>
      </c>
      <c r="L649" s="20">
        <f t="shared" ca="1" si="84"/>
        <v>-1.8404623579093986</v>
      </c>
    </row>
    <row r="650" spans="4:12" x14ac:dyDescent="0.25">
      <c r="D650" s="22">
        <f t="shared" ca="1" si="86"/>
        <v>7.2536614033460289E-2</v>
      </c>
      <c r="E650" s="11">
        <v>1.8</v>
      </c>
      <c r="F650" s="11">
        <f t="shared" ca="1" si="87"/>
        <v>75.327552787914627</v>
      </c>
      <c r="G650" s="11">
        <f t="shared" ca="1" si="85"/>
        <v>7.6595658823759649</v>
      </c>
      <c r="H650" s="11">
        <f t="shared" ca="1" si="80"/>
        <v>0.93533288126297209</v>
      </c>
      <c r="I650" s="11">
        <f t="shared" ca="1" si="81"/>
        <v>70.456336987608807</v>
      </c>
      <c r="J650" s="11">
        <f t="shared" ca="1" si="82"/>
        <v>-62.796771105232843</v>
      </c>
      <c r="K650" s="11">
        <f t="shared" ca="1" si="83"/>
        <v>9.4893800558126173</v>
      </c>
      <c r="L650" s="20">
        <f t="shared" ca="1" si="84"/>
        <v>-1.8298141734366524</v>
      </c>
    </row>
    <row r="651" spans="4:12" x14ac:dyDescent="0.25">
      <c r="D651" s="22">
        <f t="shared" ca="1" si="86"/>
        <v>7.3308368504145391E-2</v>
      </c>
      <c r="E651" s="11">
        <v>1.8027777777777778</v>
      </c>
      <c r="F651" s="11">
        <f t="shared" ca="1" si="87"/>
        <v>76.351855474648275</v>
      </c>
      <c r="G651" s="11">
        <f t="shared" ca="1" si="85"/>
        <v>8.6048409834573292</v>
      </c>
      <c r="H651" s="11">
        <f t="shared" ca="1" si="80"/>
        <v>0.95335195822770347</v>
      </c>
      <c r="I651" s="11">
        <f t="shared" ca="1" si="81"/>
        <v>72.790190931074534</v>
      </c>
      <c r="J651" s="11">
        <f t="shared" ca="1" si="82"/>
        <v>-64.185349947617198</v>
      </c>
      <c r="K651" s="11">
        <f t="shared" ca="1" si="83"/>
        <v>10.448754817962476</v>
      </c>
      <c r="L651" s="20">
        <f t="shared" ca="1" si="84"/>
        <v>-1.8439138345051465</v>
      </c>
    </row>
    <row r="652" spans="4:12" x14ac:dyDescent="0.25">
      <c r="D652" s="22">
        <f t="shared" ca="1" si="86"/>
        <v>7.3658074059522752E-2</v>
      </c>
      <c r="E652" s="11">
        <v>1.8055555555555556</v>
      </c>
      <c r="F652" s="11">
        <f t="shared" ca="1" si="87"/>
        <v>75.71750079991763</v>
      </c>
      <c r="G652" s="11">
        <f t="shared" ca="1" si="85"/>
        <v>7.9869436760992585</v>
      </c>
      <c r="H652" s="11">
        <f t="shared" ca="1" si="80"/>
        <v>0.94446897875952018</v>
      </c>
      <c r="I652" s="11">
        <f t="shared" ca="1" si="81"/>
        <v>71.512830654721355</v>
      </c>
      <c r="J652" s="11">
        <f t="shared" ca="1" si="82"/>
        <v>-63.525886978622097</v>
      </c>
      <c r="K652" s="11">
        <f t="shared" ca="1" si="83"/>
        <v>9.8333245705985792</v>
      </c>
      <c r="L652" s="20">
        <f t="shared" ca="1" si="84"/>
        <v>-1.8463808944993207</v>
      </c>
    </row>
    <row r="653" spans="4:12" x14ac:dyDescent="0.25">
      <c r="D653" s="22">
        <f t="shared" ca="1" si="86"/>
        <v>7.3342458147397357E-2</v>
      </c>
      <c r="E653" s="11">
        <v>1.8083333333333333</v>
      </c>
      <c r="F653" s="11">
        <f t="shared" ca="1" si="87"/>
        <v>77.741384671209971</v>
      </c>
      <c r="G653" s="11">
        <f t="shared" ca="1" si="85"/>
        <v>9.8854958220888278</v>
      </c>
      <c r="H653" s="11">
        <f t="shared" ca="1" si="80"/>
        <v>0.97144992439171074</v>
      </c>
      <c r="I653" s="11">
        <f t="shared" ca="1" si="81"/>
        <v>75.521862260953824</v>
      </c>
      <c r="J653" s="11">
        <f t="shared" ca="1" si="82"/>
        <v>-65.636366438864997</v>
      </c>
      <c r="K653" s="11">
        <f t="shared" ca="1" si="83"/>
        <v>11.753734314067389</v>
      </c>
      <c r="L653" s="20">
        <f t="shared" ca="1" si="84"/>
        <v>-1.8682384919785608</v>
      </c>
    </row>
    <row r="654" spans="4:12" x14ac:dyDescent="0.25">
      <c r="D654" s="22">
        <f t="shared" ca="1" si="86"/>
        <v>7.4224698860681129E-2</v>
      </c>
      <c r="E654" s="11">
        <v>1.8111111111111111</v>
      </c>
      <c r="F654" s="11">
        <f t="shared" ca="1" si="87"/>
        <v>78.09096050338178</v>
      </c>
      <c r="G654" s="11">
        <f t="shared" ca="1" si="85"/>
        <v>10.211556955029621</v>
      </c>
      <c r="H654" s="11">
        <f t="shared" ca="1" si="80"/>
        <v>0.97541021055260269</v>
      </c>
      <c r="I654" s="11">
        <f t="shared" ca="1" si="81"/>
        <v>76.170720226858606</v>
      </c>
      <c r="J654" s="11">
        <f t="shared" ca="1" si="82"/>
        <v>-65.959163271828984</v>
      </c>
      <c r="K654" s="11">
        <f t="shared" ca="1" si="83"/>
        <v>12.088617103376551</v>
      </c>
      <c r="L654" s="20">
        <f t="shared" ca="1" si="84"/>
        <v>-1.8770601483469296</v>
      </c>
    </row>
    <row r="655" spans="4:12" x14ac:dyDescent="0.25">
      <c r="D655" s="22">
        <f t="shared" ca="1" si="86"/>
        <v>7.4429202994111834E-2</v>
      </c>
      <c r="E655" s="11">
        <v>1.8138888888888889</v>
      </c>
      <c r="F655" s="11">
        <f t="shared" ca="1" si="87"/>
        <v>77.141425973042374</v>
      </c>
      <c r="G655" s="11">
        <f t="shared" ca="1" si="85"/>
        <v>9.2717329580874406</v>
      </c>
      <c r="H655" s="11">
        <f t="shared" ca="1" si="80"/>
        <v>0.96691522757933779</v>
      </c>
      <c r="I655" s="11">
        <f t="shared" ca="1" si="81"/>
        <v>74.589219450518911</v>
      </c>
      <c r="J655" s="11">
        <f t="shared" ca="1" si="82"/>
        <v>-65.31748649243147</v>
      </c>
      <c r="K655" s="11">
        <f t="shared" ca="1" si="83"/>
        <v>11.152301416517586</v>
      </c>
      <c r="L655" s="20">
        <f t="shared" ca="1" si="84"/>
        <v>-1.8805684584301456</v>
      </c>
    </row>
    <row r="656" spans="4:12" x14ac:dyDescent="0.25">
      <c r="D656" s="22">
        <f t="shared" ca="1" si="86"/>
        <v>7.4917112807429617E-2</v>
      </c>
      <c r="E656" s="11">
        <v>1.8166666666666667</v>
      </c>
      <c r="F656" s="11">
        <f t="shared" ca="1" si="87"/>
        <v>77.384717412583726</v>
      </c>
      <c r="G656" s="11">
        <f t="shared" ca="1" si="85"/>
        <v>9.4933809704287171</v>
      </c>
      <c r="H656" s="11">
        <f t="shared" ca="1" si="80"/>
        <v>0.97034526127811271</v>
      </c>
      <c r="I656" s="11">
        <f t="shared" ca="1" si="81"/>
        <v>75.089893836646468</v>
      </c>
      <c r="J656" s="11">
        <f t="shared" ca="1" si="82"/>
        <v>-65.596512866217751</v>
      </c>
      <c r="K656" s="11">
        <f t="shared" ca="1" si="83"/>
        <v>11.376985676451119</v>
      </c>
      <c r="L656" s="20">
        <f t="shared" ca="1" si="84"/>
        <v>-1.8836047060224015</v>
      </c>
    </row>
    <row r="657" spans="4:12" x14ac:dyDescent="0.25">
      <c r="D657" s="22">
        <f t="shared" ca="1" si="86"/>
        <v>7.5241239420672013E-2</v>
      </c>
      <c r="E657" s="11">
        <v>1.8194444444444444</v>
      </c>
      <c r="F657" s="11">
        <f t="shared" ca="1" si="87"/>
        <v>77.895825158214819</v>
      </c>
      <c r="G657" s="11">
        <f t="shared" ca="1" si="85"/>
        <v>9.9756206195697104</v>
      </c>
      <c r="H657" s="11">
        <f t="shared" ca="1" si="80"/>
        <v>0.97588818361904484</v>
      </c>
      <c r="I657" s="11">
        <f t="shared" ca="1" si="81"/>
        <v>76.017615325156953</v>
      </c>
      <c r="J657" s="11">
        <f t="shared" ca="1" si="82"/>
        <v>-66.041994705587243</v>
      </c>
      <c r="K657" s="11">
        <f t="shared" ca="1" si="83"/>
        <v>11.861695988075471</v>
      </c>
      <c r="L657" s="20">
        <f t="shared" ca="1" si="84"/>
        <v>-1.886075368505761</v>
      </c>
    </row>
    <row r="658" spans="4:12" x14ac:dyDescent="0.25">
      <c r="D658" s="22">
        <f t="shared" ca="1" si="86"/>
        <v>7.6193718239226799E-2</v>
      </c>
      <c r="E658" s="11">
        <v>1.8222222222222222</v>
      </c>
      <c r="F658" s="11">
        <f t="shared" ca="1" si="87"/>
        <v>77.864656690966058</v>
      </c>
      <c r="G658" s="11">
        <f t="shared" ca="1" si="85"/>
        <v>9.9312244648968431</v>
      </c>
      <c r="H658" s="11">
        <f t="shared" ca="1" si="80"/>
        <v>0.9764216533151614</v>
      </c>
      <c r="I658" s="11">
        <f t="shared" ca="1" si="81"/>
        <v>76.028736821010526</v>
      </c>
      <c r="J658" s="11">
        <f t="shared" ca="1" si="82"/>
        <v>-66.097512356113683</v>
      </c>
      <c r="K658" s="11">
        <f t="shared" ca="1" si="83"/>
        <v>11.825853706000652</v>
      </c>
      <c r="L658" s="20">
        <f t="shared" ca="1" si="84"/>
        <v>-1.894629241103809</v>
      </c>
    </row>
    <row r="659" spans="4:12" x14ac:dyDescent="0.25">
      <c r="D659" s="22">
        <f t="shared" ca="1" si="86"/>
        <v>7.807874612610774E-2</v>
      </c>
      <c r="E659" s="11">
        <v>1.8250000000000002</v>
      </c>
      <c r="F659" s="11">
        <f t="shared" ca="1" si="87"/>
        <v>76.149160399877914</v>
      </c>
      <c r="G659" s="11">
        <f t="shared" ca="1" si="85"/>
        <v>8.2418395995977392</v>
      </c>
      <c r="H659" s="11">
        <f t="shared" ca="1" si="80"/>
        <v>0.95863457245895611</v>
      </c>
      <c r="I659" s="11">
        <f t="shared" ca="1" si="81"/>
        <v>72.999217823045441</v>
      </c>
      <c r="J659" s="11">
        <f t="shared" ca="1" si="82"/>
        <v>-64.757378223447702</v>
      </c>
      <c r="K659" s="11">
        <f t="shared" ca="1" si="83"/>
        <v>10.168686554651083</v>
      </c>
      <c r="L659" s="20">
        <f t="shared" ca="1" si="84"/>
        <v>-1.9268469550533442</v>
      </c>
    </row>
    <row r="660" spans="4:12" x14ac:dyDescent="0.25">
      <c r="D660" s="22">
        <f t="shared" ca="1" si="86"/>
        <v>7.6768356895815654E-2</v>
      </c>
      <c r="E660" s="11">
        <v>1.8277777777777779</v>
      </c>
      <c r="F660" s="11">
        <f t="shared" ca="1" si="87"/>
        <v>76.453792651843941</v>
      </c>
      <c r="G660" s="11">
        <f t="shared" ca="1" si="85"/>
        <v>8.5200599203957239</v>
      </c>
      <c r="H660" s="11">
        <f t="shared" ca="1" si="80"/>
        <v>0.96336087441397311</v>
      </c>
      <c r="I660" s="11">
        <f t="shared" ca="1" si="81"/>
        <v>73.652592541344973</v>
      </c>
      <c r="J660" s="11">
        <f t="shared" ca="1" si="82"/>
        <v>-65.132532620949249</v>
      </c>
      <c r="K660" s="11">
        <f t="shared" ca="1" si="83"/>
        <v>10.429262658876448</v>
      </c>
      <c r="L660" s="20">
        <f t="shared" ca="1" si="84"/>
        <v>-1.9092027384807242</v>
      </c>
    </row>
    <row r="661" spans="4:12" x14ac:dyDescent="0.25">
      <c r="D661" s="22">
        <f t="shared" ca="1" si="86"/>
        <v>7.7614368156608646E-2</v>
      </c>
      <c r="E661" s="11">
        <v>1.8305555555555557</v>
      </c>
      <c r="F661" s="11">
        <f t="shared" ca="1" si="87"/>
        <v>75.888601434391035</v>
      </c>
      <c r="G661" s="11">
        <f t="shared" ca="1" si="85"/>
        <v>7.9615330223106469</v>
      </c>
      <c r="H661" s="11">
        <f t="shared" ca="1" si="80"/>
        <v>0.95674139596812457</v>
      </c>
      <c r="I661" s="11">
        <f t="shared" ca="1" si="81"/>
        <v>72.605766474407901</v>
      </c>
      <c r="J661" s="11">
        <f t="shared" ca="1" si="82"/>
        <v>-64.644233452097254</v>
      </c>
      <c r="K661" s="11">
        <f t="shared" ca="1" si="83"/>
        <v>9.8778008425098225</v>
      </c>
      <c r="L661" s="20">
        <f t="shared" ca="1" si="84"/>
        <v>-1.9162678201991756</v>
      </c>
    </row>
    <row r="662" spans="4:12" x14ac:dyDescent="0.25">
      <c r="D662" s="22">
        <f t="shared" ca="1" si="86"/>
        <v>7.7559545913454847E-2</v>
      </c>
      <c r="E662" s="11">
        <v>1.8333333333333335</v>
      </c>
      <c r="F662" s="11">
        <f t="shared" ca="1" si="87"/>
        <v>75.500551500793151</v>
      </c>
      <c r="G662" s="11">
        <f t="shared" ca="1" si="85"/>
        <v>7.5763409273478146</v>
      </c>
      <c r="H662" s="11">
        <f t="shared" ca="1" si="80"/>
        <v>0.95175040731094684</v>
      </c>
      <c r="I662" s="11">
        <f t="shared" ca="1" si="81"/>
        <v>71.857680643080997</v>
      </c>
      <c r="J662" s="11">
        <f t="shared" ca="1" si="82"/>
        <v>-64.281339715733182</v>
      </c>
      <c r="K662" s="11">
        <f t="shared" ca="1" si="83"/>
        <v>9.4885081396970161</v>
      </c>
      <c r="L662" s="20">
        <f t="shared" ca="1" si="84"/>
        <v>-1.9121672123492015</v>
      </c>
    </row>
    <row r="663" spans="4:12" x14ac:dyDescent="0.25">
      <c r="D663" s="22">
        <f t="shared" ca="1" si="86"/>
        <v>7.8060773668914188E-2</v>
      </c>
      <c r="E663" s="11">
        <v>1.8361111111111112</v>
      </c>
      <c r="F663" s="11">
        <f t="shared" ca="1" si="87"/>
        <v>76.209371417809365</v>
      </c>
      <c r="G663" s="11">
        <f t="shared" ca="1" si="85"/>
        <v>8.2370205854834211</v>
      </c>
      <c r="H663" s="11">
        <f t="shared" ca="1" si="80"/>
        <v>0.96320654151352558</v>
      </c>
      <c r="I663" s="11">
        <f t="shared" ca="1" si="81"/>
        <v>73.405365074267891</v>
      </c>
      <c r="J663" s="11">
        <f t="shared" ca="1" si="82"/>
        <v>-65.16834448878447</v>
      </c>
      <c r="K663" s="11">
        <f t="shared" ca="1" si="83"/>
        <v>10.154284735535224</v>
      </c>
      <c r="L663" s="20">
        <f t="shared" ca="1" si="84"/>
        <v>-1.9172641500518033</v>
      </c>
    </row>
    <row r="664" spans="4:12" x14ac:dyDescent="0.25">
      <c r="D664" s="22">
        <f t="shared" ca="1" si="86"/>
        <v>7.7987939600203698E-2</v>
      </c>
      <c r="E664" s="11">
        <v>1.838888888888889</v>
      </c>
      <c r="F664" s="11">
        <f t="shared" ca="1" si="87"/>
        <v>75.277542296208935</v>
      </c>
      <c r="G664" s="11">
        <f t="shared" ca="1" si="85"/>
        <v>7.3253575259411292</v>
      </c>
      <c r="H664" s="11">
        <f t="shared" ca="1" si="80"/>
        <v>0.95029705869971248</v>
      </c>
      <c r="I664" s="11">
        <f t="shared" ca="1" si="81"/>
        <v>71.536027030230557</v>
      </c>
      <c r="J664" s="11">
        <f t="shared" ca="1" si="82"/>
        <v>-64.210669504289427</v>
      </c>
      <c r="K664" s="11">
        <f t="shared" ca="1" si="83"/>
        <v>9.2433693576204305</v>
      </c>
      <c r="L664" s="20">
        <f t="shared" ca="1" si="84"/>
        <v>-1.9180118316793013</v>
      </c>
    </row>
    <row r="665" spans="4:12" x14ac:dyDescent="0.25">
      <c r="D665" s="22">
        <f t="shared" ca="1" si="86"/>
        <v>7.6586592401487935E-2</v>
      </c>
      <c r="E665" s="11">
        <v>1.8416666666666668</v>
      </c>
      <c r="F665" s="11">
        <f t="shared" ca="1" si="87"/>
        <v>75.639720702357948</v>
      </c>
      <c r="G665" s="11">
        <f t="shared" ca="1" si="85"/>
        <v>7.6558729347379852</v>
      </c>
      <c r="H665" s="11">
        <f t="shared" ca="1" si="80"/>
        <v>0.95694045600869526</v>
      </c>
      <c r="I665" s="11">
        <f t="shared" ca="1" si="81"/>
        <v>72.382708821284766</v>
      </c>
      <c r="J665" s="11">
        <f t="shared" ca="1" si="82"/>
        <v>-64.72683588654678</v>
      </c>
      <c r="K665" s="11">
        <f t="shared" ca="1" si="83"/>
        <v>9.556247470867671</v>
      </c>
      <c r="L665" s="20">
        <f t="shared" ca="1" si="84"/>
        <v>-1.9003745361296858</v>
      </c>
    </row>
    <row r="666" spans="4:12" x14ac:dyDescent="0.25">
      <c r="D666" s="22">
        <f t="shared" ca="1" si="86"/>
        <v>7.6625536408248943E-2</v>
      </c>
      <c r="E666" s="11">
        <v>1.8444444444444446</v>
      </c>
      <c r="F666" s="11">
        <f t="shared" ca="1" si="87"/>
        <v>75.748859054756764</v>
      </c>
      <c r="G666" s="11">
        <f t="shared" ca="1" si="85"/>
        <v>7.7465333494694733</v>
      </c>
      <c r="H666" s="11">
        <f t="shared" ca="1" si="80"/>
        <v>0.95963313055728872</v>
      </c>
      <c r="I666" s="11">
        <f t="shared" ca="1" si="81"/>
        <v>72.691114750859057</v>
      </c>
      <c r="J666" s="11">
        <f t="shared" ca="1" si="82"/>
        <v>-64.944581401389584</v>
      </c>
      <c r="K666" s="11">
        <f t="shared" ca="1" si="83"/>
        <v>9.6430949723698607</v>
      </c>
      <c r="L666" s="20">
        <f t="shared" ca="1" si="84"/>
        <v>-1.8965616229003874</v>
      </c>
    </row>
    <row r="667" spans="4:12" x14ac:dyDescent="0.25">
      <c r="D667" s="22">
        <f t="shared" ca="1" si="86"/>
        <v>7.829483708727665E-2</v>
      </c>
      <c r="E667" s="11">
        <v>1.8472222222222223</v>
      </c>
      <c r="F667" s="11">
        <f t="shared" ca="1" si="87"/>
        <v>76.259053155154348</v>
      </c>
      <c r="G667" s="11">
        <f t="shared" ca="1" si="85"/>
        <v>8.2220064601177683</v>
      </c>
      <c r="H667" s="11">
        <f t="shared" ca="1" si="80"/>
        <v>0.96769510911408207</v>
      </c>
      <c r="I667" s="11">
        <f t="shared" ca="1" si="81"/>
        <v>73.795512763913678</v>
      </c>
      <c r="J667" s="11">
        <f t="shared" ca="1" si="82"/>
        <v>-65.573506303795909</v>
      </c>
      <c r="K667" s="11">
        <f t="shared" ca="1" si="83"/>
        <v>10.133210730075168</v>
      </c>
      <c r="L667" s="20">
        <f t="shared" ca="1" si="84"/>
        <v>-1.9112042699574001</v>
      </c>
    </row>
    <row r="668" spans="4:12" x14ac:dyDescent="0.25">
      <c r="D668" s="22">
        <f t="shared" ca="1" si="86"/>
        <v>7.9739484241729788E-2</v>
      </c>
      <c r="E668" s="11">
        <v>1.85</v>
      </c>
      <c r="F668" s="11">
        <f t="shared" ca="1" si="87"/>
        <v>75.775578342020026</v>
      </c>
      <c r="G668" s="11">
        <f t="shared" ca="1" si="85"/>
        <v>7.7396242016763495</v>
      </c>
      <c r="H668" s="11">
        <f t="shared" ca="1" si="80"/>
        <v>0.96263720587538104</v>
      </c>
      <c r="I668" s="11">
        <f t="shared" ca="1" si="81"/>
        <v>72.9443910087532</v>
      </c>
      <c r="J668" s="11">
        <f t="shared" ca="1" si="82"/>
        <v>-65.204766807076851</v>
      </c>
      <c r="K668" s="11">
        <f t="shared" ca="1" si="83"/>
        <v>9.6623273727307843</v>
      </c>
      <c r="L668" s="20">
        <f t="shared" ca="1" si="84"/>
        <v>-1.9227031710544349</v>
      </c>
    </row>
    <row r="669" spans="4:12" x14ac:dyDescent="0.25">
      <c r="D669" s="22">
        <f t="shared" ca="1" si="86"/>
        <v>7.8891921248167088E-2</v>
      </c>
      <c r="E669" s="11">
        <v>1.8527777777777779</v>
      </c>
      <c r="F669" s="11">
        <f t="shared" ca="1" si="87"/>
        <v>75.925199171992006</v>
      </c>
      <c r="G669" s="11">
        <f t="shared" ca="1" si="85"/>
        <v>7.8693639654306509</v>
      </c>
      <c r="H669" s="11">
        <f t="shared" ca="1" si="80"/>
        <v>0.96557080477846335</v>
      </c>
      <c r="I669" s="11">
        <f t="shared" ca="1" si="81"/>
        <v>73.311155667465442</v>
      </c>
      <c r="J669" s="11">
        <f t="shared" ca="1" si="82"/>
        <v>-65.441791702034791</v>
      </c>
      <c r="K669" s="11">
        <f t="shared" ca="1" si="83"/>
        <v>9.780312407941631</v>
      </c>
      <c r="L669" s="20">
        <f t="shared" ca="1" si="84"/>
        <v>-1.9109484425109802</v>
      </c>
    </row>
    <row r="670" spans="4:12" x14ac:dyDescent="0.25">
      <c r="D670" s="22">
        <f t="shared" ca="1" si="86"/>
        <v>7.85033902699524E-2</v>
      </c>
      <c r="E670" s="11">
        <v>1.8555555555555556</v>
      </c>
      <c r="F670" s="11">
        <f t="shared" ca="1" si="87"/>
        <v>75.500727524575566</v>
      </c>
      <c r="G670" s="11">
        <f t="shared" ca="1" si="85"/>
        <v>7.4452344166223554</v>
      </c>
      <c r="H670" s="11">
        <f t="shared" ca="1" si="80"/>
        <v>0.9606814823631864</v>
      </c>
      <c r="I670" s="11">
        <f t="shared" ca="1" si="81"/>
        <v>72.532150837808288</v>
      </c>
      <c r="J670" s="11">
        <f t="shared" ca="1" si="82"/>
        <v>-65.086916421185933</v>
      </c>
      <c r="K670" s="11">
        <f t="shared" ca="1" si="83"/>
        <v>9.3495934466981954</v>
      </c>
      <c r="L670" s="20">
        <f t="shared" ca="1" si="84"/>
        <v>-1.90435903007584</v>
      </c>
    </row>
    <row r="671" spans="4:12" x14ac:dyDescent="0.25">
      <c r="D671" s="22">
        <f t="shared" ca="1" si="86"/>
        <v>7.844244898203219E-2</v>
      </c>
      <c r="E671" s="11">
        <v>1.8583333333333334</v>
      </c>
      <c r="F671" s="11">
        <f t="shared" ca="1" si="87"/>
        <v>75.483566719281171</v>
      </c>
      <c r="G671" s="11">
        <f t="shared" ca="1" si="85"/>
        <v>7.4145646448569238</v>
      </c>
      <c r="H671" s="11">
        <f t="shared" ca="1" si="80"/>
        <v>0.96155626064741173</v>
      </c>
      <c r="I671" s="11">
        <f t="shared" ca="1" si="81"/>
        <v>72.581696154921417</v>
      </c>
      <c r="J671" s="11">
        <f t="shared" ca="1" si="82"/>
        <v>-65.167131510064493</v>
      </c>
      <c r="K671" s="11">
        <f t="shared" ca="1" si="83"/>
        <v>9.3140980812613972</v>
      </c>
      <c r="L671" s="20">
        <f t="shared" ca="1" si="84"/>
        <v>-1.8995334364044734</v>
      </c>
    </row>
    <row r="672" spans="4:12" x14ac:dyDescent="0.25">
      <c r="D672" s="22">
        <f t="shared" ca="1" si="86"/>
        <v>7.7561720730685665E-2</v>
      </c>
      <c r="E672" s="11">
        <v>1.8611111111111112</v>
      </c>
      <c r="F672" s="11">
        <f t="shared" ca="1" si="87"/>
        <v>74.670274273714185</v>
      </c>
      <c r="G672" s="11">
        <f t="shared" ca="1" si="85"/>
        <v>6.6184964815696077</v>
      </c>
      <c r="H672" s="11">
        <f t="shared" ca="1" si="80"/>
        <v>0.9490794445292825</v>
      </c>
      <c r="I672" s="11">
        <f t="shared" ca="1" si="81"/>
        <v>70.868022430545835</v>
      </c>
      <c r="J672" s="11">
        <f t="shared" ca="1" si="82"/>
        <v>-64.249525948976228</v>
      </c>
      <c r="K672" s="11">
        <f t="shared" ca="1" si="83"/>
        <v>8.5103331925305632</v>
      </c>
      <c r="L672" s="20">
        <f t="shared" ca="1" si="84"/>
        <v>-1.8918367109609555</v>
      </c>
    </row>
    <row r="673" spans="4:12" x14ac:dyDescent="0.25">
      <c r="D673" s="22">
        <f t="shared" ca="1" si="86"/>
        <v>7.689811502748127E-2</v>
      </c>
      <c r="E673" s="11">
        <v>1.8638888888888889</v>
      </c>
      <c r="F673" s="11">
        <f t="shared" ca="1" si="87"/>
        <v>73.521998090107729</v>
      </c>
      <c r="G673" s="11">
        <f t="shared" ca="1" si="85"/>
        <v>5.5149656169765819</v>
      </c>
      <c r="H673" s="11">
        <f t="shared" ca="1" si="80"/>
        <v>0.92473679759384886</v>
      </c>
      <c r="I673" s="11">
        <f t="shared" ca="1" si="81"/>
        <v>67.988497066547296</v>
      </c>
      <c r="J673" s="11">
        <f t="shared" ca="1" si="82"/>
        <v>-62.473531449570714</v>
      </c>
      <c r="K673" s="11">
        <f t="shared" ca="1" si="83"/>
        <v>7.4080963468466212</v>
      </c>
      <c r="L673" s="20">
        <f t="shared" ca="1" si="84"/>
        <v>-1.8931307298700393</v>
      </c>
    </row>
    <row r="674" spans="4:12" x14ac:dyDescent="0.25">
      <c r="D674" s="22">
        <f t="shared" ca="1" si="86"/>
        <v>7.7885600641040803E-2</v>
      </c>
      <c r="E674" s="11">
        <v>1.8666666666666667</v>
      </c>
      <c r="F674" s="11">
        <f t="shared" ca="1" si="87"/>
        <v>73.865811386053437</v>
      </c>
      <c r="G674" s="11">
        <f t="shared" ca="1" si="85"/>
        <v>5.8193848818144573</v>
      </c>
      <c r="H674" s="11">
        <f t="shared" ca="1" si="80"/>
        <v>0.93505990123092142</v>
      </c>
      <c r="I674" s="11">
        <f t="shared" ca="1" si="81"/>
        <v>69.068958298984995</v>
      </c>
      <c r="J674" s="11">
        <f t="shared" ca="1" si="82"/>
        <v>-63.249573417170538</v>
      </c>
      <c r="K674" s="11">
        <f t="shared" ca="1" si="83"/>
        <v>7.7153524230888308</v>
      </c>
      <c r="L674" s="20">
        <f t="shared" ca="1" si="84"/>
        <v>-1.8959675412743735</v>
      </c>
    </row>
    <row r="675" spans="4:12" x14ac:dyDescent="0.25">
      <c r="D675" s="22">
        <f t="shared" ca="1" si="86"/>
        <v>7.8433878713658506E-2</v>
      </c>
      <c r="E675" s="11">
        <v>1.8694444444444445</v>
      </c>
      <c r="F675" s="11">
        <f t="shared" ca="1" si="87"/>
        <v>72.514322972471589</v>
      </c>
      <c r="G675" s="11">
        <f t="shared" ca="1" si="85"/>
        <v>4.5418804542106557</v>
      </c>
      <c r="H675" s="11">
        <f t="shared" ca="1" si="80"/>
        <v>0.89836643540174022</v>
      </c>
      <c r="I675" s="11">
        <f t="shared" ca="1" si="81"/>
        <v>65.14443384434982</v>
      </c>
      <c r="J675" s="11">
        <f t="shared" ca="1" si="82"/>
        <v>-60.602553390139164</v>
      </c>
      <c r="K675" s="11">
        <f t="shared" ca="1" si="83"/>
        <v>6.4577051769066722</v>
      </c>
      <c r="L675" s="20">
        <f t="shared" ca="1" si="84"/>
        <v>-1.9158247226960166</v>
      </c>
    </row>
    <row r="676" spans="4:12" x14ac:dyDescent="0.25">
      <c r="D676" s="22">
        <f t="shared" ca="1" si="86"/>
        <v>7.8558623555474424E-2</v>
      </c>
      <c r="E676" s="11">
        <v>1.8722222222222222</v>
      </c>
      <c r="F676" s="11">
        <f t="shared" ca="1" si="87"/>
        <v>72.393117699525817</v>
      </c>
      <c r="G676" s="11">
        <f t="shared" ca="1" si="85"/>
        <v>4.4197676700109696</v>
      </c>
      <c r="H676" s="11">
        <f t="shared" ca="1" si="80"/>
        <v>0.89599429549285936</v>
      </c>
      <c r="I676" s="11">
        <f t="shared" ca="1" si="81"/>
        <v>64.863820491718286</v>
      </c>
      <c r="J676" s="11">
        <f t="shared" ca="1" si="82"/>
        <v>-60.444052821707317</v>
      </c>
      <c r="K676" s="11">
        <f t="shared" ca="1" si="83"/>
        <v>6.3270971385029915</v>
      </c>
      <c r="L676" s="20">
        <f t="shared" ca="1" si="84"/>
        <v>-1.9073294684920219</v>
      </c>
    </row>
    <row r="677" spans="4:12" x14ac:dyDescent="0.25">
      <c r="D677" s="22">
        <f t="shared" ca="1" si="86"/>
        <v>7.9288136456402619E-2</v>
      </c>
      <c r="E677" s="11">
        <v>1.875</v>
      </c>
      <c r="F677" s="11">
        <f t="shared" ca="1" si="87"/>
        <v>72.2373871521213</v>
      </c>
      <c r="G677" s="11">
        <f t="shared" ca="1" si="85"/>
        <v>4.2669200320466771</v>
      </c>
      <c r="H677" s="11">
        <f t="shared" ca="1" si="80"/>
        <v>0.89249895397292711</v>
      </c>
      <c r="I677" s="11">
        <f t="shared" ca="1" si="81"/>
        <v>64.471792471005628</v>
      </c>
      <c r="J677" s="11">
        <f t="shared" ca="1" si="82"/>
        <v>-60.204872438958951</v>
      </c>
      <c r="K677" s="11">
        <f t="shared" ca="1" si="83"/>
        <v>6.1700858115367394</v>
      </c>
      <c r="L677" s="20">
        <f t="shared" ca="1" si="84"/>
        <v>-1.9031657794900623</v>
      </c>
    </row>
    <row r="678" spans="4:12" x14ac:dyDescent="0.25">
      <c r="D678" s="22">
        <f t="shared" ca="1" si="86"/>
        <v>8.0497469750611714E-2</v>
      </c>
      <c r="E678" s="11">
        <v>1.8777777777777778</v>
      </c>
      <c r="F678" s="11">
        <f t="shared" ca="1" si="87"/>
        <v>72.570360559358221</v>
      </c>
      <c r="G678" s="11">
        <f t="shared" ca="1" si="85"/>
        <v>4.5506348892367754</v>
      </c>
      <c r="H678" s="11">
        <f t="shared" ca="1" si="80"/>
        <v>0.9062281834615904</v>
      </c>
      <c r="I678" s="11">
        <f t="shared" ca="1" si="81"/>
        <v>65.765306022859846</v>
      </c>
      <c r="J678" s="11">
        <f t="shared" ca="1" si="82"/>
        <v>-61.214671133623071</v>
      </c>
      <c r="K678" s="11">
        <f t="shared" ca="1" si="83"/>
        <v>6.4552442367055898</v>
      </c>
      <c r="L678" s="20">
        <f t="shared" ca="1" si="84"/>
        <v>-1.9046093474688144</v>
      </c>
    </row>
    <row r="679" spans="4:12" x14ac:dyDescent="0.25">
      <c r="D679" s="22">
        <f t="shared" ca="1" si="86"/>
        <v>8.1994047052551519E-2</v>
      </c>
      <c r="E679" s="11">
        <v>1.8805555555555555</v>
      </c>
      <c r="F679" s="11">
        <f t="shared" ca="1" si="87"/>
        <v>71.942757178243198</v>
      </c>
      <c r="G679" s="11">
        <f t="shared" ca="1" si="85"/>
        <v>3.9679390998383113</v>
      </c>
      <c r="H679" s="11">
        <f t="shared" ca="1" si="80"/>
        <v>0.88609201418005723</v>
      </c>
      <c r="I679" s="11">
        <f t="shared" ca="1" si="81"/>
        <v>63.747902613736287</v>
      </c>
      <c r="J679" s="11">
        <f t="shared" ca="1" si="82"/>
        <v>-59.779963513897975</v>
      </c>
      <c r="K679" s="11">
        <f t="shared" ca="1" si="83"/>
        <v>5.8796122309922225</v>
      </c>
      <c r="L679" s="20">
        <f t="shared" ca="1" si="84"/>
        <v>-1.9116731311539112</v>
      </c>
    </row>
    <row r="680" spans="4:12" x14ac:dyDescent="0.25">
      <c r="D680" s="22">
        <f t="shared" ca="1" si="86"/>
        <v>8.2779252810130377E-2</v>
      </c>
      <c r="E680" s="11">
        <v>1.8833333333333333</v>
      </c>
      <c r="F680" s="11">
        <f t="shared" ca="1" si="87"/>
        <v>72.448262601444895</v>
      </c>
      <c r="G680" s="11">
        <f t="shared" ca="1" si="85"/>
        <v>4.4021158915290073</v>
      </c>
      <c r="H680" s="11">
        <f t="shared" ca="1" si="80"/>
        <v>0.90657715021670537</v>
      </c>
      <c r="I680" s="11">
        <f t="shared" ca="1" si="81"/>
        <v>65.679939447369421</v>
      </c>
      <c r="J680" s="11">
        <f t="shared" ca="1" si="82"/>
        <v>-61.277823555840413</v>
      </c>
      <c r="K680" s="11">
        <f t="shared" ca="1" si="83"/>
        <v>6.3143474873273684</v>
      </c>
      <c r="L680" s="20">
        <f t="shared" ca="1" si="84"/>
        <v>-1.9122315957983611</v>
      </c>
    </row>
    <row r="681" spans="4:12" x14ac:dyDescent="0.25">
      <c r="D681" s="22">
        <f t="shared" ca="1" si="86"/>
        <v>8.2847236165413118E-2</v>
      </c>
      <c r="E681" s="11">
        <v>1.8861111111111113</v>
      </c>
      <c r="F681" s="11">
        <f t="shared" ca="1" si="87"/>
        <v>72.61579455037969</v>
      </c>
      <c r="G681" s="11">
        <f t="shared" ca="1" si="85"/>
        <v>4.5398929658145235</v>
      </c>
      <c r="H681" s="11">
        <f t="shared" ca="1" si="80"/>
        <v>0.91404218775945356</v>
      </c>
      <c r="I681" s="11">
        <f t="shared" ca="1" si="81"/>
        <v>66.373899716720061</v>
      </c>
      <c r="J681" s="11">
        <f t="shared" ca="1" si="82"/>
        <v>-61.834006750905537</v>
      </c>
      <c r="K681" s="11">
        <f t="shared" ca="1" si="83"/>
        <v>6.4439944184601039</v>
      </c>
      <c r="L681" s="20">
        <f t="shared" ca="1" si="84"/>
        <v>-1.9041014526455804</v>
      </c>
    </row>
    <row r="682" spans="4:12" x14ac:dyDescent="0.25">
      <c r="D682" s="22">
        <f t="shared" ca="1" si="86"/>
        <v>8.297432326300698E-2</v>
      </c>
      <c r="E682" s="11">
        <v>1.8888888888888891</v>
      </c>
      <c r="F682" s="11">
        <f t="shared" ca="1" si="87"/>
        <v>73.537670905368557</v>
      </c>
      <c r="G682" s="11">
        <f t="shared" ca="1" si="85"/>
        <v>5.3682734401293715</v>
      </c>
      <c r="H682" s="11">
        <f t="shared" ca="1" si="80"/>
        <v>0.94158295967302219</v>
      </c>
      <c r="I682" s="11">
        <f t="shared" ca="1" si="81"/>
        <v>69.241817818537626</v>
      </c>
      <c r="J682" s="11">
        <f t="shared" ca="1" si="82"/>
        <v>-63.873544378408255</v>
      </c>
      <c r="K682" s="11">
        <f t="shared" ca="1" si="83"/>
        <v>7.2784997446548036</v>
      </c>
      <c r="L682" s="20">
        <f t="shared" ca="1" si="84"/>
        <v>-1.9102263045254322</v>
      </c>
    </row>
    <row r="683" spans="4:12" x14ac:dyDescent="0.25">
      <c r="D683" s="22">
        <f t="shared" ca="1" si="86"/>
        <v>8.2727543396843253E-2</v>
      </c>
      <c r="E683" s="11">
        <v>1.8916666666666668</v>
      </c>
      <c r="F683" s="11">
        <f t="shared" ca="1" si="87"/>
        <v>72.196871427676314</v>
      </c>
      <c r="G683" s="11">
        <f t="shared" ca="1" si="85"/>
        <v>4.091119753482289</v>
      </c>
      <c r="H683" s="11">
        <f t="shared" ca="1" si="80"/>
        <v>0.90386539525092691</v>
      </c>
      <c r="I683" s="11">
        <f t="shared" ca="1" si="81"/>
        <v>65.256253728857004</v>
      </c>
      <c r="J683" s="11">
        <f t="shared" ca="1" si="82"/>
        <v>-61.165133975374715</v>
      </c>
      <c r="K683" s="11">
        <f t="shared" ca="1" si="83"/>
        <v>6.0152172204630245</v>
      </c>
      <c r="L683" s="20">
        <f t="shared" ca="1" si="84"/>
        <v>-1.9240974669807356</v>
      </c>
    </row>
    <row r="684" spans="4:12" x14ac:dyDescent="0.25">
      <c r="D684" s="22">
        <f t="shared" ca="1" si="86"/>
        <v>8.4266304447423473E-2</v>
      </c>
      <c r="E684" s="11">
        <v>1.8944444444444446</v>
      </c>
      <c r="F684" s="11">
        <f t="shared" ca="1" si="87"/>
        <v>71.525650551918972</v>
      </c>
      <c r="G684" s="11">
        <f t="shared" ca="1" si="85"/>
        <v>3.470107645000752</v>
      </c>
      <c r="H684" s="11">
        <f t="shared" ca="1" si="80"/>
        <v>0.88006270434973966</v>
      </c>
      <c r="I684" s="11">
        <f t="shared" ca="1" si="81"/>
        <v>62.947057455096257</v>
      </c>
      <c r="J684" s="11">
        <f t="shared" ca="1" si="82"/>
        <v>-59.476949810095505</v>
      </c>
      <c r="K684" s="11">
        <f t="shared" ca="1" si="83"/>
        <v>5.4010243173468142</v>
      </c>
      <c r="L684" s="20">
        <f t="shared" ca="1" si="84"/>
        <v>-1.9309166723460622</v>
      </c>
    </row>
    <row r="685" spans="4:12" x14ac:dyDescent="0.25">
      <c r="D685" s="22">
        <f t="shared" ca="1" si="86"/>
        <v>8.4442611189104316E-2</v>
      </c>
      <c r="E685" s="11">
        <v>1.8972222222222224</v>
      </c>
      <c r="F685" s="11">
        <f t="shared" ca="1" si="87"/>
        <v>71.645421482521542</v>
      </c>
      <c r="G685" s="11">
        <f t="shared" ca="1" si="85"/>
        <v>3.5615608573492921</v>
      </c>
      <c r="H685" s="11">
        <f t="shared" ca="1" si="80"/>
        <v>0.88742298943689379</v>
      </c>
      <c r="I685" s="11">
        <f t="shared" ca="1" si="81"/>
        <v>63.579794111485519</v>
      </c>
      <c r="J685" s="11">
        <f t="shared" ca="1" si="82"/>
        <v>-60.018233254136227</v>
      </c>
      <c r="K685" s="11">
        <f t="shared" ca="1" si="83"/>
        <v>5.4823353020650156</v>
      </c>
      <c r="L685" s="20">
        <f t="shared" ca="1" si="84"/>
        <v>-1.9207744447157236</v>
      </c>
    </row>
    <row r="686" spans="4:12" x14ac:dyDescent="0.25">
      <c r="D686" s="22">
        <f t="shared" ca="1" si="86"/>
        <v>8.5205656070817148E-2</v>
      </c>
      <c r="E686" s="11">
        <v>1.9000000000000001</v>
      </c>
      <c r="F686" s="11">
        <f t="shared" ca="1" si="87"/>
        <v>70.878876430577208</v>
      </c>
      <c r="G686" s="11">
        <f t="shared" ca="1" si="85"/>
        <v>2.8671042164465916</v>
      </c>
      <c r="H686" s="11">
        <f t="shared" ca="1" si="80"/>
        <v>0.85456319014028681</v>
      </c>
      <c r="I686" s="11">
        <f t="shared" ca="1" si="81"/>
        <v>60.570478756073243</v>
      </c>
      <c r="J686" s="11">
        <f t="shared" ca="1" si="82"/>
        <v>-57.703374539626651</v>
      </c>
      <c r="K686" s="11">
        <f t="shared" ca="1" si="83"/>
        <v>4.7921835803500779</v>
      </c>
      <c r="L686" s="20">
        <f t="shared" ca="1" si="84"/>
        <v>-1.9250793639034862</v>
      </c>
    </row>
    <row r="687" spans="4:12" x14ac:dyDescent="0.25">
      <c r="D687" s="22">
        <f t="shared" ca="1" si="86"/>
        <v>8.5522029954537226E-2</v>
      </c>
      <c r="E687" s="11">
        <v>1.9027777777777779</v>
      </c>
      <c r="F687" s="11">
        <f t="shared" ca="1" si="87"/>
        <v>71.204748762407533</v>
      </c>
      <c r="G687" s="11">
        <f t="shared" ca="1" si="85"/>
        <v>3.1318730049589689</v>
      </c>
      <c r="H687" s="11">
        <f t="shared" ca="1" si="80"/>
        <v>0.87297201799241275</v>
      </c>
      <c r="I687" s="11">
        <f t="shared" ca="1" si="81"/>
        <v>62.159753217761661</v>
      </c>
      <c r="J687" s="11">
        <f t="shared" ca="1" si="82"/>
        <v>-59.027880212802692</v>
      </c>
      <c r="K687" s="11">
        <f t="shared" ca="1" si="83"/>
        <v>5.0483529942921139</v>
      </c>
      <c r="L687" s="20">
        <f t="shared" ca="1" si="84"/>
        <v>-1.916479989333145</v>
      </c>
    </row>
    <row r="688" spans="4:12" x14ac:dyDescent="0.25">
      <c r="D688" s="22">
        <f t="shared" ca="1" si="86"/>
        <v>8.6561037212207079E-2</v>
      </c>
      <c r="E688" s="11">
        <v>1.9055555555555557</v>
      </c>
      <c r="F688" s="11">
        <f t="shared" ca="1" si="87"/>
        <v>71.301688974349034</v>
      </c>
      <c r="G688" s="11">
        <f t="shared" ca="1" si="85"/>
        <v>3.202304294987016</v>
      </c>
      <c r="H688" s="11">
        <f t="shared" ca="1" si="80"/>
        <v>0.88023592899344916</v>
      </c>
      <c r="I688" s="11">
        <f t="shared" ca="1" si="81"/>
        <v>62.762308433138095</v>
      </c>
      <c r="J688" s="11">
        <f t="shared" ca="1" si="82"/>
        <v>-59.560004138151079</v>
      </c>
      <c r="K688" s="11">
        <f t="shared" ca="1" si="83"/>
        <v>5.1122890455082404</v>
      </c>
      <c r="L688" s="20">
        <f t="shared" ca="1" si="84"/>
        <v>-1.9099847505212244</v>
      </c>
    </row>
    <row r="689" spans="4:12" x14ac:dyDescent="0.25">
      <c r="D689" s="22">
        <f t="shared" ca="1" si="86"/>
        <v>8.6223330006129112E-2</v>
      </c>
      <c r="E689" s="11">
        <v>1.9083333333333334</v>
      </c>
      <c r="F689" s="11">
        <f t="shared" ca="1" si="87"/>
        <v>70.158249678671524</v>
      </c>
      <c r="G689" s="11">
        <f t="shared" ca="1" si="85"/>
        <v>2.1815410639298634</v>
      </c>
      <c r="H689" s="11">
        <f t="shared" ca="1" si="80"/>
        <v>0.82159805453958024</v>
      </c>
      <c r="I689" s="11">
        <f t="shared" ca="1" si="81"/>
        <v>57.641881445898655</v>
      </c>
      <c r="J689" s="11">
        <f t="shared" ca="1" si="82"/>
        <v>-55.460340381968791</v>
      </c>
      <c r="K689" s="11">
        <f t="shared" ca="1" si="83"/>
        <v>4.1076455595223615</v>
      </c>
      <c r="L689" s="20">
        <f t="shared" ca="1" si="84"/>
        <v>-1.9261044955924982</v>
      </c>
    </row>
    <row r="690" spans="4:12" x14ac:dyDescent="0.25">
      <c r="D690" s="22">
        <f t="shared" ca="1" si="86"/>
        <v>8.6280225982527131E-2</v>
      </c>
      <c r="E690" s="11">
        <v>1.9111111111111112</v>
      </c>
      <c r="F690" s="11">
        <f t="shared" ca="1" si="87"/>
        <v>70.053489112133079</v>
      </c>
      <c r="G690" s="11">
        <f t="shared" ca="1" si="85"/>
        <v>2.0821763635841322</v>
      </c>
      <c r="H690" s="11">
        <f t="shared" ca="1" si="80"/>
        <v>0.81748853060595517</v>
      </c>
      <c r="I690" s="11">
        <f t="shared" ca="1" si="81"/>
        <v>57.267923878097946</v>
      </c>
      <c r="J690" s="11">
        <f t="shared" ca="1" si="82"/>
        <v>-55.185747514513814</v>
      </c>
      <c r="K690" s="11">
        <f t="shared" ca="1" si="83"/>
        <v>3.9922335969598364</v>
      </c>
      <c r="L690" s="20">
        <f t="shared" ca="1" si="84"/>
        <v>-1.9100572333757042</v>
      </c>
    </row>
    <row r="691" spans="4:12" x14ac:dyDescent="0.25">
      <c r="D691" s="22">
        <f t="shared" ca="1" si="86"/>
        <v>8.5966631845262709E-2</v>
      </c>
      <c r="E691" s="11">
        <v>1.913888888888889</v>
      </c>
      <c r="F691" s="11">
        <f t="shared" ca="1" si="87"/>
        <v>69.903519618486683</v>
      </c>
      <c r="G691" s="11">
        <f t="shared" ca="1" si="85"/>
        <v>1.9463983022395865</v>
      </c>
      <c r="H691" s="11">
        <f t="shared" ca="1" si="80"/>
        <v>0.8101159768873103</v>
      </c>
      <c r="I691" s="11">
        <f t="shared" ca="1" si="81"/>
        <v>56.629958083591603</v>
      </c>
      <c r="J691" s="11">
        <f t="shared" ca="1" si="82"/>
        <v>-54.683559781352017</v>
      </c>
      <c r="K691" s="11">
        <f t="shared" ca="1" si="83"/>
        <v>3.8384303000267028</v>
      </c>
      <c r="L691" s="20">
        <f t="shared" ca="1" si="84"/>
        <v>-1.8920319977871163</v>
      </c>
    </row>
    <row r="692" spans="4:12" x14ac:dyDescent="0.25">
      <c r="D692" s="22">
        <f t="shared" ca="1" si="86"/>
        <v>8.4588881094825055E-2</v>
      </c>
      <c r="E692" s="11">
        <v>1.9166666666666667</v>
      </c>
      <c r="F692" s="11">
        <f t="shared" ca="1" si="87"/>
        <v>70.658180161438779</v>
      </c>
      <c r="G692" s="11">
        <f t="shared" ca="1" si="85"/>
        <v>2.5449104079398452</v>
      </c>
      <c r="H692" s="11">
        <f t="shared" ca="1" si="80"/>
        <v>0.85808185656168356</v>
      </c>
      <c r="I692" s="11">
        <f t="shared" ca="1" si="81"/>
        <v>60.630502414197302</v>
      </c>
      <c r="J692" s="11">
        <f t="shared" ca="1" si="82"/>
        <v>-58.085592006257457</v>
      </c>
      <c r="K692" s="11">
        <f t="shared" ca="1" si="83"/>
        <v>4.4324693987222217</v>
      </c>
      <c r="L692" s="20">
        <f t="shared" ca="1" si="84"/>
        <v>-1.8875589907823764</v>
      </c>
    </row>
    <row r="693" spans="4:12" x14ac:dyDescent="0.25">
      <c r="D693" s="22">
        <f t="shared" ca="1" si="86"/>
        <v>8.4106004315971469E-2</v>
      </c>
      <c r="E693" s="11">
        <v>1.9194444444444445</v>
      </c>
      <c r="F693" s="11">
        <f t="shared" ca="1" si="87"/>
        <v>70.436804957035932</v>
      </c>
      <c r="G693" s="11">
        <f t="shared" ca="1" si="85"/>
        <v>2.3413803677356952</v>
      </c>
      <c r="H693" s="11">
        <f t="shared" ca="1" si="80"/>
        <v>0.84825530578276565</v>
      </c>
      <c r="I693" s="11">
        <f t="shared" ca="1" si="81"/>
        <v>59.748393527191539</v>
      </c>
      <c r="J693" s="11">
        <f t="shared" ca="1" si="82"/>
        <v>-57.407013159455843</v>
      </c>
      <c r="K693" s="11">
        <f t="shared" ca="1" si="83"/>
        <v>4.2125532647191681</v>
      </c>
      <c r="L693" s="20">
        <f t="shared" ca="1" si="84"/>
        <v>-1.8711728969834729</v>
      </c>
    </row>
    <row r="694" spans="4:12" x14ac:dyDescent="0.25">
      <c r="D694" s="22">
        <f t="shared" ca="1" si="86"/>
        <v>8.5234737180194892E-2</v>
      </c>
      <c r="E694" s="11">
        <v>1.9222222222222223</v>
      </c>
      <c r="F694" s="11">
        <f t="shared" ca="1" si="87"/>
        <v>69.71209978938704</v>
      </c>
      <c r="G694" s="11">
        <f t="shared" ca="1" si="85"/>
        <v>1.7130518892209494</v>
      </c>
      <c r="H694" s="11">
        <f t="shared" ca="1" si="80"/>
        <v>0.80459956109736253</v>
      </c>
      <c r="I694" s="11">
        <f t="shared" ca="1" si="81"/>
        <v>56.09032489371635</v>
      </c>
      <c r="J694" s="11">
        <f t="shared" ca="1" si="82"/>
        <v>-54.3772730044954</v>
      </c>
      <c r="K694" s="11">
        <f t="shared" ca="1" si="83"/>
        <v>3.5875375747483544</v>
      </c>
      <c r="L694" s="20">
        <f t="shared" ca="1" si="84"/>
        <v>-1.874485685527405</v>
      </c>
    </row>
    <row r="695" spans="4:12" x14ac:dyDescent="0.25">
      <c r="D695" s="22">
        <f t="shared" ca="1" si="86"/>
        <v>8.5658504550811101E-2</v>
      </c>
      <c r="E695" s="11">
        <v>1.925</v>
      </c>
      <c r="F695" s="11">
        <f t="shared" ca="1" si="87"/>
        <v>68.974246905829787</v>
      </c>
      <c r="G695" s="11">
        <f t="shared" ca="1" si="85"/>
        <v>1.1064356994029083</v>
      </c>
      <c r="H695" s="11">
        <f t="shared" ca="1" si="80"/>
        <v>0.75012556296798527</v>
      </c>
      <c r="I695" s="11">
        <f t="shared" ca="1" si="81"/>
        <v>51.739345790528382</v>
      </c>
      <c r="J695" s="11">
        <f t="shared" ca="1" si="82"/>
        <v>-50.632910091125474</v>
      </c>
      <c r="K695" s="11">
        <f t="shared" ca="1" si="83"/>
        <v>2.9822395045335695</v>
      </c>
      <c r="L695" s="20">
        <f t="shared" ca="1" si="84"/>
        <v>-1.8758038051306611</v>
      </c>
    </row>
    <row r="696" spans="4:12" x14ac:dyDescent="0.25">
      <c r="D696" s="22">
        <f t="shared" ca="1" si="86"/>
        <v>8.5623244040006125E-2</v>
      </c>
      <c r="E696" s="11">
        <v>1.9277777777777778</v>
      </c>
      <c r="F696" s="11">
        <f t="shared" ca="1" si="87"/>
        <v>69.559174891930496</v>
      </c>
      <c r="G696" s="11">
        <f t="shared" ca="1" si="85"/>
        <v>1.5331610519850756</v>
      </c>
      <c r="H696" s="11">
        <f t="shared" ca="1" si="80"/>
        <v>0.79936273333086827</v>
      </c>
      <c r="I696" s="11">
        <f t="shared" ca="1" si="81"/>
        <v>55.603012169853464</v>
      </c>
      <c r="J696" s="11">
        <f t="shared" ca="1" si="82"/>
        <v>-54.069851117868389</v>
      </c>
      <c r="K696" s="11">
        <f t="shared" ca="1" si="83"/>
        <v>3.4022534070082666</v>
      </c>
      <c r="L696" s="20">
        <f t="shared" ca="1" si="84"/>
        <v>-1.869092355023191</v>
      </c>
    </row>
    <row r="697" spans="4:12" x14ac:dyDescent="0.25">
      <c r="D697" s="22">
        <f t="shared" ca="1" si="86"/>
        <v>8.4851017476243157E-2</v>
      </c>
      <c r="E697" s="11">
        <v>1.9305555555555556</v>
      </c>
      <c r="F697" s="11">
        <f t="shared" ca="1" si="87"/>
        <v>68.623890395183622</v>
      </c>
      <c r="G697" s="11">
        <f t="shared" ca="1" si="85"/>
        <v>0.77278386188950776</v>
      </c>
      <c r="H697" s="11">
        <f t="shared" ca="1" si="80"/>
        <v>0.72325440989284284</v>
      </c>
      <c r="I697" s="11">
        <f t="shared" ca="1" si="81"/>
        <v>49.63253135231966</v>
      </c>
      <c r="J697" s="11">
        <f t="shared" ca="1" si="82"/>
        <v>-48.859747490430152</v>
      </c>
      <c r="K697" s="11">
        <f t="shared" ca="1" si="83"/>
        <v>2.6521550760707489</v>
      </c>
      <c r="L697" s="20">
        <f t="shared" ca="1" si="84"/>
        <v>-1.8793712141812411</v>
      </c>
    </row>
    <row r="698" spans="4:12" x14ac:dyDescent="0.25">
      <c r="D698" s="22">
        <f t="shared" ca="1" si="86"/>
        <v>8.4899980054628066E-2</v>
      </c>
      <c r="E698" s="11">
        <v>1.9333333333333333</v>
      </c>
      <c r="F698" s="11">
        <f t="shared" ca="1" si="87"/>
        <v>68.071471020879002</v>
      </c>
      <c r="G698" s="11">
        <f t="shared" ca="1" si="85"/>
        <v>0.36172000007267968</v>
      </c>
      <c r="H698" s="11">
        <f t="shared" ca="1" si="80"/>
        <v>0.67099448372900183</v>
      </c>
      <c r="I698" s="11">
        <f t="shared" ca="1" si="81"/>
        <v>45.675581554328417</v>
      </c>
      <c r="J698" s="11">
        <f t="shared" ca="1" si="82"/>
        <v>-45.313861554255737</v>
      </c>
      <c r="K698" s="11">
        <f t="shared" ca="1" si="83"/>
        <v>2.2308603574470469</v>
      </c>
      <c r="L698" s="20">
        <f t="shared" ca="1" si="84"/>
        <v>-1.8691403573743672</v>
      </c>
    </row>
    <row r="699" spans="4:12" x14ac:dyDescent="0.25">
      <c r="D699" s="22">
        <f t="shared" ca="1" si="86"/>
        <v>8.5570086937980822E-2</v>
      </c>
      <c r="E699" s="11">
        <v>1.9361111111111111</v>
      </c>
      <c r="F699" s="11">
        <f t="shared" ca="1" si="87"/>
        <v>66.883436844504701</v>
      </c>
      <c r="G699" s="11">
        <f t="shared" ca="1" si="85"/>
        <v>-0.44621652303682424</v>
      </c>
      <c r="H699" s="11">
        <f t="shared" ca="1" si="80"/>
        <v>0.53942139454691973</v>
      </c>
      <c r="I699" s="11">
        <f t="shared" ca="1" si="81"/>
        <v>36.078356774753559</v>
      </c>
      <c r="J699" s="11">
        <f t="shared" ca="1" si="82"/>
        <v>-36.524573297790383</v>
      </c>
      <c r="K699" s="11">
        <f t="shared" ca="1" si="83"/>
        <v>1.4742384906583599</v>
      </c>
      <c r="L699" s="20">
        <f t="shared" ca="1" si="84"/>
        <v>-1.9204550136951841</v>
      </c>
    </row>
    <row r="700" spans="4:12" x14ac:dyDescent="0.25">
      <c r="D700" s="22">
        <f t="shared" ca="1" si="86"/>
        <v>8.6738909820941568E-2</v>
      </c>
      <c r="E700" s="11">
        <v>1.9388888888888889</v>
      </c>
      <c r="F700" s="11">
        <f t="shared" ca="1" si="87"/>
        <v>67.637729991224859</v>
      </c>
      <c r="G700" s="11">
        <f t="shared" ca="1" si="85"/>
        <v>-4.8136004612608474E-2</v>
      </c>
      <c r="H700" s="11">
        <f t="shared" ca="1" si="80"/>
        <v>0.6268570821004642</v>
      </c>
      <c r="I700" s="11">
        <f t="shared" ca="1" si="81"/>
        <v>42.399190062198272</v>
      </c>
      <c r="J700" s="11">
        <f t="shared" ca="1" si="82"/>
        <v>-42.447326066810881</v>
      </c>
      <c r="K700" s="11">
        <f t="shared" ca="1" si="83"/>
        <v>1.878825127723065</v>
      </c>
      <c r="L700" s="20">
        <f t="shared" ca="1" si="84"/>
        <v>-1.9269611323356735</v>
      </c>
    </row>
    <row r="701" spans="4:12" x14ac:dyDescent="0.25">
      <c r="D701" s="22">
        <f t="shared" ca="1" si="86"/>
        <v>8.7225963702201897E-2</v>
      </c>
      <c r="E701" s="11">
        <v>1.9416666666666667</v>
      </c>
      <c r="F701" s="11">
        <f t="shared" ca="1" si="87"/>
        <v>67.718756160786086</v>
      </c>
      <c r="G701" s="11">
        <f t="shared" ca="1" si="85"/>
        <v>-7.6301694640008577E-3</v>
      </c>
      <c r="H701" s="11">
        <f t="shared" ca="1" si="80"/>
        <v>0.63697677684317144</v>
      </c>
      <c r="I701" s="11">
        <f t="shared" ca="1" si="81"/>
        <v>43.135275031126177</v>
      </c>
      <c r="J701" s="11">
        <f t="shared" ca="1" si="82"/>
        <v>-43.142905200590178</v>
      </c>
      <c r="K701" s="11">
        <f t="shared" ca="1" si="83"/>
        <v>1.8923384652828699</v>
      </c>
      <c r="L701" s="20">
        <f t="shared" ca="1" si="84"/>
        <v>-1.8999686347468707</v>
      </c>
    </row>
    <row r="702" spans="4:12" x14ac:dyDescent="0.25">
      <c r="D702" s="22">
        <f t="shared" ca="1" si="86"/>
        <v>8.7516668675679324E-2</v>
      </c>
      <c r="E702" s="11">
        <v>1.9444444444444444</v>
      </c>
      <c r="F702" s="11">
        <f t="shared" ca="1" si="87"/>
        <v>67.175410612860077</v>
      </c>
      <c r="G702" s="11">
        <f t="shared" ca="1" si="85"/>
        <v>-0.36421806062737261</v>
      </c>
      <c r="H702" s="11">
        <f t="shared" ca="1" si="80"/>
        <v>0.57227717157992741</v>
      </c>
      <c r="I702" s="11">
        <f t="shared" ca="1" si="81"/>
        <v>38.442953985247804</v>
      </c>
      <c r="J702" s="11">
        <f t="shared" ca="1" si="82"/>
        <v>-38.807172045875177</v>
      </c>
      <c r="K702" s="11">
        <f t="shared" ca="1" si="83"/>
        <v>1.5244817208214287</v>
      </c>
      <c r="L702" s="20">
        <f t="shared" ca="1" si="84"/>
        <v>-1.8886997814488014</v>
      </c>
    </row>
    <row r="703" spans="4:12" x14ac:dyDescent="0.25">
      <c r="D703" s="22">
        <f t="shared" ca="1" si="86"/>
        <v>8.8949124521866416E-2</v>
      </c>
      <c r="E703" s="11">
        <v>1.9472222222222222</v>
      </c>
      <c r="F703" s="11">
        <f t="shared" ca="1" si="87"/>
        <v>68.171893684730591</v>
      </c>
      <c r="G703" s="11">
        <f t="shared" ca="1" si="85"/>
        <v>0.19645675755161562</v>
      </c>
      <c r="H703" s="11">
        <f t="shared" ca="1" si="80"/>
        <v>0.69235397755574524</v>
      </c>
      <c r="I703" s="11">
        <f t="shared" ca="1" si="81"/>
        <v>47.199081750130617</v>
      </c>
      <c r="J703" s="11">
        <f t="shared" ca="1" si="82"/>
        <v>-47.002624992579001</v>
      </c>
      <c r="K703" s="11">
        <f t="shared" ca="1" si="83"/>
        <v>2.1181383430287326</v>
      </c>
      <c r="L703" s="20">
        <f t="shared" ca="1" si="84"/>
        <v>-1.921681585477117</v>
      </c>
    </row>
    <row r="704" spans="4:12" x14ac:dyDescent="0.25">
      <c r="D704" s="22">
        <f t="shared" ca="1" si="86"/>
        <v>9.0354308022177532E-2</v>
      </c>
      <c r="E704" s="11">
        <v>1.9500000000000002</v>
      </c>
      <c r="F704" s="11">
        <f t="shared" ca="1" si="87"/>
        <v>67.125907765549243</v>
      </c>
      <c r="G704" s="11">
        <f t="shared" ca="1" si="85"/>
        <v>-0.53953415031672591</v>
      </c>
      <c r="H704" s="11">
        <f t="shared" ca="1" si="80"/>
        <v>0.56567010671343776</v>
      </c>
      <c r="I704" s="11">
        <f t="shared" ca="1" si="81"/>
        <v>37.971119408974623</v>
      </c>
      <c r="J704" s="11">
        <f t="shared" ca="1" si="82"/>
        <v>-38.510653559291349</v>
      </c>
      <c r="K704" s="11">
        <f t="shared" ca="1" si="83"/>
        <v>1.4198309340440902</v>
      </c>
      <c r="L704" s="20">
        <f t="shared" ca="1" si="84"/>
        <v>-1.9593650843608161</v>
      </c>
    </row>
    <row r="705" spans="4:12" x14ac:dyDescent="0.25">
      <c r="D705" s="22">
        <f t="shared" ca="1" si="86"/>
        <v>8.9389817441142272E-2</v>
      </c>
      <c r="E705" s="11">
        <v>1.9527777777777779</v>
      </c>
      <c r="F705" s="11">
        <f t="shared" ca="1" si="87"/>
        <v>65.753112684164009</v>
      </c>
      <c r="G705" s="11">
        <f t="shared" ca="1" si="85"/>
        <v>-1.3256468674904696</v>
      </c>
      <c r="H705" s="11">
        <f t="shared" ca="1" si="80"/>
        <v>0.37699546147602592</v>
      </c>
      <c r="I705" s="11">
        <f t="shared" ca="1" si="81"/>
        <v>24.788625059851544</v>
      </c>
      <c r="J705" s="11">
        <f t="shared" ca="1" si="82"/>
        <v>-26.114271927342013</v>
      </c>
      <c r="K705" s="11">
        <f t="shared" ca="1" si="83"/>
        <v>0.72987656230992837</v>
      </c>
      <c r="L705" s="20">
        <f t="shared" ca="1" si="84"/>
        <v>-2.0555234298003979</v>
      </c>
    </row>
    <row r="706" spans="4:12" x14ac:dyDescent="0.25">
      <c r="D706" s="22">
        <f t="shared" ca="1" si="86"/>
        <v>9.0604172162420255E-2</v>
      </c>
      <c r="E706" s="11">
        <v>1.9555555555555557</v>
      </c>
      <c r="F706" s="11">
        <f t="shared" ca="1" si="87"/>
        <v>67.058391144727793</v>
      </c>
      <c r="G706" s="11">
        <f t="shared" ca="1" si="85"/>
        <v>-0.84013603344483911</v>
      </c>
      <c r="H706" s="11">
        <f t="shared" ref="H706:H721" ca="1" si="88">BSGreeks(F706,$B$3,$B$6 - E706,D706, $B$5,$H$1)</f>
        <v>0.55458249503610202</v>
      </c>
      <c r="I706" s="11">
        <f t="shared" ref="I706:I721" ca="1" si="89">F706*H706</f>
        <v>37.189409874149987</v>
      </c>
      <c r="J706" s="11">
        <f t="shared" ref="J706:J721" ca="1" si="90">G706 - I706</f>
        <v>-38.029545907594823</v>
      </c>
      <c r="K706" s="11">
        <f t="shared" ref="K706:K722" ca="1" si="91">BSCall(F706,$B$3, $B$6 - E706,D706,$B$5)</f>
        <v>1.2965481998789981</v>
      </c>
      <c r="L706" s="20">
        <f t="shared" ref="L706:L721" ca="1" si="92">G706 - K706</f>
        <v>-2.1366842333238374</v>
      </c>
    </row>
    <row r="707" spans="4:12" x14ac:dyDescent="0.25">
      <c r="D707" s="22">
        <f t="shared" ca="1" si="86"/>
        <v>9.0156279847190546E-2</v>
      </c>
      <c r="E707" s="11">
        <v>1.9583333333333335</v>
      </c>
      <c r="F707" s="11">
        <f t="shared" ca="1" si="87"/>
        <v>67.805115776167682</v>
      </c>
      <c r="G707" s="11">
        <f t="shared" ref="G707:G722" ca="1" si="93" xml:space="preserve"> H706*F707 + J706* EXP(D707*(E707 - E706))</f>
        <v>-0.43554071239888259</v>
      </c>
      <c r="H707" s="11">
        <f t="shared" ca="1" si="88"/>
        <v>0.65726858940209343</v>
      </c>
      <c r="I707" s="11">
        <f t="shared" ca="1" si="89"/>
        <v>44.566172800447362</v>
      </c>
      <c r="J707" s="11">
        <f t="shared" ca="1" si="90"/>
        <v>-45.001713512846244</v>
      </c>
      <c r="K707" s="11">
        <f t="shared" ca="1" si="91"/>
        <v>1.7038499433164842</v>
      </c>
      <c r="L707" s="20">
        <f t="shared" ca="1" si="92"/>
        <v>-2.139390655715367</v>
      </c>
    </row>
    <row r="708" spans="4:12" x14ac:dyDescent="0.25">
      <c r="D708" s="22">
        <f t="shared" ref="D708:D721" ca="1" si="94">D707*1.002 + $B$5*D707*SQRT(E708-E707)*_xlfn.NORM.S.INV(RAND())</f>
        <v>9.1590455310640306E-2</v>
      </c>
      <c r="E708" s="11">
        <v>1.9611111111111112</v>
      </c>
      <c r="F708" s="11">
        <f t="shared" ref="F708:F721" ca="1" si="95">F707 + D707*F707*(E708-E707) + $B$5*F707*SQRT(E708-E707)*_xlfn.NORM.S.INV(RAND())</f>
        <v>67.496555582266723</v>
      </c>
      <c r="G708" s="11">
        <f t="shared" ca="1" si="93"/>
        <v>-0.64979833522188812</v>
      </c>
      <c r="H708" s="11">
        <f t="shared" ca="1" si="88"/>
        <v>0.61686100796855881</v>
      </c>
      <c r="I708" s="11">
        <f t="shared" ca="1" si="89"/>
        <v>41.635993310882903</v>
      </c>
      <c r="J708" s="11">
        <f t="shared" ca="1" si="90"/>
        <v>-42.285791646104791</v>
      </c>
      <c r="K708" s="11">
        <f t="shared" ca="1" si="91"/>
        <v>1.4639717568656092</v>
      </c>
      <c r="L708" s="20">
        <f t="shared" ca="1" si="92"/>
        <v>-2.1137700920874973</v>
      </c>
    </row>
    <row r="709" spans="4:12" x14ac:dyDescent="0.25">
      <c r="D709" s="22">
        <f t="shared" ca="1" si="94"/>
        <v>9.122981113571435E-2</v>
      </c>
      <c r="E709" s="11">
        <v>1.963888888888889</v>
      </c>
      <c r="F709" s="11">
        <f t="shared" ca="1" si="95"/>
        <v>66.500964054821551</v>
      </c>
      <c r="G709" s="11">
        <f t="shared" ca="1" si="93"/>
        <v>-1.2746571884548885</v>
      </c>
      <c r="H709" s="11">
        <f t="shared" ca="1" si="88"/>
        <v>0.46373573147465613</v>
      </c>
      <c r="I709" s="11">
        <f t="shared" ca="1" si="89"/>
        <v>30.838873209732487</v>
      </c>
      <c r="J709" s="11">
        <f t="shared" ca="1" si="90"/>
        <v>-32.113530398187379</v>
      </c>
      <c r="K709" s="11">
        <f t="shared" ca="1" si="91"/>
        <v>0.87712087594175037</v>
      </c>
      <c r="L709" s="20">
        <f t="shared" ca="1" si="92"/>
        <v>-2.1517780643966389</v>
      </c>
    </row>
    <row r="710" spans="4:12" x14ac:dyDescent="0.25">
      <c r="D710" s="22">
        <f t="shared" ca="1" si="94"/>
        <v>9.0739946080268183E-2</v>
      </c>
      <c r="E710" s="11">
        <v>1.9666666666666668</v>
      </c>
      <c r="F710" s="11">
        <f t="shared" ca="1" si="95"/>
        <v>65.949723892057918</v>
      </c>
      <c r="G710" s="11">
        <f t="shared" ca="1" si="93"/>
        <v>-1.5383823576907503</v>
      </c>
      <c r="H710" s="11">
        <f t="shared" ca="1" si="88"/>
        <v>0.37009281269066235</v>
      </c>
      <c r="I710" s="11">
        <f t="shared" ca="1" si="89"/>
        <v>24.407518811384289</v>
      </c>
      <c r="J710" s="11">
        <f t="shared" ca="1" si="90"/>
        <v>-25.945901169075039</v>
      </c>
      <c r="K710" s="11">
        <f t="shared" ca="1" si="91"/>
        <v>0.60143670241795155</v>
      </c>
      <c r="L710" s="20">
        <f t="shared" ca="1" si="92"/>
        <v>-2.1398190601087017</v>
      </c>
    </row>
    <row r="711" spans="4:12" x14ac:dyDescent="0.25">
      <c r="D711" s="22">
        <f t="shared" ca="1" si="94"/>
        <v>9.156195983613738E-2</v>
      </c>
      <c r="E711" s="11">
        <v>1.9694444444444446</v>
      </c>
      <c r="F711" s="11">
        <f t="shared" ca="1" si="95"/>
        <v>66.405747239895902</v>
      </c>
      <c r="G711" s="11">
        <f t="shared" ca="1" si="93"/>
        <v>-1.3762112822848067</v>
      </c>
      <c r="H711" s="11">
        <f t="shared" ca="1" si="88"/>
        <v>0.4374938433094761</v>
      </c>
      <c r="I711" s="11">
        <f t="shared" ca="1" si="89"/>
        <v>29.052105577819692</v>
      </c>
      <c r="J711" s="11">
        <f t="shared" ca="1" si="90"/>
        <v>-30.428316860104498</v>
      </c>
      <c r="K711" s="11">
        <f t="shared" ca="1" si="91"/>
        <v>0.7395838655639011</v>
      </c>
      <c r="L711" s="20">
        <f t="shared" ca="1" si="92"/>
        <v>-2.1157951478487078</v>
      </c>
    </row>
    <row r="712" spans="4:12" x14ac:dyDescent="0.25">
      <c r="D712" s="22">
        <f t="shared" ca="1" si="94"/>
        <v>9.1766905897530449E-2</v>
      </c>
      <c r="E712" s="11">
        <v>1.9722222222222223</v>
      </c>
      <c r="F712" s="11">
        <f t="shared" ca="1" si="95"/>
        <v>67.695459807426303</v>
      </c>
      <c r="G712" s="11">
        <f t="shared" ca="1" si="93"/>
        <v>-0.81972738660600797</v>
      </c>
      <c r="H712" s="11">
        <f t="shared" ca="1" si="88"/>
        <v>0.65650158674041026</v>
      </c>
      <c r="I712" s="11">
        <f t="shared" ca="1" si="89"/>
        <v>44.442176778697032</v>
      </c>
      <c r="J712" s="11">
        <f t="shared" ca="1" si="90"/>
        <v>-45.261904165303037</v>
      </c>
      <c r="K712" s="11">
        <f t="shared" ca="1" si="91"/>
        <v>1.3933351873545441</v>
      </c>
      <c r="L712" s="20">
        <f t="shared" ca="1" si="92"/>
        <v>-2.2130625739605518</v>
      </c>
    </row>
    <row r="713" spans="4:12" x14ac:dyDescent="0.25">
      <c r="D713" s="22">
        <f t="shared" ca="1" si="94"/>
        <v>8.9803790855306445E-2</v>
      </c>
      <c r="E713" s="11">
        <v>1.9750000000000001</v>
      </c>
      <c r="F713" s="11">
        <f t="shared" ca="1" si="95"/>
        <v>66.851450643196401</v>
      </c>
      <c r="G713" s="11">
        <f t="shared" ca="1" si="93"/>
        <v>-1.3851129576913053</v>
      </c>
      <c r="H713" s="11">
        <f t="shared" ca="1" si="88"/>
        <v>0.50662895648377559</v>
      </c>
      <c r="I713" s="11">
        <f t="shared" ca="1" si="89"/>
        <v>33.868880678789225</v>
      </c>
      <c r="J713" s="11">
        <f t="shared" ca="1" si="90"/>
        <v>-35.25399363648053</v>
      </c>
      <c r="K713" s="11">
        <f t="shared" ca="1" si="91"/>
        <v>0.84418136928016696</v>
      </c>
      <c r="L713" s="20">
        <f t="shared" ca="1" si="92"/>
        <v>-2.2292943269714725</v>
      </c>
    </row>
    <row r="714" spans="4:12" x14ac:dyDescent="0.25">
      <c r="D714" s="22">
        <f t="shared" ca="1" si="94"/>
        <v>8.8793890842024784E-2</v>
      </c>
      <c r="E714" s="11">
        <v>1.9777777777777779</v>
      </c>
      <c r="F714" s="11">
        <f t="shared" ca="1" si="95"/>
        <v>67.20832277403413</v>
      </c>
      <c r="G714" s="11">
        <f t="shared" ca="1" si="93"/>
        <v>-1.2130076617331227</v>
      </c>
      <c r="H714" s="11">
        <f t="shared" ca="1" si="88"/>
        <v>0.57347070391347188</v>
      </c>
      <c r="I714" s="11">
        <f t="shared" ca="1" si="89"/>
        <v>38.542004170069177</v>
      </c>
      <c r="J714" s="11">
        <f t="shared" ca="1" si="90"/>
        <v>-39.7550118318023</v>
      </c>
      <c r="K714" s="11">
        <f t="shared" ca="1" si="91"/>
        <v>0.97906581750761279</v>
      </c>
      <c r="L714" s="20">
        <f t="shared" ca="1" si="92"/>
        <v>-2.1920734792407357</v>
      </c>
    </row>
    <row r="715" spans="4:12" x14ac:dyDescent="0.25">
      <c r="D715" s="22">
        <f t="shared" ca="1" si="94"/>
        <v>8.8583106762752384E-2</v>
      </c>
      <c r="E715" s="11">
        <v>1.9805555555555556</v>
      </c>
      <c r="F715" s="11">
        <f t="shared" ca="1" si="95"/>
        <v>67.823368482579085</v>
      </c>
      <c r="G715" s="11">
        <f t="shared" ca="1" si="93"/>
        <v>-0.87008045455259264</v>
      </c>
      <c r="H715" s="11">
        <f t="shared" ca="1" si="88"/>
        <v>0.69625801300960899</v>
      </c>
      <c r="I715" s="11">
        <f t="shared" ca="1" si="89"/>
        <v>47.222563775299051</v>
      </c>
      <c r="J715" s="11">
        <f t="shared" ca="1" si="90"/>
        <v>-48.092644229851643</v>
      </c>
      <c r="K715" s="11">
        <f t="shared" ca="1" si="91"/>
        <v>1.3103497160828272</v>
      </c>
      <c r="L715" s="20">
        <f t="shared" ca="1" si="92"/>
        <v>-2.1804301706354199</v>
      </c>
    </row>
    <row r="716" spans="4:12" x14ac:dyDescent="0.25">
      <c r="D716" s="22">
        <f t="shared" ca="1" si="94"/>
        <v>8.9222894408393261E-2</v>
      </c>
      <c r="E716" s="11">
        <v>1.9833333333333334</v>
      </c>
      <c r="F716" s="11">
        <f t="shared" ca="1" si="95"/>
        <v>67.823748516029937</v>
      </c>
      <c r="G716" s="11">
        <f t="shared" ca="1" si="93"/>
        <v>-0.88173667738720241</v>
      </c>
      <c r="H716" s="11">
        <f t="shared" ca="1" si="88"/>
        <v>0.70670129329222298</v>
      </c>
      <c r="I716" s="11">
        <f t="shared" ca="1" si="89"/>
        <v>47.931130792204847</v>
      </c>
      <c r="J716" s="11">
        <f t="shared" ca="1" si="90"/>
        <v>-48.812867469592049</v>
      </c>
      <c r="K716" s="11">
        <f t="shared" ca="1" si="91"/>
        <v>1.2510365435302413</v>
      </c>
      <c r="L716" s="20">
        <f t="shared" ca="1" si="92"/>
        <v>-2.1327732209174437</v>
      </c>
    </row>
    <row r="717" spans="4:12" x14ac:dyDescent="0.25">
      <c r="D717" s="22">
        <f t="shared" ca="1" si="94"/>
        <v>9.0007177081644851E-2</v>
      </c>
      <c r="E717" s="11">
        <v>1.9861111111111112</v>
      </c>
      <c r="F717" s="11">
        <f t="shared" ca="1" si="95"/>
        <v>68.376832989503541</v>
      </c>
      <c r="G717" s="11">
        <f t="shared" ca="1" si="93"/>
        <v>-0.50307688047334409</v>
      </c>
      <c r="H717" s="11">
        <f t="shared" ca="1" si="88"/>
        <v>0.82325391974204654</v>
      </c>
      <c r="I717" s="11">
        <f t="shared" ca="1" si="89"/>
        <v>56.291495778156069</v>
      </c>
      <c r="J717" s="11">
        <f t="shared" ca="1" si="90"/>
        <v>-56.794572658629413</v>
      </c>
      <c r="K717" s="11">
        <f t="shared" ca="1" si="91"/>
        <v>1.6159971310243173</v>
      </c>
      <c r="L717" s="20">
        <f t="shared" ca="1" si="92"/>
        <v>-2.1190740114976614</v>
      </c>
    </row>
    <row r="718" spans="4:12" x14ac:dyDescent="0.25">
      <c r="D718" s="22">
        <f t="shared" ca="1" si="94"/>
        <v>8.9540899437264704E-2</v>
      </c>
      <c r="E718" s="11">
        <v>1.9888888888888889</v>
      </c>
      <c r="F718" s="11">
        <f t="shared" ca="1" si="95"/>
        <v>68.454955550634963</v>
      </c>
      <c r="G718" s="11">
        <f t="shared" ca="1" si="93"/>
        <v>-0.45289014693608465</v>
      </c>
      <c r="H718" s="11">
        <f t="shared" ca="1" si="88"/>
        <v>0.85920999691796185</v>
      </c>
      <c r="I718" s="11">
        <f t="shared" ca="1" si="89"/>
        <v>58.817182147680285</v>
      </c>
      <c r="J718" s="11">
        <f t="shared" ca="1" si="90"/>
        <v>-59.270072294616369</v>
      </c>
      <c r="K718" s="11">
        <f t="shared" ca="1" si="91"/>
        <v>1.6262149526618959</v>
      </c>
      <c r="L718" s="20">
        <f t="shared" ca="1" si="92"/>
        <v>-2.0791050995979807</v>
      </c>
    </row>
    <row r="719" spans="4:12" x14ac:dyDescent="0.25">
      <c r="D719" s="22">
        <f t="shared" ca="1" si="94"/>
        <v>8.9418890498610293E-2</v>
      </c>
      <c r="E719" s="11">
        <v>1.9916666666666667</v>
      </c>
      <c r="F719" s="11">
        <f t="shared" ca="1" si="95"/>
        <v>68.725795573766177</v>
      </c>
      <c r="G719" s="11">
        <f t="shared" ca="1" si="93"/>
        <v>-0.23490536473061496</v>
      </c>
      <c r="H719" s="11">
        <f t="shared" ca="1" si="88"/>
        <v>0.92547711043558301</v>
      </c>
      <c r="I719" s="11">
        <f t="shared" ca="1" si="89"/>
        <v>63.604150699995699</v>
      </c>
      <c r="J719" s="11">
        <f t="shared" ca="1" si="90"/>
        <v>-63.839056064726314</v>
      </c>
      <c r="K719" s="11">
        <f t="shared" ca="1" si="91"/>
        <v>1.8178381413861506</v>
      </c>
      <c r="L719" s="20">
        <f t="shared" ca="1" si="92"/>
        <v>-2.0527435061167658</v>
      </c>
    </row>
    <row r="720" spans="4:12" x14ac:dyDescent="0.25">
      <c r="D720" s="22">
        <f t="shared" ca="1" si="94"/>
        <v>8.9680223105299495E-2</v>
      </c>
      <c r="E720" s="11">
        <v>1.9944444444444445</v>
      </c>
      <c r="F720" s="11">
        <f t="shared" ca="1" si="95"/>
        <v>69.505039658477571</v>
      </c>
      <c r="G720" s="11">
        <f t="shared" ca="1" si="93"/>
        <v>0.47036216037651002</v>
      </c>
      <c r="H720" s="11">
        <f t="shared" ca="1" si="88"/>
        <v>0.99384675633907937</v>
      </c>
      <c r="I720" s="11">
        <f t="shared" ca="1" si="89"/>
        <v>69.077358213797012</v>
      </c>
      <c r="J720" s="11">
        <f t="shared" ca="1" si="90"/>
        <v>-68.606996053420502</v>
      </c>
      <c r="K720" s="11">
        <f t="shared" ca="1" si="91"/>
        <v>2.5404773443318995</v>
      </c>
      <c r="L720" s="20">
        <f t="shared" ca="1" si="92"/>
        <v>-2.0701151839553895</v>
      </c>
    </row>
    <row r="721" spans="4:12" x14ac:dyDescent="0.25">
      <c r="D721" s="22">
        <f t="shared" ca="1" si="94"/>
        <v>8.9683894285933152E-2</v>
      </c>
      <c r="E721" s="13">
        <v>1.9972222222222222</v>
      </c>
      <c r="F721" s="11">
        <f t="shared" ca="1" si="95"/>
        <v>70.002101323726919</v>
      </c>
      <c r="G721" s="13">
        <f t="shared" ca="1" si="93"/>
        <v>0.94727164780329076</v>
      </c>
      <c r="H721" s="13">
        <f t="shared" ca="1" si="88"/>
        <v>0.99998588124826149</v>
      </c>
      <c r="I721" s="13">
        <f t="shared" ca="1" si="89"/>
        <v>70.00111298143716</v>
      </c>
      <c r="J721" s="13">
        <f t="shared" ca="1" si="90"/>
        <v>-69.053841333633869</v>
      </c>
      <c r="K721" s="13">
        <f t="shared" ca="1" si="91"/>
        <v>3.0187926815339114</v>
      </c>
      <c r="L721" s="21">
        <f t="shared" ca="1" si="92"/>
        <v>-2.0715210337306207</v>
      </c>
    </row>
    <row r="722" spans="4:12" x14ac:dyDescent="0.25">
      <c r="G722">
        <f t="shared" ca="1" si="93"/>
        <v>-69.053841333633869</v>
      </c>
      <c r="K722" t="e">
        <f t="shared" si="91"/>
        <v>#VALUE!</v>
      </c>
    </row>
  </sheetData>
  <mergeCells count="2">
    <mergeCell ref="A1:B1"/>
    <mergeCell ref="N16:O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ho_hedging">
                <anchor moveWithCells="1" sizeWithCells="1">
                  <from>
                    <xdr:col>0</xdr:col>
                    <xdr:colOff>28575</xdr:colOff>
                    <xdr:row>10</xdr:row>
                    <xdr:rowOff>9525</xdr:rowOff>
                  </from>
                  <to>
                    <xdr:col>1</xdr:col>
                    <xdr:colOff>723900</xdr:colOff>
                    <xdr:row>12</xdr:row>
                    <xdr:rowOff>161925</xdr:rowOff>
                  </to>
                </anchor>
              </controlPr>
            </control>
          </mc:Choice>
        </mc:AlternateContent>
        <mc:AlternateContent xmlns:mc="http://schemas.openxmlformats.org/markup-compatibility/2006">
          <mc:Choice Requires="x14">
            <control shapeId="7170" r:id="rId4" name="Button 2">
              <controlPr defaultSize="0" print="0" autoFill="0" autoPict="0" macro="[0]!Rho_hedging_bis">
                <anchor moveWithCells="1" sizeWithCells="1">
                  <from>
                    <xdr:col>12</xdr:col>
                    <xdr:colOff>733425</xdr:colOff>
                    <xdr:row>20</xdr:row>
                    <xdr:rowOff>114300</xdr:rowOff>
                  </from>
                  <to>
                    <xdr:col>15</xdr:col>
                    <xdr:colOff>28575</xdr:colOff>
                    <xdr:row>22</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F44B6-3837-4775-A4CE-93285429383B}">
  <sheetPr codeName="Feuil8"/>
  <dimension ref="A1:AE182"/>
  <sheetViews>
    <sheetView showGridLines="0" zoomScale="40" zoomScaleNormal="55" workbookViewId="0">
      <selection activeCell="AD19" sqref="AD19"/>
    </sheetView>
  </sheetViews>
  <sheetFormatPr baseColWidth="10" defaultRowHeight="15" x14ac:dyDescent="0.25"/>
  <cols>
    <col min="4" max="4" width="14.42578125" bestFit="1" customWidth="1"/>
    <col min="6" max="6" width="19.140625" bestFit="1" customWidth="1"/>
    <col min="9" max="9" width="15.28515625" bestFit="1" customWidth="1"/>
    <col min="10" max="10" width="14.42578125" bestFit="1" customWidth="1"/>
    <col min="15" max="15" width="19.140625" bestFit="1" customWidth="1"/>
    <col min="17" max="17" width="14.42578125" bestFit="1" customWidth="1"/>
    <col min="18" max="18" width="15.28515625" bestFit="1" customWidth="1"/>
    <col min="19" max="19" width="14.42578125" bestFit="1" customWidth="1"/>
    <col min="28" max="28" width="23.85546875" bestFit="1" customWidth="1"/>
    <col min="29" max="29" width="18.5703125" bestFit="1" customWidth="1"/>
    <col min="30" max="30" width="15.42578125" customWidth="1"/>
    <col min="31" max="31" width="16.140625" bestFit="1" customWidth="1"/>
  </cols>
  <sheetData>
    <row r="1" spans="1:31" ht="32.450000000000003" customHeight="1" thickBot="1" x14ac:dyDescent="0.3">
      <c r="A1" s="71" t="s">
        <v>68</v>
      </c>
      <c r="B1" s="72"/>
      <c r="D1" s="7" t="s">
        <v>74</v>
      </c>
      <c r="E1" s="8" t="s">
        <v>0</v>
      </c>
      <c r="F1" s="8" t="s">
        <v>26</v>
      </c>
      <c r="G1" s="8" t="s">
        <v>7</v>
      </c>
      <c r="H1" s="8" t="s">
        <v>69</v>
      </c>
      <c r="I1" s="8" t="s">
        <v>28</v>
      </c>
      <c r="J1" s="8" t="s">
        <v>35</v>
      </c>
      <c r="K1" s="9" t="s">
        <v>29</v>
      </c>
      <c r="M1" s="7" t="s">
        <v>74</v>
      </c>
      <c r="N1" s="8" t="s">
        <v>0</v>
      </c>
      <c r="O1" s="8" t="s">
        <v>26</v>
      </c>
      <c r="P1" s="8" t="s">
        <v>7</v>
      </c>
      <c r="Q1" s="8" t="s">
        <v>69</v>
      </c>
      <c r="R1" s="8" t="s">
        <v>28</v>
      </c>
      <c r="S1" s="8" t="s">
        <v>35</v>
      </c>
      <c r="T1" s="9" t="s">
        <v>29</v>
      </c>
      <c r="AC1" s="19" t="s">
        <v>56</v>
      </c>
      <c r="AD1" s="19" t="s">
        <v>54</v>
      </c>
      <c r="AE1" s="19" t="s">
        <v>55</v>
      </c>
    </row>
    <row r="2" spans="1:31" x14ac:dyDescent="0.25">
      <c r="A2" s="2" t="s">
        <v>0</v>
      </c>
      <c r="B2" s="2">
        <v>60.57</v>
      </c>
      <c r="D2" s="22">
        <f t="array" ref="D2:E46">BSPath($B$2, $B$8, $B$5, $B$6, $B$9)</f>
        <v>0</v>
      </c>
      <c r="E2" s="11">
        <v>60.57</v>
      </c>
      <c r="F2" s="11">
        <f>BSCall(B2,$B$3, $B$6 - D2,$B$8, $B$5) - BSPut(B2,$B$4, $B$7 - D2,$B$8, $B$5)</f>
        <v>0.53420437876534088</v>
      </c>
      <c r="G2" s="11">
        <f t="shared" ref="G2:G14" si="0">BSGreeksRR(E2,$B$3,$B$4,$B$6 - D2,$B$7 - D2,$B$8, $B$5,$G$1)</f>
        <v>0.1997103005337969</v>
      </c>
      <c r="H2" s="11">
        <f t="shared" ref="H2:H46" si="1">E2*G2</f>
        <v>12.096452903332079</v>
      </c>
      <c r="I2" s="11">
        <f t="shared" ref="I2:I46" si="2">F2 - H2</f>
        <v>-11.562248524566737</v>
      </c>
      <c r="J2" s="11">
        <f>BSCall(E2,$B$3, $B$6 - D2,$B$8,$B$5) - BSPut(E2,$B$4, $B$7 - D2,$B$8, $B$5)</f>
        <v>0.53420437876534088</v>
      </c>
      <c r="K2" s="20">
        <f t="shared" ref="K2:K46" si="3">F2 - J2</f>
        <v>0</v>
      </c>
      <c r="M2" s="22">
        <f t="array" ref="M2:N181">BSPath($B$2, $B$8, $B$5, $B$6, $B$10)</f>
        <v>0</v>
      </c>
      <c r="N2" s="11">
        <v>60.57</v>
      </c>
      <c r="O2" s="11">
        <f>BSCall(N2,$B$3, $B$6 - M2,$B$8, $B$5) - BSPut(N2,$B$4, $B$7 - M2,$B$8, $B$5)</f>
        <v>0.53420437876534088</v>
      </c>
      <c r="P2" s="11">
        <f t="shared" ref="P2:P33" si="4">BSGreeksRR(N2,$B$3,$B$4,$B$6 - M2,$B$7 - M2,$B$8, $B$5,$G$1)</f>
        <v>0.1997103005337969</v>
      </c>
      <c r="Q2" s="11">
        <f t="shared" ref="Q2:Q33" si="5">N2*P2</f>
        <v>12.096452903332079</v>
      </c>
      <c r="R2" s="11">
        <f t="shared" ref="R2:R33" si="6">O2 - Q2</f>
        <v>-11.562248524566737</v>
      </c>
      <c r="S2" s="11">
        <f>BSCall(N2,$B$3, $B$6 - M2,$B$8,$B$5) - BSPut(N2,$B$4, $B$7 - M2,$B$8, $B$5)</f>
        <v>0.53420437876534088</v>
      </c>
      <c r="T2" s="20">
        <f t="shared" ref="T2:T33" si="7">O2 - S2</f>
        <v>0</v>
      </c>
      <c r="AC2" s="1" t="s">
        <v>50</v>
      </c>
      <c r="AD2" s="27">
        <v>-1.8409175040143666</v>
      </c>
      <c r="AE2" s="27">
        <v>-1.345879001923793</v>
      </c>
    </row>
    <row r="3" spans="1:31" x14ac:dyDescent="0.25">
      <c r="A3" s="1" t="s">
        <v>1</v>
      </c>
      <c r="B3" s="1">
        <v>67</v>
      </c>
      <c r="D3" s="22">
        <v>5.5555555555555558E-3</v>
      </c>
      <c r="E3" s="11">
        <v>60.20391827773966</v>
      </c>
      <c r="F3" s="11">
        <f t="shared" ref="F3:F47" si="8" xml:space="preserve"> G2*E3 + I2* EXP($B$8*(D3 - D2))</f>
        <v>0.46006628688902218</v>
      </c>
      <c r="G3" s="11">
        <f t="shared" si="0"/>
        <v>0.18319331466183128</v>
      </c>
      <c r="H3" s="11">
        <f t="shared" si="1"/>
        <v>11.028955344929138</v>
      </c>
      <c r="I3" s="11">
        <f t="shared" si="2"/>
        <v>-10.568889058040115</v>
      </c>
      <c r="J3" s="11">
        <f>BSCall(E3,$B$3, $B$6 - D3,$B$8,$B$5) - BSPut(E3,$B$4, $B$7 - D3,$B$8, $B$5)</f>
        <v>0.45224314245289909</v>
      </c>
      <c r="K3" s="20">
        <f t="shared" si="3"/>
        <v>7.8231444361230862E-3</v>
      </c>
      <c r="M3" s="22">
        <v>1.3888888888888889E-3</v>
      </c>
      <c r="N3" s="11">
        <v>60.500513978877656</v>
      </c>
      <c r="O3" s="11">
        <f t="shared" ref="O3:O34" si="9" xml:space="preserve"> P2*N3 + R2* EXP($B$8*(M3 - M2))</f>
        <v>0.52007036289310271</v>
      </c>
      <c r="P3" s="11">
        <f t="shared" si="4"/>
        <v>0.19610858868570963</v>
      </c>
      <c r="Q3" s="11">
        <f t="shared" si="5"/>
        <v>11.864670411157745</v>
      </c>
      <c r="R3" s="11">
        <f t="shared" si="6"/>
        <v>-11.344600048264642</v>
      </c>
      <c r="S3" s="11">
        <f>BSCall(N3,$B$3, $B$6 - M3,$B$8,$B$5) - BSPut(N3,$B$4, $B$7 - M3,$B$8, $B$5)</f>
        <v>0.5172836271533322</v>
      </c>
      <c r="T3" s="20">
        <f t="shared" si="7"/>
        <v>2.7867357397705073E-3</v>
      </c>
      <c r="AC3" s="1" t="s">
        <v>51</v>
      </c>
      <c r="AD3" s="27">
        <v>0.69988617751347404</v>
      </c>
      <c r="AE3" s="27">
        <v>0.19338477601455417</v>
      </c>
    </row>
    <row r="4" spans="1:31" x14ac:dyDescent="0.25">
      <c r="A4" s="1" t="s">
        <v>2</v>
      </c>
      <c r="B4" s="1">
        <v>54</v>
      </c>
      <c r="D4" s="22">
        <v>1.1111111111111112E-2</v>
      </c>
      <c r="E4" s="11">
        <v>59.14228815813653</v>
      </c>
      <c r="F4" s="11">
        <f t="shared" si="8"/>
        <v>0.26464324777405679</v>
      </c>
      <c r="G4" s="11">
        <f t="shared" si="0"/>
        <v>0.1582478861705594</v>
      </c>
      <c r="H4" s="11">
        <f t="shared" si="1"/>
        <v>9.3591420843152129</v>
      </c>
      <c r="I4" s="11">
        <f t="shared" si="2"/>
        <v>-9.0944988365411561</v>
      </c>
      <c r="J4" s="11">
        <f>BSCall(E4,$B$3, $B$6 - D4,$B$8,$B$5) - BSPut(E4,$B$4, $B$7 - D4,$B$8, $B$5)</f>
        <v>0.26527553816370375</v>
      </c>
      <c r="K4" s="20">
        <f t="shared" si="3"/>
        <v>-6.3229038964696116E-4</v>
      </c>
      <c r="M4" s="22">
        <v>2.7777777777777779E-3</v>
      </c>
      <c r="N4" s="11">
        <v>59.862064706467791</v>
      </c>
      <c r="O4" s="11">
        <f t="shared" si="9"/>
        <v>0.39461287210893659</v>
      </c>
      <c r="P4" s="11">
        <f t="shared" si="4"/>
        <v>0.17937883610068173</v>
      </c>
      <c r="Q4" s="11">
        <f t="shared" si="5"/>
        <v>10.737987493629889</v>
      </c>
      <c r="R4" s="11">
        <f t="shared" si="6"/>
        <v>-10.343374621520953</v>
      </c>
      <c r="S4" s="11">
        <f>BSCall(N4,$B$3, $B$6 - M4,$B$8,$B$5) - BSPut(N4,$B$4, $B$7 - M4,$B$8, $B$5)</f>
        <v>0.39514073568799846</v>
      </c>
      <c r="T4" s="20">
        <f t="shared" si="7"/>
        <v>-5.2786357906187131E-4</v>
      </c>
      <c r="AC4" s="1" t="s">
        <v>52</v>
      </c>
      <c r="AD4" s="27">
        <v>-5.830410004293099E-2</v>
      </c>
      <c r="AE4" s="27">
        <v>-6.4483926926436175E-2</v>
      </c>
    </row>
    <row r="5" spans="1:31" x14ac:dyDescent="0.25">
      <c r="A5" s="1" t="s">
        <v>3</v>
      </c>
      <c r="B5" s="1">
        <v>0.2</v>
      </c>
      <c r="D5" s="22">
        <v>1.6666666666666666E-2</v>
      </c>
      <c r="E5" s="11">
        <v>58.982012199576488</v>
      </c>
      <c r="F5" s="11">
        <f t="shared" si="8"/>
        <v>0.23847148030144005</v>
      </c>
      <c r="G5" s="11">
        <f t="shared" si="0"/>
        <v>0.14849732715631181</v>
      </c>
      <c r="H5" s="11">
        <f t="shared" si="1"/>
        <v>8.7586711619380839</v>
      </c>
      <c r="I5" s="11">
        <f t="shared" si="2"/>
        <v>-8.5201996816366439</v>
      </c>
      <c r="J5" s="11">
        <f>BSCall(E5,$B$3, $B$6 - D5,$B$8,$B$5) - BSPut(E5,$B$4, $B$7 - D5,$B$8, $B$5)</f>
        <v>0.23774265579131645</v>
      </c>
      <c r="K5" s="20">
        <f t="shared" si="3"/>
        <v>7.2882451012359906E-4</v>
      </c>
      <c r="M5" s="22">
        <v>4.1666666666666666E-3</v>
      </c>
      <c r="N5" s="11">
        <v>59.762592560783837</v>
      </c>
      <c r="O5" s="11">
        <f t="shared" si="9"/>
        <v>0.37653981906840706</v>
      </c>
      <c r="P5" s="11">
        <f t="shared" si="4"/>
        <v>0.17574871391526939</v>
      </c>
      <c r="Q5" s="11">
        <f t="shared" si="5"/>
        <v>10.503198782800006</v>
      </c>
      <c r="R5" s="11">
        <f t="shared" si="6"/>
        <v>-10.126658963731598</v>
      </c>
      <c r="S5" s="11">
        <f>BSCall(N5,$B$3, $B$6 - M5,$B$8,$B$5) - BSPut(N5,$B$4, $B$7 - M5,$B$8, $B$5)</f>
        <v>0.37550025968069312</v>
      </c>
      <c r="T5" s="20">
        <f t="shared" si="7"/>
        <v>1.0395593877139397E-3</v>
      </c>
      <c r="AC5" s="1" t="s">
        <v>53</v>
      </c>
      <c r="AD5" s="27">
        <v>0.41807682121539458</v>
      </c>
      <c r="AE5" s="27">
        <v>0.27228762224735809</v>
      </c>
    </row>
    <row r="6" spans="1:31" x14ac:dyDescent="0.25">
      <c r="A6" s="1" t="s">
        <v>4</v>
      </c>
      <c r="B6" s="1">
        <v>0.25</v>
      </c>
      <c r="D6" s="22">
        <v>2.2222222222222223E-2</v>
      </c>
      <c r="E6" s="11">
        <v>59.64151942840433</v>
      </c>
      <c r="F6" s="11">
        <f t="shared" si="8"/>
        <v>0.335649156278782</v>
      </c>
      <c r="G6" s="11">
        <f t="shared" si="0"/>
        <v>0.14859443024689459</v>
      </c>
      <c r="H6" s="11">
        <f t="shared" si="1"/>
        <v>8.8623975985228363</v>
      </c>
      <c r="I6" s="11">
        <f t="shared" si="2"/>
        <v>-8.5267484422440543</v>
      </c>
      <c r="J6" s="11">
        <f>BSCall(E6,$B$3, $B$6 - D6,$B$8,$B$5) - BSPut(E6,$B$4, $B$7 - D6,$B$8, $B$5)</f>
        <v>0.32927447561172951</v>
      </c>
      <c r="K6" s="20">
        <f t="shared" si="3"/>
        <v>6.3746806670524903E-3</v>
      </c>
      <c r="M6" s="22">
        <v>5.5555555555555558E-3</v>
      </c>
      <c r="N6" s="11">
        <v>59.579431527511609</v>
      </c>
      <c r="O6" s="11">
        <f t="shared" si="9"/>
        <v>0.34412446366513194</v>
      </c>
      <c r="P6" s="11">
        <f t="shared" si="4"/>
        <v>0.1709952997535624</v>
      </c>
      <c r="Q6" s="11">
        <f t="shared" si="5"/>
        <v>10.187802753193694</v>
      </c>
      <c r="R6" s="11">
        <f t="shared" si="6"/>
        <v>-9.8436782895285617</v>
      </c>
      <c r="S6" s="11">
        <f>BSCall(N6,$B$3, $B$6 - M6,$B$8,$B$5) - BSPut(N6,$B$4, $B$7 - M6,$B$8, $B$5)</f>
        <v>0.34200795651196764</v>
      </c>
      <c r="T6" s="20">
        <f t="shared" si="7"/>
        <v>2.1165071531643043E-3</v>
      </c>
    </row>
    <row r="7" spans="1:31" x14ac:dyDescent="0.25">
      <c r="A7" s="1" t="s">
        <v>5</v>
      </c>
      <c r="B7" s="1">
        <v>8.3333333333333329E-2</v>
      </c>
      <c r="D7" s="22">
        <v>2.777777777777778E-2</v>
      </c>
      <c r="E7" s="11">
        <v>59.323611799335772</v>
      </c>
      <c r="F7" s="11">
        <f t="shared" si="8"/>
        <v>0.28765188638441508</v>
      </c>
      <c r="G7" s="11">
        <f t="shared" si="0"/>
        <v>0.13477151881868968</v>
      </c>
      <c r="H7" s="11">
        <f t="shared" si="1"/>
        <v>7.9951332640068218</v>
      </c>
      <c r="I7" s="11">
        <f t="shared" si="2"/>
        <v>-7.7074813776224067</v>
      </c>
      <c r="J7" s="11">
        <f>BSCall(E7,$B$3, $B$6 - D7,$B$8,$B$5) - BSPut(E7,$B$4, $B$7 - D7,$B$8, $B$5)</f>
        <v>0.27623849514684068</v>
      </c>
      <c r="K7" s="20">
        <f t="shared" si="3"/>
        <v>1.14133912375744E-2</v>
      </c>
      <c r="M7" s="22">
        <v>6.9444444444444449E-3</v>
      </c>
      <c r="N7" s="11">
        <v>59.827221325631413</v>
      </c>
      <c r="O7" s="11">
        <f t="shared" si="9"/>
        <v>0.38627660363351346</v>
      </c>
      <c r="P7" s="11">
        <f t="shared" si="4"/>
        <v>0.17313399104920649</v>
      </c>
      <c r="Q7" s="11">
        <f t="shared" si="5"/>
        <v>10.358125601490764</v>
      </c>
      <c r="R7" s="11">
        <f t="shared" si="6"/>
        <v>-9.9718489978572507</v>
      </c>
      <c r="S7" s="11">
        <f>BSCall(N7,$B$3, $B$6 - M7,$B$8,$B$5) - BSPut(N7,$B$4, $B$7 - M7,$B$8, $B$5)</f>
        <v>0.3827729943822667</v>
      </c>
      <c r="T7" s="20">
        <f t="shared" si="7"/>
        <v>3.5036092512467643E-3</v>
      </c>
    </row>
    <row r="8" spans="1:31" x14ac:dyDescent="0.25">
      <c r="A8" s="1" t="s">
        <v>6</v>
      </c>
      <c r="B8" s="1">
        <v>1.6E-2</v>
      </c>
      <c r="D8" s="22">
        <v>3.3333333333333333E-2</v>
      </c>
      <c r="E8" s="11">
        <v>59.132196153297762</v>
      </c>
      <c r="F8" s="11">
        <f t="shared" si="8"/>
        <v>0.26116936913621291</v>
      </c>
      <c r="G8" s="11">
        <f t="shared" si="0"/>
        <v>0.12339583446203016</v>
      </c>
      <c r="H8" s="11">
        <f t="shared" si="1"/>
        <v>7.296666687908627</v>
      </c>
      <c r="I8" s="11">
        <f t="shared" si="2"/>
        <v>-7.0354973187724141</v>
      </c>
      <c r="J8" s="11">
        <f>BSCall(E8,$B$3, $B$6 - D8,$B$8,$B$5) - BSPut(E8,$B$4, $B$7 - D8,$B$8, $B$5)</f>
        <v>0.24469816077186082</v>
      </c>
      <c r="K8" s="20">
        <f t="shared" si="3"/>
        <v>1.6471208364352091E-2</v>
      </c>
      <c r="M8" s="22">
        <v>8.3333333333333332E-3</v>
      </c>
      <c r="N8" s="11">
        <v>59.610325877951674</v>
      </c>
      <c r="O8" s="11">
        <f t="shared" si="9"/>
        <v>0.34850303002971827</v>
      </c>
      <c r="P8" s="11">
        <f t="shared" si="4"/>
        <v>0.16751146422068269</v>
      </c>
      <c r="Q8" s="11">
        <f t="shared" si="5"/>
        <v>9.9854129704877366</v>
      </c>
      <c r="R8" s="11">
        <f t="shared" si="6"/>
        <v>-9.6369099404580183</v>
      </c>
      <c r="S8" s="11">
        <f>BSCall(N8,$B$3, $B$6 - M8,$B$8,$B$5) - BSPut(N8,$B$4, $B$7 - M8,$B$8, $B$5)</f>
        <v>0.34393290171552232</v>
      </c>
      <c r="T8" s="20">
        <f t="shared" si="7"/>
        <v>4.5701283141959537E-3</v>
      </c>
    </row>
    <row r="9" spans="1:31" x14ac:dyDescent="0.25">
      <c r="A9" s="1" t="s">
        <v>49</v>
      </c>
      <c r="B9" s="1">
        <f>180*B6</f>
        <v>45</v>
      </c>
      <c r="D9" s="22">
        <v>3.888888888888889E-2</v>
      </c>
      <c r="E9" s="11">
        <v>59.725293746314854</v>
      </c>
      <c r="F9" s="11">
        <f t="shared" si="8"/>
        <v>0.33372973620915136</v>
      </c>
      <c r="G9" s="11">
        <f t="shared" si="0"/>
        <v>0.12898405409942315</v>
      </c>
      <c r="H9" s="11">
        <f t="shared" si="1"/>
        <v>7.7036105196786142</v>
      </c>
      <c r="I9" s="11">
        <f t="shared" si="2"/>
        <v>-7.3698807834694628</v>
      </c>
      <c r="J9" s="11">
        <f>BSCall(E9,$B$3, $B$6 - D9,$B$8,$B$5) - BSPut(E9,$B$4, $B$7 - D9,$B$8, $B$5)</f>
        <v>0.30973045249352699</v>
      </c>
      <c r="K9" s="20">
        <f t="shared" si="3"/>
        <v>2.3999283715624375E-2</v>
      </c>
      <c r="M9" s="22">
        <v>9.7222222222222224E-3</v>
      </c>
      <c r="N9" s="11">
        <v>59.983647674044988</v>
      </c>
      <c r="O9" s="11">
        <f t="shared" si="9"/>
        <v>0.41082455478507285</v>
      </c>
      <c r="P9" s="11">
        <f t="shared" si="4"/>
        <v>0.17268454150221593</v>
      </c>
      <c r="Q9" s="11">
        <f t="shared" si="5"/>
        <v>10.358248696222921</v>
      </c>
      <c r="R9" s="11">
        <f t="shared" si="6"/>
        <v>-9.9474241414378479</v>
      </c>
      <c r="S9" s="11">
        <f>BSCall(N9,$B$3, $B$6 - M9,$B$8,$B$5) - BSPut(N9,$B$4, $B$7 - M9,$B$8, $B$5)</f>
        <v>0.40525022035619029</v>
      </c>
      <c r="T9" s="20">
        <f t="shared" si="7"/>
        <v>5.5743344288825547E-3</v>
      </c>
    </row>
    <row r="10" spans="1:31" x14ac:dyDescent="0.25">
      <c r="A10" s="1" t="s">
        <v>48</v>
      </c>
      <c r="B10" s="1">
        <f>720*B6</f>
        <v>180</v>
      </c>
      <c r="D10" s="22">
        <v>4.4444444444444446E-2</v>
      </c>
      <c r="E10" s="11">
        <v>59.588472317708629</v>
      </c>
      <c r="F10" s="11">
        <f t="shared" si="8"/>
        <v>0.31542682402931899</v>
      </c>
      <c r="G10" s="11">
        <f t="shared" si="0"/>
        <v>0.11856743450564815</v>
      </c>
      <c r="H10" s="11">
        <f t="shared" si="1"/>
        <v>7.0652522888215454</v>
      </c>
      <c r="I10" s="11">
        <f t="shared" si="2"/>
        <v>-6.7498254647922264</v>
      </c>
      <c r="J10" s="11">
        <f>BSCall(E10,$B$3, $B$6 - D10,$B$8,$B$5) - BSPut(E10,$B$4, $B$7 - D10,$B$8, $B$5)</f>
        <v>0.28089957605432997</v>
      </c>
      <c r="K10" s="20">
        <f t="shared" si="3"/>
        <v>3.4527247974989017E-2</v>
      </c>
      <c r="M10" s="22">
        <v>1.1111111111111112E-2</v>
      </c>
      <c r="N10" s="11">
        <v>59.52495445813431</v>
      </c>
      <c r="O10" s="11">
        <f t="shared" si="9"/>
        <v>0.33139427077937889</v>
      </c>
      <c r="P10" s="11">
        <f t="shared" si="4"/>
        <v>0.16228133700626016</v>
      </c>
      <c r="Q10" s="11">
        <f t="shared" si="5"/>
        <v>9.6597891947027819</v>
      </c>
      <c r="R10" s="11">
        <f t="shared" si="6"/>
        <v>-9.328394923923403</v>
      </c>
      <c r="S10" s="11">
        <f>BSCall(N10,$B$3, $B$6 - M10,$B$8,$B$5) - BSPut(N10,$B$4, $B$7 - M10,$B$8, $B$5)</f>
        <v>0.32650622008878383</v>
      </c>
      <c r="T10" s="20">
        <f t="shared" si="7"/>
        <v>4.8880506905950583E-3</v>
      </c>
    </row>
    <row r="11" spans="1:31" x14ac:dyDescent="0.25">
      <c r="D11" s="22">
        <v>0.05</v>
      </c>
      <c r="E11" s="11">
        <v>60.111062545988631</v>
      </c>
      <c r="F11" s="11">
        <f t="shared" si="8"/>
        <v>0.37678899554167344</v>
      </c>
      <c r="G11" s="11">
        <f t="shared" si="0"/>
        <v>0.13019497194915294</v>
      </c>
      <c r="H11" s="11">
        <f t="shared" si="1"/>
        <v>7.826158102008768</v>
      </c>
      <c r="I11" s="11">
        <f t="shared" si="2"/>
        <v>-7.4493691064670946</v>
      </c>
      <c r="J11" s="11">
        <f>BSCall(E11,$B$3, $B$6 - D11,$B$8,$B$5) - BSPut(E11,$B$4, $B$7 - D11,$B$8, $B$5)</f>
        <v>0.33187886444399306</v>
      </c>
      <c r="K11" s="20">
        <f t="shared" si="3"/>
        <v>4.4910131097680384E-2</v>
      </c>
      <c r="M11" s="22">
        <v>1.2500000000000001E-2</v>
      </c>
      <c r="N11" s="11">
        <v>59.630649644599146</v>
      </c>
      <c r="O11" s="11">
        <f t="shared" si="9"/>
        <v>0.34833932698571957</v>
      </c>
      <c r="P11" s="11">
        <f t="shared" si="4"/>
        <v>0.161962977129673</v>
      </c>
      <c r="Q11" s="11">
        <f t="shared" si="5"/>
        <v>9.6579575446157548</v>
      </c>
      <c r="R11" s="11">
        <f t="shared" si="6"/>
        <v>-9.3096182176300353</v>
      </c>
      <c r="S11" s="11">
        <f>BSCall(N11,$B$3, $B$6 - M11,$B$8,$B$5) - BSPut(N11,$B$4, $B$7 - M11,$B$8, $B$5)</f>
        <v>0.3418844142071093</v>
      </c>
      <c r="T11" s="20">
        <f t="shared" si="7"/>
        <v>6.4549127786102667E-3</v>
      </c>
    </row>
    <row r="12" spans="1:31" x14ac:dyDescent="0.25">
      <c r="D12" s="22">
        <v>5.5555555555555559E-2</v>
      </c>
      <c r="E12" s="11">
        <v>60.131548788473005</v>
      </c>
      <c r="F12" s="11">
        <f t="shared" si="8"/>
        <v>0.37879400573399469</v>
      </c>
      <c r="G12" s="11">
        <f t="shared" si="0"/>
        <v>0.12624986293223789</v>
      </c>
      <c r="H12" s="11">
        <f t="shared" si="1"/>
        <v>7.5915997924478917</v>
      </c>
      <c r="I12" s="11">
        <f t="shared" si="2"/>
        <v>-7.212805786713897</v>
      </c>
      <c r="J12" s="11">
        <f>BSCall(E12,$B$3, $B$6 - D12,$B$8,$B$5) - BSPut(E12,$B$4, $B$7 - D12,$B$8, $B$5)</f>
        <v>0.31880393855308731</v>
      </c>
      <c r="K12" s="20">
        <f t="shared" si="3"/>
        <v>5.999006718090738E-2</v>
      </c>
      <c r="M12" s="22">
        <v>1.388888888888889E-2</v>
      </c>
      <c r="N12" s="11">
        <v>60.391377468345098</v>
      </c>
      <c r="O12" s="11">
        <f t="shared" si="9"/>
        <v>0.47134218740146849</v>
      </c>
      <c r="P12" s="11">
        <f t="shared" si="4"/>
        <v>0.17827872210691126</v>
      </c>
      <c r="Q12" s="11">
        <f t="shared" si="5"/>
        <v>10.766497601332677</v>
      </c>
      <c r="R12" s="11">
        <f t="shared" si="6"/>
        <v>-10.295155413931209</v>
      </c>
      <c r="S12" s="11">
        <f>BSCall(N12,$B$3, $B$6 - M12,$B$8,$B$5) - BSPut(N12,$B$4, $B$7 - M12,$B$8, $B$5)</f>
        <v>0.46804411549299357</v>
      </c>
      <c r="T12" s="20">
        <f t="shared" si="7"/>
        <v>3.2980719084749199E-3</v>
      </c>
    </row>
    <row r="13" spans="1:31" x14ac:dyDescent="0.25">
      <c r="D13" s="22">
        <v>6.1111111111111116E-2</v>
      </c>
      <c r="E13" s="11">
        <v>59.294060135014099</v>
      </c>
      <c r="F13" s="11">
        <f t="shared" si="8"/>
        <v>0.2724200112394719</v>
      </c>
      <c r="G13" s="11">
        <f t="shared" si="0"/>
        <v>9.2962563148643165E-2</v>
      </c>
      <c r="H13" s="11">
        <f t="shared" si="1"/>
        <v>5.5121278096406936</v>
      </c>
      <c r="I13" s="11">
        <f t="shared" si="2"/>
        <v>-5.2397077984012217</v>
      </c>
      <c r="J13" s="11">
        <f>BSCall(E13,$B$3, $B$6 - D13,$B$8,$B$5) - BSPut(E13,$B$4, $B$7 - D13,$B$8, $B$5)</f>
        <v>0.21328342079037294</v>
      </c>
      <c r="K13" s="20">
        <f t="shared" si="3"/>
        <v>5.9136590449098969E-2</v>
      </c>
      <c r="M13" s="22">
        <v>1.5277777777777779E-2</v>
      </c>
      <c r="N13" s="11">
        <v>60.079332800002533</v>
      </c>
      <c r="O13" s="11">
        <f t="shared" si="9"/>
        <v>0.41548247891562973</v>
      </c>
      <c r="P13" s="11">
        <f t="shared" si="4"/>
        <v>0.16787367962778121</v>
      </c>
      <c r="Q13" s="11">
        <f t="shared" si="5"/>
        <v>10.085738666718473</v>
      </c>
      <c r="R13" s="11">
        <f t="shared" si="6"/>
        <v>-9.6702561878028437</v>
      </c>
      <c r="S13" s="11">
        <f>BSCall(N13,$B$3, $B$6 - M13,$B$8,$B$5) - BSPut(N13,$B$4, $B$7 - M13,$B$8, $B$5)</f>
        <v>0.41103046986291364</v>
      </c>
      <c r="T13" s="20">
        <f t="shared" si="7"/>
        <v>4.4520090527160883E-3</v>
      </c>
    </row>
    <row r="14" spans="1:31" x14ac:dyDescent="0.25">
      <c r="D14" s="22">
        <v>6.6666666666666666E-2</v>
      </c>
      <c r="E14" s="11">
        <v>58.779044844441174</v>
      </c>
      <c r="F14" s="11">
        <f t="shared" si="8"/>
        <v>0.22407709726207337</v>
      </c>
      <c r="G14" s="11">
        <f t="shared" si="0"/>
        <v>7.3777589706391672E-2</v>
      </c>
      <c r="H14" s="11">
        <f t="shared" si="1"/>
        <v>4.3365762538667774</v>
      </c>
      <c r="I14" s="11">
        <f t="shared" si="2"/>
        <v>-4.112499156604704</v>
      </c>
      <c r="J14" s="11">
        <f>BSCall(E14,$B$3, $B$6 - D14,$B$8,$B$5) - BSPut(E14,$B$4, $B$7 - D14,$B$8, $B$5)</f>
        <v>0.15898404646355352</v>
      </c>
      <c r="K14" s="20">
        <f t="shared" si="3"/>
        <v>6.5093050798519847E-2</v>
      </c>
      <c r="M14" s="22">
        <v>1.6666666666666666E-2</v>
      </c>
      <c r="N14" s="11">
        <v>60.77679470578753</v>
      </c>
      <c r="O14" s="11">
        <f t="shared" si="9"/>
        <v>0.53235307847027613</v>
      </c>
      <c r="P14" s="11">
        <f t="shared" si="4"/>
        <v>0.18798375551665852</v>
      </c>
      <c r="Q14" s="11">
        <f t="shared" si="5"/>
        <v>11.425050117058909</v>
      </c>
      <c r="R14" s="11">
        <f t="shared" si="6"/>
        <v>-10.892697038588633</v>
      </c>
      <c r="S14" s="11">
        <f>BSCall(N14,$B$3, $B$6 - M14,$B$8,$B$5) - BSPut(N14,$B$4, $B$7 - M14,$B$8, $B$5)</f>
        <v>0.53130396123078893</v>
      </c>
      <c r="T14" s="20">
        <f t="shared" si="7"/>
        <v>1.0491172394871962E-3</v>
      </c>
    </row>
    <row r="15" spans="1:31" x14ac:dyDescent="0.25">
      <c r="D15" s="22">
        <v>7.2222222222222229E-2</v>
      </c>
      <c r="E15" s="11">
        <v>57.59449543406032</v>
      </c>
      <c r="F15" s="11">
        <f t="shared" si="8"/>
        <v>0.13631832514806863</v>
      </c>
      <c r="G15" s="11">
        <f t="shared" ref="G15:G46" si="10">BSGreeks(E15,$B$3,$B$6 - D15,$B$8, $B$5,$G$1)</f>
        <v>4.2907889393461192E-2</v>
      </c>
      <c r="H15" s="11">
        <f t="shared" si="1"/>
        <v>2.4712582397568656</v>
      </c>
      <c r="I15" s="11">
        <f t="shared" si="2"/>
        <v>-2.334939914608797</v>
      </c>
      <c r="J15" s="11">
        <f t="shared" ref="J15:J46" si="11">BSCall(E15,$B$3, $B$6 - D15,$B$8, $B$5)</f>
        <v>8.2463316431195893E-2</v>
      </c>
      <c r="K15" s="20">
        <f t="shared" si="3"/>
        <v>5.3855008716872738E-2</v>
      </c>
      <c r="M15" s="22">
        <v>1.8055555555555557E-2</v>
      </c>
      <c r="N15" s="11">
        <v>60.232818187716497</v>
      </c>
      <c r="O15" s="11">
        <f t="shared" si="9"/>
        <v>0.4298522670666447</v>
      </c>
      <c r="P15" s="11">
        <f t="shared" si="4"/>
        <v>0.16865905447979182</v>
      </c>
      <c r="Q15" s="11">
        <f t="shared" si="5"/>
        <v>10.158810164193472</v>
      </c>
      <c r="R15" s="11">
        <f t="shared" si="6"/>
        <v>-9.7289578971268273</v>
      </c>
      <c r="S15" s="11">
        <f>BSCall(N15,$B$3, $B$6 - M15,$B$8,$B$5) - BSPut(N15,$B$4, $B$7 - M15,$B$8, $B$5)</f>
        <v>0.43091690255054793</v>
      </c>
      <c r="T15" s="20">
        <f t="shared" si="7"/>
        <v>-1.0646354839032313E-3</v>
      </c>
    </row>
    <row r="16" spans="1:31" x14ac:dyDescent="0.25">
      <c r="D16" s="22">
        <v>7.7777777777777779E-2</v>
      </c>
      <c r="E16" s="11">
        <v>59.344368290614646</v>
      </c>
      <c r="F16" s="11">
        <f t="shared" si="8"/>
        <v>0.21119411669036259</v>
      </c>
      <c r="G16" s="11">
        <f t="shared" si="10"/>
        <v>8.2692741270195644E-2</v>
      </c>
      <c r="H16" s="11">
        <f t="shared" si="1"/>
        <v>4.9073484928989997</v>
      </c>
      <c r="I16" s="11">
        <f t="shared" si="2"/>
        <v>-4.6961543762086375</v>
      </c>
      <c r="J16" s="11">
        <f t="shared" si="11"/>
        <v>0.17974338509536647</v>
      </c>
      <c r="K16" s="20">
        <f t="shared" si="3"/>
        <v>3.1450731594996117E-2</v>
      </c>
      <c r="M16" s="22">
        <v>1.9444444444444445E-2</v>
      </c>
      <c r="N16" s="11">
        <v>61.199747188136755</v>
      </c>
      <c r="O16" s="11">
        <f t="shared" si="9"/>
        <v>0.59271739656000655</v>
      </c>
      <c r="P16" s="11">
        <f t="shared" si="4"/>
        <v>0.20171272690736949</v>
      </c>
      <c r="Q16" s="11">
        <f t="shared" si="5"/>
        <v>12.344767891360684</v>
      </c>
      <c r="R16" s="11">
        <f t="shared" si="6"/>
        <v>-11.752050494800677</v>
      </c>
      <c r="S16" s="11">
        <f>BSCall(N16,$B$3, $B$6 - M16,$B$8,$B$5) - BSPut(N16,$B$4, $B$7 - M16,$B$8, $B$5)</f>
        <v>0.60506510918412604</v>
      </c>
      <c r="T16" s="20">
        <f t="shared" si="7"/>
        <v>-1.2347712624119489E-2</v>
      </c>
    </row>
    <row r="17" spans="4:20" x14ac:dyDescent="0.25">
      <c r="D17" s="22">
        <v>8.3333333333333343E-2</v>
      </c>
      <c r="E17" s="11">
        <v>58.843421024787432</v>
      </c>
      <c r="F17" s="11">
        <f t="shared" si="8"/>
        <v>0.16935195954949034</v>
      </c>
      <c r="G17" s="11">
        <f t="shared" si="10"/>
        <v>6.4710601018108979E-2</v>
      </c>
      <c r="H17" s="11">
        <f t="shared" si="1"/>
        <v>3.8077931404756251</v>
      </c>
      <c r="I17" s="11">
        <f t="shared" si="2"/>
        <v>-3.6384411809261348</v>
      </c>
      <c r="J17" s="11">
        <f t="shared" si="11"/>
        <v>0.13145286811037141</v>
      </c>
      <c r="K17" s="20">
        <f t="shared" si="3"/>
        <v>3.7899091439118932E-2</v>
      </c>
      <c r="M17" s="22">
        <v>2.0833333333333336E-2</v>
      </c>
      <c r="N17" s="11">
        <v>61.356084020333242</v>
      </c>
      <c r="O17" s="11">
        <f t="shared" si="9"/>
        <v>0.62399136571899483</v>
      </c>
      <c r="P17" s="11">
        <f t="shared" si="4"/>
        <v>0.20711023891142977</v>
      </c>
      <c r="Q17" s="11">
        <f t="shared" si="5"/>
        <v>12.707473220120976</v>
      </c>
      <c r="R17" s="11">
        <f t="shared" si="6"/>
        <v>-12.083481854401981</v>
      </c>
      <c r="S17" s="11">
        <f>BSCall(N17,$B$3, $B$6 - M17,$B$8,$B$5) - BSPut(N17,$B$4, $B$7 - M17,$B$8, $B$5)</f>
        <v>0.63230643575758816</v>
      </c>
      <c r="T17" s="20">
        <f t="shared" si="7"/>
        <v>-8.3150700385933307E-3</v>
      </c>
    </row>
    <row r="18" spans="4:20" x14ac:dyDescent="0.25">
      <c r="D18" s="22">
        <v>8.8888888888888892E-2</v>
      </c>
      <c r="E18" s="11">
        <v>59.11224215628885</v>
      </c>
      <c r="F18" s="11">
        <f t="shared" si="8"/>
        <v>0.18642410516694019</v>
      </c>
      <c r="G18" s="11">
        <f t="shared" si="10"/>
        <v>6.8372235459730313E-2</v>
      </c>
      <c r="H18" s="11">
        <f t="shared" si="1"/>
        <v>4.0416361392623772</v>
      </c>
      <c r="I18" s="11">
        <f t="shared" si="2"/>
        <v>-3.855212034095437</v>
      </c>
      <c r="J18" s="11">
        <f t="shared" si="11"/>
        <v>0.1385502603524246</v>
      </c>
      <c r="K18" s="20">
        <f t="shared" si="3"/>
        <v>4.7873844814515593E-2</v>
      </c>
      <c r="M18" s="22">
        <v>2.2222222222222223E-2</v>
      </c>
      <c r="N18" s="11">
        <v>61.471955293678789</v>
      </c>
      <c r="O18" s="11">
        <f t="shared" si="9"/>
        <v>0.64772096802197865</v>
      </c>
      <c r="P18" s="11">
        <f t="shared" si="4"/>
        <v>0.21102344109282883</v>
      </c>
      <c r="Q18" s="11">
        <f t="shared" si="5"/>
        <v>12.972023536776634</v>
      </c>
      <c r="R18" s="11">
        <f t="shared" si="6"/>
        <v>-12.324302568754655</v>
      </c>
      <c r="S18" s="11">
        <f>BSCall(N18,$B$3, $B$6 - M18,$B$8,$B$5) - BSPut(N18,$B$4, $B$7 - M18,$B$8, $B$5)</f>
        <v>0.65161957205592658</v>
      </c>
      <c r="T18" s="20">
        <f t="shared" si="7"/>
        <v>-3.8986040339479278E-3</v>
      </c>
    </row>
    <row r="19" spans="4:20" x14ac:dyDescent="0.25">
      <c r="D19" s="22">
        <v>9.4444444444444442E-2</v>
      </c>
      <c r="E19" s="11">
        <v>58.672117551657706</v>
      </c>
      <c r="F19" s="11">
        <f t="shared" si="8"/>
        <v>0.15598910132241883</v>
      </c>
      <c r="G19" s="11">
        <f t="shared" si="10"/>
        <v>5.3519975394953526E-2</v>
      </c>
      <c r="H19" s="11">
        <f t="shared" si="1"/>
        <v>3.1401302877345412</v>
      </c>
      <c r="I19" s="11">
        <f t="shared" si="2"/>
        <v>-2.9841411864121223</v>
      </c>
      <c r="J19" s="11">
        <f t="shared" si="11"/>
        <v>0.10161408741831325</v>
      </c>
      <c r="K19" s="20">
        <f t="shared" si="3"/>
        <v>5.4375013904105582E-2</v>
      </c>
      <c r="M19" s="22">
        <v>2.361111111111111E-2</v>
      </c>
      <c r="N19" s="11">
        <v>62.06728166242398</v>
      </c>
      <c r="O19" s="11">
        <f t="shared" si="9"/>
        <v>0.77307491049441168</v>
      </c>
      <c r="P19" s="11">
        <f t="shared" si="4"/>
        <v>0.23829392413532904</v>
      </c>
      <c r="Q19" s="11">
        <f t="shared" si="5"/>
        <v>14.790256107751759</v>
      </c>
      <c r="R19" s="11">
        <f t="shared" si="6"/>
        <v>-14.017181197257347</v>
      </c>
      <c r="S19" s="11">
        <f>BSCall(N19,$B$3, $B$6 - M19,$B$8,$B$5) - BSPut(N19,$B$4, $B$7 - M19,$B$8, $B$5)</f>
        <v>0.77985642574486091</v>
      </c>
      <c r="T19" s="20">
        <f t="shared" si="7"/>
        <v>-6.7815152504492326E-3</v>
      </c>
    </row>
    <row r="20" spans="4:20" x14ac:dyDescent="0.25">
      <c r="D20" s="22">
        <v>0.1</v>
      </c>
      <c r="E20" s="11">
        <v>59.592539892491949</v>
      </c>
      <c r="F20" s="11">
        <f t="shared" si="8"/>
        <v>0.20498481357293663</v>
      </c>
      <c r="G20" s="11">
        <f t="shared" si="10"/>
        <v>7.4532197740855705E-2</v>
      </c>
      <c r="H20" s="11">
        <f t="shared" si="1"/>
        <v>4.4415629671470418</v>
      </c>
      <c r="I20" s="11">
        <f t="shared" si="2"/>
        <v>-4.2365781535741052</v>
      </c>
      <c r="J20" s="11">
        <f t="shared" si="11"/>
        <v>0.14931595979849044</v>
      </c>
      <c r="K20" s="20">
        <f t="shared" si="3"/>
        <v>5.5668853774446192E-2</v>
      </c>
      <c r="M20" s="22">
        <v>2.5000000000000001E-2</v>
      </c>
      <c r="N20" s="11">
        <v>62.155991860120793</v>
      </c>
      <c r="O20" s="11">
        <f t="shared" si="9"/>
        <v>0.79390251523785516</v>
      </c>
      <c r="P20" s="11">
        <f t="shared" si="4"/>
        <v>0.24175872050159608</v>
      </c>
      <c r="Q20" s="11">
        <f t="shared" si="5"/>
        <v>15.026753063610423</v>
      </c>
      <c r="R20" s="11">
        <f t="shared" si="6"/>
        <v>-14.232850548372568</v>
      </c>
      <c r="S20" s="11">
        <f>BSCall(N20,$B$3, $B$6 - M20,$B$8,$B$5) - BSPut(N20,$B$4, $B$7 - M20,$B$8, $B$5)</f>
        <v>0.79540907274597572</v>
      </c>
      <c r="T20" s="20">
        <f t="shared" si="7"/>
        <v>-1.5065575081205651E-3</v>
      </c>
    </row>
    <row r="21" spans="4:20" x14ac:dyDescent="0.25">
      <c r="D21" s="22">
        <v>0.10555555555555556</v>
      </c>
      <c r="E21" s="11">
        <v>59.179789206430002</v>
      </c>
      <c r="F21" s="11">
        <f t="shared" si="8"/>
        <v>0.17384499635933715</v>
      </c>
      <c r="G21" s="11">
        <f t="shared" si="10"/>
        <v>5.8862079435253234E-2</v>
      </c>
      <c r="H21" s="11">
        <f t="shared" si="1"/>
        <v>3.4834454532304249</v>
      </c>
      <c r="I21" s="11">
        <f t="shared" si="2"/>
        <v>-3.3096004568710877</v>
      </c>
      <c r="J21" s="11">
        <f t="shared" si="11"/>
        <v>0.11042866740896591</v>
      </c>
      <c r="K21" s="20">
        <f t="shared" si="3"/>
        <v>6.3416328950371234E-2</v>
      </c>
      <c r="M21" s="22">
        <v>2.6388888888888889E-2</v>
      </c>
      <c r="N21" s="11">
        <v>61.837820754171062</v>
      </c>
      <c r="O21" s="11">
        <f t="shared" si="9"/>
        <v>0.71666558668082025</v>
      </c>
      <c r="P21" s="11">
        <f t="shared" si="4"/>
        <v>0.22480804367606946</v>
      </c>
      <c r="Q21" s="11">
        <f t="shared" si="5"/>
        <v>13.901639508936643</v>
      </c>
      <c r="R21" s="11">
        <f t="shared" si="6"/>
        <v>-13.184973922255823</v>
      </c>
      <c r="S21" s="11">
        <f>BSCall(N21,$B$3, $B$6 - M21,$B$8,$B$5) - BSPut(N21,$B$4, $B$7 - M21,$B$8, $B$5)</f>
        <v>0.71555976122764586</v>
      </c>
      <c r="T21" s="20">
        <f t="shared" si="7"/>
        <v>1.1058254531743916E-3</v>
      </c>
    </row>
    <row r="22" spans="4:20" x14ac:dyDescent="0.25">
      <c r="D22" s="22">
        <v>0.11111111111111112</v>
      </c>
      <c r="E22" s="11">
        <v>59.913123208781776</v>
      </c>
      <c r="F22" s="11">
        <f t="shared" si="8"/>
        <v>0.21671636087571011</v>
      </c>
      <c r="G22" s="11">
        <f t="shared" si="10"/>
        <v>7.5952809588346687E-2</v>
      </c>
      <c r="H22" s="11">
        <f t="shared" si="1"/>
        <v>4.5505700389197568</v>
      </c>
      <c r="I22" s="11">
        <f t="shared" si="2"/>
        <v>-4.3338536780440471</v>
      </c>
      <c r="J22" s="11">
        <f t="shared" si="11"/>
        <v>0.14787036680624083</v>
      </c>
      <c r="K22" s="20">
        <f t="shared" si="3"/>
        <v>6.8845994069469285E-2</v>
      </c>
      <c r="M22" s="22">
        <v>2.777777777777778E-2</v>
      </c>
      <c r="N22" s="11">
        <v>62.337463477980954</v>
      </c>
      <c r="O22" s="11">
        <f t="shared" si="9"/>
        <v>0.82869628728143852</v>
      </c>
      <c r="P22" s="11">
        <f t="shared" si="4"/>
        <v>0.24919527562769928</v>
      </c>
      <c r="Q22" s="11">
        <f t="shared" si="5"/>
        <v>15.5342013933271</v>
      </c>
      <c r="R22" s="11">
        <f t="shared" si="6"/>
        <v>-14.705505106045662</v>
      </c>
      <c r="S22" s="11">
        <f>BSCall(N22,$B$3, $B$6 - M22,$B$8,$B$5) - BSPut(N22,$B$4, $B$7 - M22,$B$8, $B$5)</f>
        <v>0.82813628734212252</v>
      </c>
      <c r="T22" s="20">
        <f t="shared" si="7"/>
        <v>5.5999993931599157E-4</v>
      </c>
    </row>
    <row r="23" spans="4:20" x14ac:dyDescent="0.25">
      <c r="D23" s="22">
        <v>0.11666666666666667</v>
      </c>
      <c r="E23" s="11">
        <v>59.081645541592934</v>
      </c>
      <c r="F23" s="11">
        <f t="shared" si="8"/>
        <v>0.15317804738280039</v>
      </c>
      <c r="G23" s="11">
        <f t="shared" si="10"/>
        <v>4.881216750290595E-2</v>
      </c>
      <c r="H23" s="11">
        <f t="shared" si="1"/>
        <v>2.8839031785235507</v>
      </c>
      <c r="I23" s="11">
        <f t="shared" si="2"/>
        <v>-2.7307251311407503</v>
      </c>
      <c r="J23" s="11">
        <f t="shared" si="11"/>
        <v>8.533900158396597E-2</v>
      </c>
      <c r="K23" s="20">
        <f t="shared" si="3"/>
        <v>6.7839045798834416E-2</v>
      </c>
      <c r="M23" s="22">
        <v>2.9166666666666667E-2</v>
      </c>
      <c r="N23" s="11">
        <v>61.669827530456494</v>
      </c>
      <c r="O23" s="11">
        <f t="shared" si="9"/>
        <v>0.66199777068574939</v>
      </c>
      <c r="P23" s="11">
        <f t="shared" si="4"/>
        <v>0.21449348679578109</v>
      </c>
      <c r="Q23" s="11">
        <f t="shared" si="5"/>
        <v>13.227776337102068</v>
      </c>
      <c r="R23" s="11">
        <f t="shared" si="6"/>
        <v>-12.565778566416318</v>
      </c>
      <c r="S23" s="11">
        <f>BSCall(N23,$B$3, $B$6 - M23,$B$8,$B$5) - BSPut(N23,$B$4, $B$7 - M23,$B$8, $B$5)</f>
        <v>0.66782773348439972</v>
      </c>
      <c r="T23" s="20">
        <f t="shared" si="7"/>
        <v>-5.8299627986503344E-3</v>
      </c>
    </row>
    <row r="24" spans="4:20" x14ac:dyDescent="0.25">
      <c r="D24" s="22">
        <v>0.12222222222222223</v>
      </c>
      <c r="E24" s="11">
        <v>58.625120080909994</v>
      </c>
      <c r="F24" s="11">
        <f t="shared" si="8"/>
        <v>0.13065130821546589</v>
      </c>
      <c r="G24" s="11">
        <f t="shared" si="10"/>
        <v>3.5662041622849722E-2</v>
      </c>
      <c r="H24" s="11">
        <f t="shared" si="1"/>
        <v>2.0906914724699752</v>
      </c>
      <c r="I24" s="11">
        <f t="shared" si="2"/>
        <v>-1.9600401642545093</v>
      </c>
      <c r="J24" s="11">
        <f t="shared" si="11"/>
        <v>5.7837112347498568E-2</v>
      </c>
      <c r="K24" s="20">
        <f t="shared" si="3"/>
        <v>7.2814195867967321E-2</v>
      </c>
      <c r="M24" s="22">
        <v>3.0555555555555558E-2</v>
      </c>
      <c r="N24" s="11">
        <v>61.600435453149537</v>
      </c>
      <c r="O24" s="11">
        <f t="shared" si="9"/>
        <v>0.64683437944179545</v>
      </c>
      <c r="P24" s="11">
        <f t="shared" si="4"/>
        <v>0.21007253695191536</v>
      </c>
      <c r="Q24" s="11">
        <f t="shared" si="5"/>
        <v>12.940559752985832</v>
      </c>
      <c r="R24" s="11">
        <f t="shared" si="6"/>
        <v>-12.293725373544037</v>
      </c>
      <c r="S24" s="11">
        <f>BSCall(N24,$B$3, $B$6 - M24,$B$8,$B$5) - BSPut(N24,$B$4, $B$7 - M24,$B$8, $B$5)</f>
        <v>0.64777610922064144</v>
      </c>
      <c r="T24" s="20">
        <f t="shared" si="7"/>
        <v>-9.4172977884598996E-4</v>
      </c>
    </row>
    <row r="25" spans="4:20" x14ac:dyDescent="0.25">
      <c r="D25" s="22">
        <v>0.1277777777777778</v>
      </c>
      <c r="E25" s="11">
        <v>57.358058602085748</v>
      </c>
      <c r="F25" s="11">
        <f t="shared" si="8"/>
        <v>8.5291075482949896E-2</v>
      </c>
      <c r="G25" s="11">
        <f t="shared" si="10"/>
        <v>1.5413594336900364E-2</v>
      </c>
      <c r="H25" s="11">
        <f t="shared" si="1"/>
        <v>0.88409384724470808</v>
      </c>
      <c r="I25" s="11">
        <f t="shared" si="2"/>
        <v>-0.79880277176175818</v>
      </c>
      <c r="J25" s="11">
        <f t="shared" si="11"/>
        <v>2.1499811574076353E-2</v>
      </c>
      <c r="K25" s="20">
        <f t="shared" si="3"/>
        <v>6.3791263908873547E-2</v>
      </c>
      <c r="M25" s="22">
        <v>3.1944444444444449E-2</v>
      </c>
      <c r="N25" s="11">
        <v>61.926066901466264</v>
      </c>
      <c r="O25" s="11">
        <f t="shared" si="9"/>
        <v>0.71496740696831829</v>
      </c>
      <c r="P25" s="11">
        <f t="shared" si="4"/>
        <v>0.22497505449825253</v>
      </c>
      <c r="Q25" s="11">
        <f t="shared" si="5"/>
        <v>13.931820276019804</v>
      </c>
      <c r="R25" s="11">
        <f t="shared" si="6"/>
        <v>-13.216852869051486</v>
      </c>
      <c r="S25" s="11">
        <f>BSCall(N25,$B$3, $B$6 - M25,$B$8,$B$5) - BSPut(N25,$B$4, $B$7 - M25,$B$8, $B$5)</f>
        <v>0.71310164004957843</v>
      </c>
      <c r="T25" s="20">
        <f t="shared" si="7"/>
        <v>1.8657669187398529E-3</v>
      </c>
    </row>
    <row r="26" spans="4:20" x14ac:dyDescent="0.25">
      <c r="D26" s="22">
        <v>0.13333333333333333</v>
      </c>
      <c r="E26" s="11">
        <v>57.348921727311911</v>
      </c>
      <c r="F26" s="11">
        <f t="shared" si="8"/>
        <v>8.5079235554998189E-2</v>
      </c>
      <c r="G26" s="11">
        <f t="shared" si="10"/>
        <v>1.3367341634161938E-2</v>
      </c>
      <c r="H26" s="11">
        <f t="shared" si="1"/>
        <v>0.76660262907979071</v>
      </c>
      <c r="I26" s="11">
        <f t="shared" si="2"/>
        <v>-0.68152339352479252</v>
      </c>
      <c r="J26" s="11">
        <f t="shared" si="11"/>
        <v>1.7930711634141828E-2</v>
      </c>
      <c r="K26" s="20">
        <f t="shared" si="3"/>
        <v>6.7148523920856365E-2</v>
      </c>
      <c r="M26" s="22">
        <v>3.3333333333333333E-2</v>
      </c>
      <c r="N26" s="11">
        <v>61.609813410243746</v>
      </c>
      <c r="O26" s="11">
        <f t="shared" si="9"/>
        <v>0.64352454944029169</v>
      </c>
      <c r="P26" s="11">
        <f t="shared" si="4"/>
        <v>0.20832769815720301</v>
      </c>
      <c r="Q26" s="11">
        <f t="shared" si="5"/>
        <v>12.835030611650858</v>
      </c>
      <c r="R26" s="11">
        <f t="shared" si="6"/>
        <v>-12.191506062210566</v>
      </c>
      <c r="S26" s="11">
        <f>BSCall(N26,$B$3, $B$6 - M26,$B$8,$B$5) - BSPut(N26,$B$4, $B$7 - M26,$B$8, $B$5)</f>
        <v>0.6390958348997352</v>
      </c>
      <c r="T26" s="20">
        <f t="shared" si="7"/>
        <v>4.4287145405564887E-3</v>
      </c>
    </row>
    <row r="27" spans="4:20" x14ac:dyDescent="0.25">
      <c r="D27" s="22">
        <v>0.1388888888888889</v>
      </c>
      <c r="E27" s="11">
        <v>57.252696545120656</v>
      </c>
      <c r="F27" s="11">
        <f t="shared" si="8"/>
        <v>8.3732378121118112E-2</v>
      </c>
      <c r="G27" s="11">
        <f t="shared" si="10"/>
        <v>1.0773265938487403E-2</v>
      </c>
      <c r="H27" s="11">
        <f t="shared" si="1"/>
        <v>0.61679852557610382</v>
      </c>
      <c r="I27" s="11">
        <f t="shared" si="2"/>
        <v>-0.53306614745498571</v>
      </c>
      <c r="J27" s="11">
        <f t="shared" si="11"/>
        <v>1.3757862751971262E-2</v>
      </c>
      <c r="K27" s="20">
        <f t="shared" si="3"/>
        <v>6.9974515369146853E-2</v>
      </c>
      <c r="M27" s="22">
        <v>3.4722222222222224E-2</v>
      </c>
      <c r="N27" s="11">
        <v>61.469219995505291</v>
      </c>
      <c r="O27" s="11">
        <f t="shared" si="9"/>
        <v>0.61396412160456038</v>
      </c>
      <c r="P27" s="11">
        <f t="shared" si="4"/>
        <v>0.20052763120642564</v>
      </c>
      <c r="Q27" s="11">
        <f t="shared" si="5"/>
        <v>12.326277077805329</v>
      </c>
      <c r="R27" s="11">
        <f t="shared" si="6"/>
        <v>-11.712312956200769</v>
      </c>
      <c r="S27" s="11">
        <f>BSCall(N27,$B$3, $B$6 - M27,$B$8,$B$5) - BSPut(N27,$B$4, $B$7 - M27,$B$8, $B$5)</f>
        <v>0.60507498503035351</v>
      </c>
      <c r="T27" s="20">
        <f t="shared" si="7"/>
        <v>8.8891365742068684E-3</v>
      </c>
    </row>
    <row r="28" spans="4:20" x14ac:dyDescent="0.25">
      <c r="D28" s="22">
        <v>0.14444444444444446</v>
      </c>
      <c r="E28" s="11">
        <v>57.469143885416344</v>
      </c>
      <c r="F28" s="11">
        <f t="shared" si="8"/>
        <v>8.6016837116247524E-2</v>
      </c>
      <c r="G28" s="11">
        <f t="shared" si="10"/>
        <v>1.0640001188063542E-2</v>
      </c>
      <c r="H28" s="11">
        <f t="shared" si="1"/>
        <v>0.61147175921782448</v>
      </c>
      <c r="I28" s="11">
        <f t="shared" si="2"/>
        <v>-0.52545492210157696</v>
      </c>
      <c r="J28" s="11">
        <f t="shared" si="11"/>
        <v>1.3282958142438295E-2</v>
      </c>
      <c r="K28" s="20">
        <f t="shared" si="3"/>
        <v>7.273387897380923E-2</v>
      </c>
      <c r="M28" s="22">
        <v>3.6111111111111115E-2</v>
      </c>
      <c r="N28" s="11">
        <v>61.351239470465757</v>
      </c>
      <c r="O28" s="11">
        <f t="shared" si="9"/>
        <v>0.59004548987669381</v>
      </c>
      <c r="P28" s="11">
        <f t="shared" si="4"/>
        <v>0.19389068901180409</v>
      </c>
      <c r="Q28" s="11">
        <f t="shared" si="5"/>
        <v>11.895434092656796</v>
      </c>
      <c r="R28" s="11">
        <f t="shared" si="6"/>
        <v>-11.305388602780102</v>
      </c>
      <c r="S28" s="11">
        <f>BSCall(N28,$B$3, $B$6 - M28,$B$8,$B$5) - BSPut(N28,$B$4, $B$7 - M28,$B$8, $B$5)</f>
        <v>0.57664996118551659</v>
      </c>
      <c r="T28" s="20">
        <f t="shared" si="7"/>
        <v>1.3395528691177216E-2</v>
      </c>
    </row>
    <row r="29" spans="4:20" x14ac:dyDescent="0.25">
      <c r="D29" s="22">
        <v>0.15</v>
      </c>
      <c r="E29" s="11">
        <v>55.866292596160697</v>
      </c>
      <c r="F29" s="11">
        <f t="shared" si="8"/>
        <v>6.8915788314158677E-2</v>
      </c>
      <c r="G29" s="11">
        <f t="shared" si="10"/>
        <v>2.4274644851076149E-3</v>
      </c>
      <c r="H29" s="11">
        <f t="shared" si="1"/>
        <v>0.1356134411918106</v>
      </c>
      <c r="I29" s="11">
        <f t="shared" si="2"/>
        <v>-6.669765287765192E-2</v>
      </c>
      <c r="J29" s="11">
        <f t="shared" si="11"/>
        <v>2.4999623647253117E-3</v>
      </c>
      <c r="K29" s="20">
        <f t="shared" si="3"/>
        <v>6.6415825949433363E-2</v>
      </c>
      <c r="M29" s="22">
        <v>3.7499999999999999E-2</v>
      </c>
      <c r="N29" s="11">
        <v>61.383084735674565</v>
      </c>
      <c r="O29" s="11">
        <f t="shared" si="9"/>
        <v>0.59596875664047921</v>
      </c>
      <c r="P29" s="11">
        <f t="shared" si="4"/>
        <v>0.1942624895097568</v>
      </c>
      <c r="Q29" s="11">
        <f t="shared" si="5"/>
        <v>11.924430854540493</v>
      </c>
      <c r="R29" s="11">
        <f t="shared" si="6"/>
        <v>-11.328462097900013</v>
      </c>
      <c r="S29" s="11">
        <f>BSCall(N29,$B$3, $B$6 - M29,$B$8,$B$5) - BSPut(N29,$B$4, $B$7 - M29,$B$8, $B$5)</f>
        <v>0.57769859560468373</v>
      </c>
      <c r="T29" s="20">
        <f t="shared" si="7"/>
        <v>1.8270161035795485E-2</v>
      </c>
    </row>
    <row r="30" spans="4:20" x14ac:dyDescent="0.25">
      <c r="D30" s="22">
        <v>0.15555555555555556</v>
      </c>
      <c r="E30" s="11">
        <v>55.47766679519485</v>
      </c>
      <c r="F30" s="11">
        <f t="shared" si="8"/>
        <v>6.7966484040557079E-2</v>
      </c>
      <c r="G30" s="11">
        <f t="shared" si="10"/>
        <v>1.2849489296770009E-3</v>
      </c>
      <c r="H30" s="11">
        <f t="shared" si="1"/>
        <v>7.1285968569462912E-2</v>
      </c>
      <c r="I30" s="11">
        <f t="shared" si="2"/>
        <v>-3.3194845289058333E-3</v>
      </c>
      <c r="J30" s="11">
        <f t="shared" si="11"/>
        <v>1.2159350776462952E-3</v>
      </c>
      <c r="K30" s="20">
        <f t="shared" si="3"/>
        <v>6.6750548962910786E-2</v>
      </c>
      <c r="M30" s="22">
        <v>3.888888888888889E-2</v>
      </c>
      <c r="N30" s="11">
        <v>61.10456996609328</v>
      </c>
      <c r="O30" s="11">
        <f t="shared" si="9"/>
        <v>0.54161203773703726</v>
      </c>
      <c r="P30" s="11">
        <f t="shared" si="4"/>
        <v>0.18038105272611282</v>
      </c>
      <c r="Q30" s="11">
        <f t="shared" si="5"/>
        <v>11.022106656860322</v>
      </c>
      <c r="R30" s="11">
        <f t="shared" si="6"/>
        <v>-10.480494619123284</v>
      </c>
      <c r="S30" s="11">
        <f>BSCall(N30,$B$3, $B$6 - M30,$B$8,$B$5) - BSPut(N30,$B$4, $B$7 - M30,$B$8, $B$5)</f>
        <v>0.52052639948345891</v>
      </c>
      <c r="T30" s="20">
        <f t="shared" si="7"/>
        <v>2.1085638253578343E-2</v>
      </c>
    </row>
    <row r="31" spans="4:20" x14ac:dyDescent="0.25">
      <c r="D31" s="22">
        <v>0.16111111111111112</v>
      </c>
      <c r="E31" s="11">
        <v>54.572771817986933</v>
      </c>
      <c r="F31" s="11">
        <f t="shared" si="8"/>
        <v>6.6803445129717809E-2</v>
      </c>
      <c r="G31" s="11">
        <f t="shared" si="10"/>
        <v>3.533958005378064E-4</v>
      </c>
      <c r="H31" s="11">
        <f t="shared" si="1"/>
        <v>1.9285788384184533E-2</v>
      </c>
      <c r="I31" s="11">
        <f t="shared" si="2"/>
        <v>4.7517656745533279E-2</v>
      </c>
      <c r="J31" s="11">
        <f t="shared" si="11"/>
        <v>2.9240633344934441E-4</v>
      </c>
      <c r="K31" s="20">
        <f t="shared" si="3"/>
        <v>6.6511038796268462E-2</v>
      </c>
      <c r="M31" s="22">
        <v>4.027777777777778E-2</v>
      </c>
      <c r="N31" s="11">
        <v>61.199250629609857</v>
      </c>
      <c r="O31" s="11">
        <f t="shared" si="9"/>
        <v>0.55845773302674395</v>
      </c>
      <c r="P31" s="11">
        <f t="shared" si="4"/>
        <v>0.18352443951653383</v>
      </c>
      <c r="Q31" s="11">
        <f t="shared" si="5"/>
        <v>11.231558170631029</v>
      </c>
      <c r="R31" s="11">
        <f t="shared" si="6"/>
        <v>-10.673100437604285</v>
      </c>
      <c r="S31" s="11">
        <f>BSCall(N31,$B$3, $B$6 - M31,$B$8,$B$5) - BSPut(N31,$B$4, $B$7 - M31,$B$8, $B$5)</f>
        <v>0.53282244423137404</v>
      </c>
      <c r="T31" s="20">
        <f t="shared" si="7"/>
        <v>2.5635288795369915E-2</v>
      </c>
    </row>
    <row r="32" spans="4:20" x14ac:dyDescent="0.25">
      <c r="D32" s="22">
        <v>0.16666666666666669</v>
      </c>
      <c r="E32" s="11">
        <v>54.212898982751256</v>
      </c>
      <c r="F32" s="11">
        <f t="shared" si="8"/>
        <v>6.6680491560458244E-2</v>
      </c>
      <c r="G32" s="11">
        <f t="shared" si="10"/>
        <v>1.4955624338516189E-4</v>
      </c>
      <c r="H32" s="11">
        <f t="shared" si="1"/>
        <v>8.107877514879543E-3</v>
      </c>
      <c r="I32" s="11">
        <f t="shared" si="2"/>
        <v>5.8572614045578703E-2</v>
      </c>
      <c r="J32" s="11">
        <f t="shared" si="11"/>
        <v>1.1313290795870081E-4</v>
      </c>
      <c r="K32" s="20">
        <f t="shared" si="3"/>
        <v>6.6567358652499548E-2</v>
      </c>
      <c r="M32" s="22">
        <v>4.1666666666666671E-2</v>
      </c>
      <c r="N32" s="11">
        <v>60.832283071113039</v>
      </c>
      <c r="O32" s="11">
        <f t="shared" si="9"/>
        <v>0.49087303488778922</v>
      </c>
      <c r="P32" s="11">
        <f t="shared" si="4"/>
        <v>0.1661613778313098</v>
      </c>
      <c r="Q32" s="11">
        <f t="shared" si="5"/>
        <v>10.107975971720405</v>
      </c>
      <c r="R32" s="11">
        <f t="shared" si="6"/>
        <v>-9.617102936832616</v>
      </c>
      <c r="S32" s="11">
        <f>BSCall(N32,$B$3, $B$6 - M32,$B$8,$B$5) - BSPut(N32,$B$4, $B$7 - M32,$B$8, $B$5)</f>
        <v>0.46389909161046511</v>
      </c>
      <c r="T32" s="20">
        <f t="shared" si="7"/>
        <v>2.6973943277324108E-2</v>
      </c>
    </row>
    <row r="33" spans="4:20" x14ac:dyDescent="0.25">
      <c r="D33" s="22">
        <v>0.17222222222222222</v>
      </c>
      <c r="E33" s="11">
        <v>54.78854903954754</v>
      </c>
      <c r="F33" s="11">
        <f t="shared" si="8"/>
        <v>6.6771790306443812E-2</v>
      </c>
      <c r="G33" s="11">
        <f t="shared" si="10"/>
        <v>1.8741093905398927E-4</v>
      </c>
      <c r="H33" s="11">
        <f t="shared" si="1"/>
        <v>1.0267973424907146E-2</v>
      </c>
      <c r="I33" s="11">
        <f t="shared" si="2"/>
        <v>5.6503816881536668E-2</v>
      </c>
      <c r="J33" s="11">
        <f t="shared" si="11"/>
        <v>1.4028472858364962E-4</v>
      </c>
      <c r="K33" s="20">
        <f t="shared" si="3"/>
        <v>6.6631505577860156E-2</v>
      </c>
      <c r="M33" s="22">
        <v>4.3055555555555555E-2</v>
      </c>
      <c r="N33" s="11">
        <v>60.192589435535503</v>
      </c>
      <c r="O33" s="11">
        <f t="shared" si="9"/>
        <v>0.38436694323709908</v>
      </c>
      <c r="P33" s="11">
        <f t="shared" si="4"/>
        <v>0.13965898810864938</v>
      </c>
      <c r="Q33" s="11">
        <f t="shared" si="5"/>
        <v>8.4064361322062666</v>
      </c>
      <c r="R33" s="11">
        <f t="shared" si="6"/>
        <v>-8.0220691889691675</v>
      </c>
      <c r="S33" s="11">
        <f>BSCall(N33,$B$3, $B$6 - M33,$B$8,$B$5) - BSPut(N33,$B$4, $B$7 - M33,$B$8, $B$5)</f>
        <v>0.36208486512673776</v>
      </c>
      <c r="T33" s="20">
        <f t="shared" si="7"/>
        <v>2.2282078110361314E-2</v>
      </c>
    </row>
    <row r="34" spans="4:20" x14ac:dyDescent="0.25">
      <c r="D34" s="22">
        <v>0.17777777777777778</v>
      </c>
      <c r="E34" s="11">
        <v>55.058620308674314</v>
      </c>
      <c r="F34" s="11">
        <f t="shared" si="8"/>
        <v>6.6827427401334516E-2</v>
      </c>
      <c r="G34" s="11">
        <f t="shared" si="10"/>
        <v>1.5684695511562869E-4</v>
      </c>
      <c r="H34" s="11">
        <f t="shared" si="1"/>
        <v>8.6357769482830818E-3</v>
      </c>
      <c r="I34" s="11">
        <f t="shared" si="2"/>
        <v>5.8191650453051434E-2</v>
      </c>
      <c r="J34" s="11">
        <f t="shared" si="11"/>
        <v>1.1258608474256638E-4</v>
      </c>
      <c r="K34" s="20">
        <f t="shared" si="3"/>
        <v>6.6714841316591944E-2</v>
      </c>
      <c r="M34" s="22">
        <v>4.4444444444444446E-2</v>
      </c>
      <c r="N34" s="11">
        <v>60.757440742429246</v>
      </c>
      <c r="O34" s="11">
        <f t="shared" si="9"/>
        <v>0.46307523500475689</v>
      </c>
      <c r="P34" s="11">
        <f t="shared" ref="P34:P59" si="12">BSGreeksRR(N34,$B$3,$B$4,$B$6 - M34,$B$7 - M34,$B$8, $B$5,$G$1)</f>
        <v>0.16062932590127746</v>
      </c>
      <c r="Q34" s="11">
        <f t="shared" ref="Q34:Q65" si="13">N34*P34</f>
        <v>9.7594267499432199</v>
      </c>
      <c r="R34" s="11">
        <f t="shared" ref="R34:R65" si="14">O34 - Q34</f>
        <v>-9.296351514938463</v>
      </c>
      <c r="S34" s="11">
        <f>BSCall(N34,$B$3, $B$6 - M34,$B$8,$B$5) - BSPut(N34,$B$4, $B$7 - M34,$B$8, $B$5)</f>
        <v>0.44252945552401357</v>
      </c>
      <c r="T34" s="20">
        <f t="shared" ref="T34:T65" si="15">O34 - S34</f>
        <v>2.054577948074332E-2</v>
      </c>
    </row>
    <row r="35" spans="4:20" x14ac:dyDescent="0.25">
      <c r="D35" s="22">
        <v>0.18333333333333335</v>
      </c>
      <c r="E35" s="11">
        <v>56.536088486511758</v>
      </c>
      <c r="F35" s="11">
        <f t="shared" si="8"/>
        <v>6.7064336607359692E-2</v>
      </c>
      <c r="G35" s="11">
        <f t="shared" si="10"/>
        <v>5.9357937450613856E-4</v>
      </c>
      <c r="H35" s="11">
        <f t="shared" si="1"/>
        <v>3.3558656040847352E-2</v>
      </c>
      <c r="I35" s="11">
        <f t="shared" si="2"/>
        <v>3.350568056651234E-2</v>
      </c>
      <c r="J35" s="11">
        <f t="shared" si="11"/>
        <v>4.5658315342339897E-4</v>
      </c>
      <c r="K35" s="20">
        <f t="shared" si="3"/>
        <v>6.6607753453936297E-2</v>
      </c>
      <c r="M35" s="22">
        <v>4.5833333333333337E-2</v>
      </c>
      <c r="N35" s="11">
        <v>60.206781315856361</v>
      </c>
      <c r="O35" s="11">
        <f t="shared" ref="O35:O66" si="16" xml:space="preserve"> P34*N35 + R34* EXP($B$8*(M35 - M34))</f>
        <v>0.37441659462853849</v>
      </c>
      <c r="P35" s="11">
        <f t="shared" si="12"/>
        <v>0.13752920873655128</v>
      </c>
      <c r="Q35" s="11">
        <f t="shared" si="13"/>
        <v>8.2801909949443058</v>
      </c>
      <c r="R35" s="11">
        <f t="shared" si="14"/>
        <v>-7.9057744003157673</v>
      </c>
      <c r="S35" s="11">
        <f>BSCall(N35,$B$3, $B$6 - M35,$B$8,$B$5) - BSPut(N35,$B$4, $B$7 - M35,$B$8, $B$5)</f>
        <v>0.35633900477319819</v>
      </c>
      <c r="T35" s="20">
        <f t="shared" si="15"/>
        <v>1.8077589855340304E-2</v>
      </c>
    </row>
    <row r="36" spans="4:20" x14ac:dyDescent="0.25">
      <c r="D36" s="22">
        <v>0.18888888888888888</v>
      </c>
      <c r="E36" s="11">
        <v>57.337553692106034</v>
      </c>
      <c r="F36" s="11">
        <f t="shared" si="8"/>
        <v>6.7543048237873854E-2</v>
      </c>
      <c r="G36" s="11">
        <f t="shared" si="10"/>
        <v>9.4999639541577731E-4</v>
      </c>
      <c r="H36" s="11">
        <f t="shared" si="1"/>
        <v>5.4470469329459328E-2</v>
      </c>
      <c r="I36" s="11">
        <f t="shared" si="2"/>
        <v>1.3072578908414526E-2</v>
      </c>
      <c r="J36" s="11">
        <f t="shared" si="11"/>
        <v>7.3340365895377684E-4</v>
      </c>
      <c r="K36" s="20">
        <f t="shared" si="3"/>
        <v>6.680964457892008E-2</v>
      </c>
      <c r="M36" s="22">
        <v>4.7222222222222221E-2</v>
      </c>
      <c r="N36" s="11">
        <v>60.383916750235443</v>
      </c>
      <c r="O36" s="11">
        <f t="shared" si="16"/>
        <v>0.39860220493027931</v>
      </c>
      <c r="P36" s="11">
        <f t="shared" si="12"/>
        <v>0.14302038415006765</v>
      </c>
      <c r="Q36" s="11">
        <f t="shared" si="13"/>
        <v>8.6361309701043769</v>
      </c>
      <c r="R36" s="11">
        <f t="shared" si="14"/>
        <v>-8.2375287651740976</v>
      </c>
      <c r="S36" s="11">
        <f>BSCall(N36,$B$3, $B$6 - M36,$B$8,$B$5) - BSPut(N36,$B$4, $B$7 - M36,$B$8, $B$5)</f>
        <v>0.37715446172551065</v>
      </c>
      <c r="T36" s="20">
        <f t="shared" si="15"/>
        <v>2.1447743204768666E-2</v>
      </c>
    </row>
    <row r="37" spans="4:20" x14ac:dyDescent="0.25">
      <c r="D37" s="22">
        <v>0.19444444444444445</v>
      </c>
      <c r="E37" s="11">
        <v>57.458733995496679</v>
      </c>
      <c r="F37" s="11">
        <f t="shared" si="8"/>
        <v>6.7659331147950724E-2</v>
      </c>
      <c r="G37" s="11">
        <f t="shared" si="10"/>
        <v>6.4890254811907013E-4</v>
      </c>
      <c r="H37" s="11">
        <f t="shared" si="1"/>
        <v>3.7285118901373634E-2</v>
      </c>
      <c r="I37" s="11">
        <f t="shared" si="2"/>
        <v>3.037421224657709E-2</v>
      </c>
      <c r="J37" s="11">
        <f t="shared" si="11"/>
        <v>4.6639904202624684E-4</v>
      </c>
      <c r="K37" s="20">
        <f t="shared" si="3"/>
        <v>6.7192932105924474E-2</v>
      </c>
      <c r="M37" s="22">
        <v>4.8611111111111112E-2</v>
      </c>
      <c r="N37" s="11">
        <v>60.962910421138837</v>
      </c>
      <c r="O37" s="11">
        <f t="shared" si="16"/>
        <v>0.48122704393458804</v>
      </c>
      <c r="P37" s="11">
        <f t="shared" si="12"/>
        <v>0.1662038588343269</v>
      </c>
      <c r="Q37" s="11">
        <f t="shared" si="13"/>
        <v>10.132270957764675</v>
      </c>
      <c r="R37" s="11">
        <f t="shared" si="14"/>
        <v>-9.6510439138300868</v>
      </c>
      <c r="S37" s="11">
        <f>BSCall(N37,$B$3, $B$6 - M37,$B$8,$B$5) - BSPut(N37,$B$4, $B$7 - M37,$B$8, $B$5)</f>
        <v>0.46201644147016996</v>
      </c>
      <c r="T37" s="20">
        <f t="shared" si="15"/>
        <v>1.9210602464418081E-2</v>
      </c>
    </row>
    <row r="38" spans="4:20" x14ac:dyDescent="0.25">
      <c r="D38" s="22">
        <v>0.2</v>
      </c>
      <c r="E38" s="11">
        <v>57.696081638033718</v>
      </c>
      <c r="F38" s="11">
        <f t="shared" si="8"/>
        <v>6.7816046687960985E-2</v>
      </c>
      <c r="G38" s="11">
        <f t="shared" si="10"/>
        <v>4.787128208100418E-4</v>
      </c>
      <c r="H38" s="11">
        <f t="shared" si="1"/>
        <v>2.7619853990629578E-2</v>
      </c>
      <c r="I38" s="11">
        <f t="shared" si="2"/>
        <v>4.0196192697331407E-2</v>
      </c>
      <c r="J38" s="11">
        <f t="shared" si="11"/>
        <v>3.2139402531388144E-4</v>
      </c>
      <c r="K38" s="20">
        <f t="shared" si="3"/>
        <v>6.7494652662647106E-2</v>
      </c>
      <c r="M38" s="22">
        <v>0.05</v>
      </c>
      <c r="N38" s="11">
        <v>60.630924679437804</v>
      </c>
      <c r="O38" s="11">
        <f t="shared" si="16"/>
        <v>0.42583526256037985</v>
      </c>
      <c r="P38" s="11">
        <f t="shared" si="12"/>
        <v>0.15071205785156572</v>
      </c>
      <c r="Q38" s="11">
        <f t="shared" si="13"/>
        <v>9.1378114278813545</v>
      </c>
      <c r="R38" s="11">
        <f t="shared" si="14"/>
        <v>-8.7119761653209746</v>
      </c>
      <c r="S38" s="11">
        <f>BSCall(N38,$B$3, $B$6 - M38,$B$8,$B$5) - BSPut(N38,$B$4, $B$7 - M38,$B$8, $B$5)</f>
        <v>0.40478099794798056</v>
      </c>
      <c r="T38" s="20">
        <f t="shared" si="15"/>
        <v>2.1054264612399287E-2</v>
      </c>
    </row>
    <row r="39" spans="4:20" x14ac:dyDescent="0.25">
      <c r="D39" s="22">
        <v>0.20555555555555557</v>
      </c>
      <c r="E39" s="11">
        <v>56.946824040796322</v>
      </c>
      <c r="F39" s="11">
        <f t="shared" si="8"/>
        <v>6.7460940623785021E-2</v>
      </c>
      <c r="G39" s="11">
        <f t="shared" si="10"/>
        <v>6.7309810670757901E-5</v>
      </c>
      <c r="H39" s="11">
        <f t="shared" si="1"/>
        <v>3.8330799444869649E-3</v>
      </c>
      <c r="I39" s="11">
        <f t="shared" si="2"/>
        <v>6.3627860679298057E-2</v>
      </c>
      <c r="J39" s="11">
        <f t="shared" si="11"/>
        <v>3.7530689991415947E-5</v>
      </c>
      <c r="K39" s="20">
        <f t="shared" si="3"/>
        <v>6.7423409933793602E-2</v>
      </c>
      <c r="M39" s="22">
        <v>5.1388888888888894E-2</v>
      </c>
      <c r="N39" s="11">
        <v>61.375194383158075</v>
      </c>
      <c r="O39" s="11">
        <f t="shared" si="16"/>
        <v>0.53781207958317445</v>
      </c>
      <c r="P39" s="11">
        <f t="shared" si="12"/>
        <v>0.18326207810636228</v>
      </c>
      <c r="Q39" s="11">
        <f t="shared" si="13"/>
        <v>11.247745666839482</v>
      </c>
      <c r="R39" s="11">
        <f t="shared" si="14"/>
        <v>-10.709933587256307</v>
      </c>
      <c r="S39" s="11">
        <f>BSCall(N39,$B$3, $B$6 - M39,$B$8,$B$5) - BSPut(N39,$B$4, $B$7 - M39,$B$8, $B$5)</f>
        <v>0.52388310606959909</v>
      </c>
      <c r="T39" s="20">
        <f t="shared" si="15"/>
        <v>1.392897351357536E-2</v>
      </c>
    </row>
    <row r="40" spans="4:20" x14ac:dyDescent="0.25">
      <c r="D40" s="22">
        <v>0.21111111111111111</v>
      </c>
      <c r="E40" s="11">
        <v>58.049539711740692</v>
      </c>
      <c r="F40" s="11">
        <f t="shared" si="8"/>
        <v>6.7540820268034887E-2</v>
      </c>
      <c r="G40" s="11">
        <f t="shared" si="10"/>
        <v>1.5895466789755998E-4</v>
      </c>
      <c r="H40" s="11">
        <f t="shared" si="1"/>
        <v>9.2272453064859618E-3</v>
      </c>
      <c r="I40" s="11">
        <f t="shared" si="2"/>
        <v>5.8313574961548924E-2</v>
      </c>
      <c r="J40" s="11">
        <f t="shared" si="11"/>
        <v>8.863468300991179E-5</v>
      </c>
      <c r="K40" s="20">
        <f t="shared" si="3"/>
        <v>6.7452185585024971E-2</v>
      </c>
      <c r="M40" s="22">
        <v>5.2777777777777778E-2</v>
      </c>
      <c r="N40" s="11">
        <v>61.843270877898547</v>
      </c>
      <c r="O40" s="11">
        <f t="shared" si="16"/>
        <v>0.62335474955344772</v>
      </c>
      <c r="P40" s="11">
        <f t="shared" si="12"/>
        <v>0.20564930659014552</v>
      </c>
      <c r="Q40" s="11">
        <f t="shared" si="13"/>
        <v>12.718025773306376</v>
      </c>
      <c r="R40" s="11">
        <f t="shared" si="14"/>
        <v>-12.094671023752928</v>
      </c>
      <c r="S40" s="11">
        <f>BSCall(N40,$B$3, $B$6 - M40,$B$8,$B$5) - BSPut(N40,$B$4, $B$7 - M40,$B$8, $B$5)</f>
        <v>0.60931251767912131</v>
      </c>
      <c r="T40" s="20">
        <f t="shared" si="15"/>
        <v>1.4042231874326405E-2</v>
      </c>
    </row>
    <row r="41" spans="4:20" x14ac:dyDescent="0.25">
      <c r="D41" s="22">
        <v>0.21666666666666667</v>
      </c>
      <c r="E41" s="11">
        <v>57.646559119618431</v>
      </c>
      <c r="F41" s="11">
        <f t="shared" si="8"/>
        <v>6.7481948281111842E-2</v>
      </c>
      <c r="G41" s="11">
        <f t="shared" si="10"/>
        <v>2.2041136864793964E-5</v>
      </c>
      <c r="H41" s="11">
        <f t="shared" si="1"/>
        <v>1.2705956993399464E-3</v>
      </c>
      <c r="I41" s="11">
        <f t="shared" si="2"/>
        <v>6.6211352581771896E-2</v>
      </c>
      <c r="J41" s="11">
        <f t="shared" si="11"/>
        <v>1.0206806078207535E-5</v>
      </c>
      <c r="K41" s="20">
        <f t="shared" si="3"/>
        <v>6.7471741475033639E-2</v>
      </c>
      <c r="M41" s="22">
        <v>5.4166666666666669E-2</v>
      </c>
      <c r="N41" s="11">
        <v>61.776476586244257</v>
      </c>
      <c r="O41" s="11">
        <f t="shared" si="16"/>
        <v>0.60934977633700882</v>
      </c>
      <c r="P41" s="11">
        <f t="shared" si="12"/>
        <v>0.20120419407152382</v>
      </c>
      <c r="Q41" s="11">
        <f t="shared" si="13"/>
        <v>12.429686184113637</v>
      </c>
      <c r="R41" s="11">
        <f t="shared" si="14"/>
        <v>-11.820336407776628</v>
      </c>
      <c r="S41" s="11">
        <f>BSCall(N41,$B$3, $B$6 - M41,$B$8,$B$5) - BSPut(N41,$B$4, $B$7 - M41,$B$8, $B$5)</f>
        <v>0.58999115263777391</v>
      </c>
      <c r="T41" s="20">
        <f t="shared" si="15"/>
        <v>1.9358623699234911E-2</v>
      </c>
    </row>
    <row r="42" spans="4:20" x14ac:dyDescent="0.25">
      <c r="D42" s="22">
        <v>0.22222222222222224</v>
      </c>
      <c r="E42" s="11">
        <v>57.87048020347148</v>
      </c>
      <c r="F42" s="11">
        <f t="shared" si="8"/>
        <v>6.7492769471514252E-2</v>
      </c>
      <c r="G42" s="11">
        <f t="shared" si="10"/>
        <v>6.3690556586601E-6</v>
      </c>
      <c r="H42" s="11">
        <f t="shared" si="1"/>
        <v>3.6858030940929731E-4</v>
      </c>
      <c r="I42" s="11">
        <f t="shared" si="2"/>
        <v>6.7124189162104955E-2</v>
      </c>
      <c r="J42" s="11">
        <f t="shared" si="11"/>
        <v>2.5592188235799891E-6</v>
      </c>
      <c r="K42" s="20">
        <f t="shared" si="3"/>
        <v>6.7490210252690669E-2</v>
      </c>
      <c r="M42" s="22">
        <v>5.5555555555555559E-2</v>
      </c>
      <c r="N42" s="11">
        <v>61.768622474559635</v>
      </c>
      <c r="O42" s="11">
        <f t="shared" si="16"/>
        <v>0.60750681906434068</v>
      </c>
      <c r="P42" s="11">
        <f t="shared" si="12"/>
        <v>0.19979233510834876</v>
      </c>
      <c r="Q42" s="11">
        <f t="shared" si="13"/>
        <v>12.340897320618302</v>
      </c>
      <c r="R42" s="11">
        <f t="shared" si="14"/>
        <v>-11.733390501553961</v>
      </c>
      <c r="S42" s="11">
        <f>BSCall(N42,$B$3, $B$6 - M42,$B$8,$B$5) - BSPut(N42,$B$4, $B$7 - M42,$B$8, $B$5)</f>
        <v>0.58271560777388365</v>
      </c>
      <c r="T42" s="20">
        <f t="shared" si="15"/>
        <v>2.4791211290457027E-2</v>
      </c>
    </row>
    <row r="43" spans="4:20" x14ac:dyDescent="0.25">
      <c r="D43" s="22">
        <v>0.22777777777777777</v>
      </c>
      <c r="E43" s="11">
        <v>58.08807209751162</v>
      </c>
      <c r="F43" s="11">
        <f t="shared" si="8"/>
        <v>6.7500122186180289E-2</v>
      </c>
      <c r="G43" s="11">
        <f t="shared" si="10"/>
        <v>9.6531485697131999E-7</v>
      </c>
      <c r="H43" s="11">
        <f t="shared" si="1"/>
        <v>5.6073279008549151E-5</v>
      </c>
      <c r="I43" s="11">
        <f t="shared" si="2"/>
        <v>6.7444048907171733E-2</v>
      </c>
      <c r="J43" s="11">
        <f t="shared" si="11"/>
        <v>3.2360384565973992E-7</v>
      </c>
      <c r="K43" s="20">
        <f t="shared" si="3"/>
        <v>6.7499798582334625E-2</v>
      </c>
      <c r="M43" s="22">
        <v>5.6944444444444443E-2</v>
      </c>
      <c r="N43" s="11">
        <v>62.109410008506963</v>
      </c>
      <c r="O43" s="11">
        <f t="shared" si="16"/>
        <v>0.67533281133919232</v>
      </c>
      <c r="P43" s="11">
        <f t="shared" si="12"/>
        <v>0.21669365314216171</v>
      </c>
      <c r="Q43" s="11">
        <f t="shared" si="13"/>
        <v>13.458714949247716</v>
      </c>
      <c r="R43" s="11">
        <f t="shared" si="14"/>
        <v>-12.783382137908523</v>
      </c>
      <c r="S43" s="11">
        <f>BSCall(N43,$B$3, $B$6 - M43,$B$8,$B$5) - BSPut(N43,$B$4, $B$7 - M43,$B$8, $B$5)</f>
        <v>0.6477856505774634</v>
      </c>
      <c r="T43" s="20">
        <f t="shared" si="15"/>
        <v>2.7547160761728917E-2</v>
      </c>
    </row>
    <row r="44" spans="4:20" x14ac:dyDescent="0.25">
      <c r="D44" s="22">
        <v>0.23333333333333334</v>
      </c>
      <c r="E44" s="11">
        <v>58.724598080780723</v>
      </c>
      <c r="F44" s="11">
        <f t="shared" si="8"/>
        <v>6.7506731927191824E-2</v>
      </c>
      <c r="G44" s="11">
        <f t="shared" si="10"/>
        <v>1.8608458145783881E-7</v>
      </c>
      <c r="H44" s="11">
        <f t="shared" si="1"/>
        <v>1.0927742255141886E-5</v>
      </c>
      <c r="I44" s="11">
        <f t="shared" si="2"/>
        <v>6.7495804184936684E-2</v>
      </c>
      <c r="J44" s="11">
        <f t="shared" si="11"/>
        <v>5.1632385521303081E-8</v>
      </c>
      <c r="K44" s="20">
        <f t="shared" si="3"/>
        <v>6.7506680294806304E-2</v>
      </c>
      <c r="M44" s="22">
        <v>5.8333333333333334E-2</v>
      </c>
      <c r="N44" s="11">
        <v>62.561543831743123</v>
      </c>
      <c r="O44" s="11">
        <f t="shared" si="16"/>
        <v>0.77302326289033374</v>
      </c>
      <c r="P44" s="11">
        <f t="shared" si="12"/>
        <v>0.24071796418618824</v>
      </c>
      <c r="Q44" s="11">
        <f t="shared" si="13"/>
        <v>15.059687467522187</v>
      </c>
      <c r="R44" s="11">
        <f t="shared" si="14"/>
        <v>-14.286664204631853</v>
      </c>
      <c r="S44" s="11">
        <f>BSCall(N44,$B$3, $B$6 - M44,$B$8,$B$5) - BSPut(N44,$B$4, $B$7 - M44,$B$8, $B$5)</f>
        <v>0.74486557391962649</v>
      </c>
      <c r="T44" s="20">
        <f t="shared" si="15"/>
        <v>2.8157688970707251E-2</v>
      </c>
    </row>
    <row r="45" spans="4:20" x14ac:dyDescent="0.25">
      <c r="D45" s="22">
        <v>0.2388888888888889</v>
      </c>
      <c r="E45" s="11">
        <v>59.226910610179203</v>
      </c>
      <c r="F45" s="11">
        <f t="shared" si="8"/>
        <v>6.7512825293505274E-2</v>
      </c>
      <c r="G45" s="11">
        <f t="shared" si="10"/>
        <v>2.7639591707407165E-9</v>
      </c>
      <c r="H45" s="11">
        <f t="shared" si="1"/>
        <v>1.6370076273564544E-7</v>
      </c>
      <c r="I45" s="11">
        <f t="shared" si="2"/>
        <v>6.7512661592742537E-2</v>
      </c>
      <c r="J45" s="11">
        <f t="shared" si="11"/>
        <v>5.5945793882212942E-10</v>
      </c>
      <c r="K45" s="20">
        <f t="shared" si="3"/>
        <v>6.7512824734047336E-2</v>
      </c>
      <c r="M45" s="22">
        <v>5.9722222222222225E-2</v>
      </c>
      <c r="N45" s="11">
        <v>62.423629886507243</v>
      </c>
      <c r="O45" s="11">
        <f t="shared" si="16"/>
        <v>0.73950741380590124</v>
      </c>
      <c r="P45" s="11">
        <f t="shared" si="12"/>
        <v>0.23195305014742981</v>
      </c>
      <c r="Q45" s="11">
        <f t="shared" si="13"/>
        <v>14.479351353449612</v>
      </c>
      <c r="R45" s="11">
        <f t="shared" si="14"/>
        <v>-13.739843939643711</v>
      </c>
      <c r="S45" s="11">
        <f>BSCall(N45,$B$3, $B$6 - M45,$B$8,$B$5) - BSPut(N45,$B$4, $B$7 - M45,$B$8, $B$5)</f>
        <v>0.70583875146407526</v>
      </c>
      <c r="T45" s="20">
        <f t="shared" si="15"/>
        <v>3.3668662341825972E-2</v>
      </c>
    </row>
    <row r="46" spans="4:20" x14ac:dyDescent="0.25">
      <c r="D46" s="23">
        <v>0.24444444444444446</v>
      </c>
      <c r="E46" s="13">
        <v>59.662742494279861</v>
      </c>
      <c r="F46" s="13">
        <f t="shared" si="8"/>
        <v>6.7518827890326302E-2</v>
      </c>
      <c r="G46" s="13">
        <f t="shared" si="10"/>
        <v>4.0156355399702559E-15</v>
      </c>
      <c r="H46" s="13">
        <f t="shared" si="1"/>
        <v>2.3958382917212383E-13</v>
      </c>
      <c r="I46" s="13">
        <f t="shared" si="2"/>
        <v>6.7518827890086716E-2</v>
      </c>
      <c r="J46" s="13">
        <f t="shared" si="11"/>
        <v>4.4489478477303155E-16</v>
      </c>
      <c r="K46" s="21">
        <f t="shared" si="3"/>
        <v>6.7518827890325858E-2</v>
      </c>
      <c r="M46" s="22">
        <v>6.1111111111111116E-2</v>
      </c>
      <c r="N46" s="11">
        <v>62.02595770628669</v>
      </c>
      <c r="O46" s="11">
        <f t="shared" si="16"/>
        <v>0.64696080538706191</v>
      </c>
      <c r="P46" s="11">
        <f t="shared" si="12"/>
        <v>0.20919557077111803</v>
      </c>
      <c r="Q46" s="11">
        <f t="shared" si="13"/>
        <v>12.975555624991872</v>
      </c>
      <c r="R46" s="11">
        <f t="shared" si="14"/>
        <v>-12.32859481960481</v>
      </c>
      <c r="S46" s="11">
        <f>BSCall(N46,$B$3, $B$6 - M46,$B$8,$B$5) - BSPut(N46,$B$4, $B$7 - M46,$B$8, $B$5)</f>
        <v>0.61198381789086509</v>
      </c>
      <c r="T46" s="20">
        <f t="shared" si="15"/>
        <v>3.4976987496196821E-2</v>
      </c>
    </row>
    <row r="47" spans="4:20" x14ac:dyDescent="0.25">
      <c r="F47">
        <f t="shared" si="8"/>
        <v>6.725526999019768E-2</v>
      </c>
      <c r="M47" s="22">
        <v>6.25E-2</v>
      </c>
      <c r="N47" s="11">
        <v>61.819040731359223</v>
      </c>
      <c r="O47" s="11">
        <f t="shared" si="16"/>
        <v>0.60340071889698876</v>
      </c>
      <c r="P47" s="11">
        <f t="shared" si="12"/>
        <v>0.1972818949497892</v>
      </c>
      <c r="Q47" s="11">
        <f t="shared" si="13"/>
        <v>12.19577749946075</v>
      </c>
      <c r="R47" s="11">
        <f t="shared" si="14"/>
        <v>-11.592376780563761</v>
      </c>
      <c r="S47" s="11">
        <f>BSCall(N47,$B$3, $B$6 - M47,$B$8,$B$5) - BSPut(N47,$B$4, $B$7 - M47,$B$8, $B$5)</f>
        <v>0.56406600660132189</v>
      </c>
      <c r="T47" s="20">
        <f t="shared" si="15"/>
        <v>3.9334712295666874E-2</v>
      </c>
    </row>
    <row r="48" spans="4:20" x14ac:dyDescent="0.25">
      <c r="M48" s="22">
        <v>6.3888888888888898E-2</v>
      </c>
      <c r="N48" s="11">
        <v>61.719396687734459</v>
      </c>
      <c r="O48" s="11">
        <f t="shared" si="16"/>
        <v>0.58348514191500023</v>
      </c>
      <c r="P48" s="11">
        <f t="shared" si="12"/>
        <v>0.19110845264841286</v>
      </c>
      <c r="Q48" s="11">
        <f t="shared" si="13"/>
        <v>11.795098399386511</v>
      </c>
      <c r="R48" s="11">
        <f t="shared" si="14"/>
        <v>-11.211613257471511</v>
      </c>
      <c r="S48" s="11">
        <f>BSCall(N48,$B$3, $B$6 - M48,$B$8,$B$5) - BSPut(N48,$B$4, $B$7 - M48,$B$8, $B$5)</f>
        <v>0.53900348416443933</v>
      </c>
      <c r="T48" s="20">
        <f t="shared" si="15"/>
        <v>4.4481657750560899E-2</v>
      </c>
    </row>
    <row r="49" spans="13:20" x14ac:dyDescent="0.25">
      <c r="M49" s="22">
        <v>6.5277777777777782E-2</v>
      </c>
      <c r="N49" s="11">
        <v>61.249228970399614</v>
      </c>
      <c r="O49" s="11">
        <f t="shared" si="16"/>
        <v>0.49338296724030606</v>
      </c>
      <c r="P49" s="11">
        <f t="shared" si="12"/>
        <v>0.16686239477183845</v>
      </c>
      <c r="Q49" s="11">
        <f t="shared" si="13"/>
        <v>10.220193023929545</v>
      </c>
      <c r="R49" s="11">
        <f t="shared" si="14"/>
        <v>-9.7268100566892386</v>
      </c>
      <c r="S49" s="11">
        <f>BSCall(N49,$B$3, $B$6 - M49,$B$8,$B$5) - BSPut(N49,$B$4, $B$7 - M49,$B$8, $B$5)</f>
        <v>0.44950310196382431</v>
      </c>
      <c r="T49" s="20">
        <f t="shared" si="15"/>
        <v>4.3879865276481744E-2</v>
      </c>
    </row>
    <row r="50" spans="13:20" x14ac:dyDescent="0.25">
      <c r="M50" s="22">
        <v>6.6666666666666666E-2</v>
      </c>
      <c r="N50" s="11">
        <v>61.38984760515077</v>
      </c>
      <c r="O50" s="11">
        <f t="shared" si="16"/>
        <v>0.51663077564813875</v>
      </c>
      <c r="P50" s="11">
        <f t="shared" si="12"/>
        <v>0.17255882207409071</v>
      </c>
      <c r="Q50" s="11">
        <f t="shared" si="13"/>
        <v>10.593359790052755</v>
      </c>
      <c r="R50" s="11">
        <f t="shared" si="14"/>
        <v>-10.076729014404616</v>
      </c>
      <c r="S50" s="11">
        <f>BSCall(N50,$B$3, $B$6 - M50,$B$8,$B$5) - BSPut(N50,$B$4, $B$7 - M50,$B$8, $B$5)</f>
        <v>0.46812692813300744</v>
      </c>
      <c r="T50" s="20">
        <f t="shared" si="15"/>
        <v>4.8503847515131315E-2</v>
      </c>
    </row>
    <row r="51" spans="13:20" x14ac:dyDescent="0.25">
      <c r="M51" s="22">
        <v>6.8055555555555564E-2</v>
      </c>
      <c r="N51" s="11">
        <v>60.803266764612765</v>
      </c>
      <c r="O51" s="11">
        <f t="shared" si="16"/>
        <v>0.41518714695414083</v>
      </c>
      <c r="P51" s="11">
        <f t="shared" si="12"/>
        <v>0.14438480198859457</v>
      </c>
      <c r="Q51" s="11">
        <f t="shared" si="13"/>
        <v>8.7790676320683083</v>
      </c>
      <c r="R51" s="11">
        <f t="shared" si="14"/>
        <v>-8.3638804851141675</v>
      </c>
      <c r="S51" s="11">
        <f>BSCall(N51,$B$3, $B$6 - M51,$B$8,$B$5) - BSPut(N51,$B$4, $B$7 - M51,$B$8, $B$5)</f>
        <v>0.37030891645761599</v>
      </c>
      <c r="T51" s="20">
        <f t="shared" si="15"/>
        <v>4.487823049652484E-2</v>
      </c>
    </row>
    <row r="52" spans="13:20" x14ac:dyDescent="0.25">
      <c r="M52" s="22">
        <v>6.9444444444444448E-2</v>
      </c>
      <c r="N52" s="11">
        <v>60.431303968743137</v>
      </c>
      <c r="O52" s="11">
        <f t="shared" si="16"/>
        <v>0.36129550624943008</v>
      </c>
      <c r="P52" s="11">
        <f t="shared" si="12"/>
        <v>0.12762501977721066</v>
      </c>
      <c r="Q52" s="11">
        <f t="shared" si="13"/>
        <v>7.7125463641734724</v>
      </c>
      <c r="R52" s="11">
        <f t="shared" si="14"/>
        <v>-7.3512508579240423</v>
      </c>
      <c r="S52" s="11">
        <f>BSCall(N52,$B$3, $B$6 - M52,$B$8,$B$5) - BSPut(N52,$B$4, $B$7 - M52,$B$8, $B$5)</f>
        <v>0.31526942120480295</v>
      </c>
      <c r="T52" s="20">
        <f t="shared" si="15"/>
        <v>4.602608504462713E-2</v>
      </c>
    </row>
    <row r="53" spans="13:20" x14ac:dyDescent="0.25">
      <c r="M53" s="22">
        <v>7.0833333333333331E-2</v>
      </c>
      <c r="N53" s="11">
        <v>60.659212207917598</v>
      </c>
      <c r="O53" s="11">
        <f t="shared" si="16"/>
        <v>0.39021893683614728</v>
      </c>
      <c r="P53" s="11">
        <f t="shared" si="12"/>
        <v>0.13605428564641106</v>
      </c>
      <c r="Q53" s="11">
        <f t="shared" si="13"/>
        <v>8.2529457848222858</v>
      </c>
      <c r="R53" s="11">
        <f t="shared" si="14"/>
        <v>-7.8627268479861385</v>
      </c>
      <c r="S53" s="11">
        <f>BSCall(N53,$B$3, $B$6 - M53,$B$8,$B$5) - BSPut(N53,$B$4, $B$7 - M53,$B$8, $B$5)</f>
        <v>0.34090469611590707</v>
      </c>
      <c r="T53" s="20">
        <f t="shared" si="15"/>
        <v>4.931424072024021E-2</v>
      </c>
    </row>
    <row r="54" spans="13:20" x14ac:dyDescent="0.25">
      <c r="M54" s="22">
        <v>7.2222222222222229E-2</v>
      </c>
      <c r="N54" s="11">
        <v>60.665613839175599</v>
      </c>
      <c r="O54" s="11">
        <f t="shared" si="16"/>
        <v>0.39091517699921052</v>
      </c>
      <c r="P54" s="11">
        <f t="shared" si="12"/>
        <v>0.13526494192590929</v>
      </c>
      <c r="Q54" s="11">
        <f t="shared" si="13"/>
        <v>8.2059307328557267</v>
      </c>
      <c r="R54" s="11">
        <f t="shared" si="14"/>
        <v>-7.8150155558565162</v>
      </c>
      <c r="S54" s="11">
        <f>BSCall(N54,$B$3, $B$6 - M54,$B$8,$B$5) - BSPut(N54,$B$4, $B$7 - M54,$B$8, $B$5)</f>
        <v>0.33725320901344991</v>
      </c>
      <c r="T54" s="20">
        <f t="shared" si="15"/>
        <v>5.3661967985760617E-2</v>
      </c>
    </row>
    <row r="55" spans="13:20" x14ac:dyDescent="0.25">
      <c r="M55" s="22">
        <v>7.3611111111111113E-2</v>
      </c>
      <c r="N55" s="11">
        <v>60.258329518343587</v>
      </c>
      <c r="O55" s="11">
        <f t="shared" si="16"/>
        <v>0.33565021805253625</v>
      </c>
      <c r="P55" s="11">
        <f t="shared" si="12"/>
        <v>0.11762098953274784</v>
      </c>
      <c r="Q55" s="11">
        <f t="shared" si="13"/>
        <v>7.087644345537961</v>
      </c>
      <c r="R55" s="11">
        <f t="shared" si="14"/>
        <v>-6.7519941274854247</v>
      </c>
      <c r="S55" s="11">
        <f>BSCall(N55,$B$3, $B$6 - M55,$B$8,$B$5) - BSPut(N55,$B$4, $B$7 - M55,$B$8, $B$5)</f>
        <v>0.28150482056203335</v>
      </c>
      <c r="T55" s="20">
        <f t="shared" si="15"/>
        <v>5.41453974905029E-2</v>
      </c>
    </row>
    <row r="56" spans="13:20" x14ac:dyDescent="0.25">
      <c r="M56" s="22">
        <v>7.4999999999999997E-2</v>
      </c>
      <c r="N56" s="11">
        <v>61.329746527692201</v>
      </c>
      <c r="O56" s="11">
        <f t="shared" si="16"/>
        <v>0.46152130091322352</v>
      </c>
      <c r="P56" s="11">
        <f t="shared" si="12"/>
        <v>0.16314527963009168</v>
      </c>
      <c r="Q56" s="11">
        <f t="shared" si="13"/>
        <v>10.005658646902988</v>
      </c>
      <c r="R56" s="11">
        <f t="shared" si="14"/>
        <v>-9.544137345989764</v>
      </c>
      <c r="S56" s="11">
        <f>BSCall(N56,$B$3, $B$6 - M56,$B$8,$B$5) - BSPut(N56,$B$4, $B$7 - M56,$B$8, $B$5)</f>
        <v>0.42640289902906814</v>
      </c>
      <c r="T56" s="20">
        <f t="shared" si="15"/>
        <v>3.5118401884155381E-2</v>
      </c>
    </row>
    <row r="57" spans="13:20" x14ac:dyDescent="0.25">
      <c r="M57" s="22">
        <v>7.6388888888888895E-2</v>
      </c>
      <c r="N57" s="11">
        <v>61.298300365570839</v>
      </c>
      <c r="O57" s="11">
        <f t="shared" si="16"/>
        <v>0.45617891370302566</v>
      </c>
      <c r="P57" s="11">
        <f t="shared" si="12"/>
        <v>0.16052900560711925</v>
      </c>
      <c r="Q57" s="11">
        <f t="shared" si="13"/>
        <v>9.8401552030916015</v>
      </c>
      <c r="R57" s="11">
        <f t="shared" si="14"/>
        <v>-9.3839762893885759</v>
      </c>
      <c r="S57" s="11">
        <f>BSCall(N57,$B$3, $B$6 - M57,$B$8,$B$5) - BSPut(N57,$B$4, $B$7 - M57,$B$8, $B$5)</f>
        <v>0.41610261812534899</v>
      </c>
      <c r="T57" s="20">
        <f t="shared" si="15"/>
        <v>4.0076295577676668E-2</v>
      </c>
    </row>
    <row r="58" spans="13:20" x14ac:dyDescent="0.25">
      <c r="M58" s="22">
        <v>7.7777777777777779E-2</v>
      </c>
      <c r="N58" s="11">
        <v>60.088714119855041</v>
      </c>
      <c r="O58" s="11">
        <f t="shared" si="16"/>
        <v>0.26179670135874034</v>
      </c>
      <c r="P58" s="11">
        <f t="shared" si="12"/>
        <v>0.10804262773387352</v>
      </c>
      <c r="Q58" s="11">
        <f t="shared" si="13"/>
        <v>6.4921425706586477</v>
      </c>
      <c r="R58" s="11">
        <f t="shared" si="14"/>
        <v>-6.2303458692999074</v>
      </c>
      <c r="S58" s="11">
        <f>BSCall(N58,$B$3, $B$6 - M58,$B$8,$B$5) - BSPut(N58,$B$4, $B$7 - M58,$B$8, $B$5)</f>
        <v>0.25044010550327822</v>
      </c>
      <c r="T58" s="20">
        <f t="shared" si="15"/>
        <v>1.1356595855462115E-2</v>
      </c>
    </row>
    <row r="59" spans="13:20" x14ac:dyDescent="0.25">
      <c r="M59" s="22">
        <v>7.9166666666666663E-2</v>
      </c>
      <c r="N59" s="11">
        <v>60.006318540034464</v>
      </c>
      <c r="O59" s="11">
        <f t="shared" si="16"/>
        <v>0.25275601273247261</v>
      </c>
      <c r="P59" s="11">
        <f t="shared" si="12"/>
        <v>0.10397408831165879</v>
      </c>
      <c r="Q59" s="11">
        <f t="shared" si="13"/>
        <v>6.2391022631390713</v>
      </c>
      <c r="R59" s="11">
        <f t="shared" si="14"/>
        <v>-5.9863462504065987</v>
      </c>
      <c r="S59" s="11">
        <f>BSCall(N59,$B$3, $B$6 - M59,$B$8,$B$5) - BSPut(N59,$B$4, $B$7 - M59,$B$8, $B$5)</f>
        <v>0.23788317102436182</v>
      </c>
      <c r="T59" s="20">
        <f t="shared" si="15"/>
        <v>1.487284170811079E-2</v>
      </c>
    </row>
    <row r="60" spans="13:20" x14ac:dyDescent="0.25">
      <c r="M60" s="22">
        <v>8.0555555555555561E-2</v>
      </c>
      <c r="N60" s="11">
        <v>59.758467077156048</v>
      </c>
      <c r="O60" s="11">
        <f t="shared" si="16"/>
        <v>0.22685285144818224</v>
      </c>
      <c r="P60" s="11">
        <f t="shared" ref="P60:P91" si="17">BSGreeks(N60,$B$3,$B$6 - M60,$B$8, $B$5,$G$1)</f>
        <v>9.4211313266775079E-2</v>
      </c>
      <c r="Q60" s="11">
        <f t="shared" si="13"/>
        <v>5.6299236621482134</v>
      </c>
      <c r="R60" s="11">
        <f t="shared" si="14"/>
        <v>-5.4030708107000311</v>
      </c>
      <c r="S60" s="11">
        <f t="shared" ref="S60:S91" si="18">BSCall(N60,$B$3, $B$6 - M60,$B$8, $B$5)</f>
        <v>0.20969469480916478</v>
      </c>
      <c r="T60" s="20">
        <f t="shared" si="15"/>
        <v>1.7158156639017458E-2</v>
      </c>
    </row>
    <row r="61" spans="13:20" x14ac:dyDescent="0.25">
      <c r="M61" s="22">
        <v>8.1944444444444445E-2</v>
      </c>
      <c r="N61" s="11">
        <v>60.063795151231453</v>
      </c>
      <c r="O61" s="11">
        <f t="shared" si="16"/>
        <v>0.25549814070970278</v>
      </c>
      <c r="P61" s="11">
        <f t="shared" si="17"/>
        <v>0.10399089829160162</v>
      </c>
      <c r="Q61" s="11">
        <f t="shared" si="13"/>
        <v>6.2460880125793041</v>
      </c>
      <c r="R61" s="11">
        <f t="shared" si="14"/>
        <v>-5.9905898718696013</v>
      </c>
      <c r="S61" s="11">
        <f t="shared" si="18"/>
        <v>0.23627793470218111</v>
      </c>
      <c r="T61" s="20">
        <f t="shared" si="15"/>
        <v>1.9220206007521667E-2</v>
      </c>
    </row>
    <row r="62" spans="13:20" x14ac:dyDescent="0.25">
      <c r="M62" s="22">
        <v>8.3333333333333343E-2</v>
      </c>
      <c r="N62" s="11">
        <v>60.617292062891984</v>
      </c>
      <c r="O62" s="11">
        <f t="shared" si="16"/>
        <v>0.31292365605636618</v>
      </c>
      <c r="P62" s="11">
        <f t="shared" si="17"/>
        <v>0.12452969864557423</v>
      </c>
      <c r="Q62" s="11">
        <f t="shared" si="13"/>
        <v>7.5486531133026968</v>
      </c>
      <c r="R62" s="11">
        <f t="shared" si="14"/>
        <v>-7.2357294572463307</v>
      </c>
      <c r="S62" s="11">
        <f t="shared" si="18"/>
        <v>0.29530203423558637</v>
      </c>
      <c r="T62" s="20">
        <f t="shared" si="15"/>
        <v>1.7621621820779809E-2</v>
      </c>
    </row>
    <row r="63" spans="13:20" x14ac:dyDescent="0.25">
      <c r="M63" s="22">
        <v>8.4722222222222227E-2</v>
      </c>
      <c r="N63" s="11">
        <v>61.035551456864951</v>
      </c>
      <c r="O63" s="11">
        <f t="shared" si="16"/>
        <v>0.36484857656894931</v>
      </c>
      <c r="P63" s="11">
        <f t="shared" si="17"/>
        <v>0.14152015872111137</v>
      </c>
      <c r="Q63" s="11">
        <f t="shared" si="13"/>
        <v>8.6377609298060882</v>
      </c>
      <c r="R63" s="11">
        <f t="shared" si="14"/>
        <v>-8.2729123532371389</v>
      </c>
      <c r="S63" s="11">
        <f t="shared" si="18"/>
        <v>0.34626251963239724</v>
      </c>
      <c r="T63" s="20">
        <f t="shared" si="15"/>
        <v>1.8586056936552076E-2</v>
      </c>
    </row>
    <row r="64" spans="13:20" x14ac:dyDescent="0.25">
      <c r="M64" s="22">
        <v>8.611111111111111E-2</v>
      </c>
      <c r="N64" s="11">
        <v>60.6150517868709</v>
      </c>
      <c r="O64" s="11">
        <f t="shared" si="16"/>
        <v>0.30515555198976863</v>
      </c>
      <c r="P64" s="11">
        <f t="shared" si="17"/>
        <v>0.12220073124724221</v>
      </c>
      <c r="Q64" s="11">
        <f t="shared" si="13"/>
        <v>7.4072036529450793</v>
      </c>
      <c r="R64" s="11">
        <f t="shared" si="14"/>
        <v>-7.1020481009553107</v>
      </c>
      <c r="S64" s="11">
        <f t="shared" si="18"/>
        <v>0.28625849136564396</v>
      </c>
      <c r="T64" s="20">
        <f t="shared" si="15"/>
        <v>1.8897060624124662E-2</v>
      </c>
    </row>
    <row r="65" spans="13:20" x14ac:dyDescent="0.25">
      <c r="M65" s="22">
        <v>8.7500000000000008E-2</v>
      </c>
      <c r="N65" s="11">
        <v>60.059327072867035</v>
      </c>
      <c r="O65" s="11">
        <f t="shared" si="16"/>
        <v>0.23708776052159575</v>
      </c>
      <c r="P65" s="11">
        <f t="shared" si="17"/>
        <v>9.9591872455184E-2</v>
      </c>
      <c r="Q65" s="11">
        <f t="shared" si="13"/>
        <v>5.9814208415851535</v>
      </c>
      <c r="R65" s="11">
        <f t="shared" si="14"/>
        <v>-5.7443330810635578</v>
      </c>
      <c r="S65" s="11">
        <f t="shared" si="18"/>
        <v>0.22070788429174035</v>
      </c>
      <c r="T65" s="20">
        <f t="shared" si="15"/>
        <v>1.63798762298554E-2</v>
      </c>
    </row>
    <row r="66" spans="13:20" x14ac:dyDescent="0.25">
      <c r="M66" s="22">
        <v>8.8888888888888892E-2</v>
      </c>
      <c r="N66" s="11">
        <v>59.024125083547254</v>
      </c>
      <c r="O66" s="11">
        <f t="shared" si="16"/>
        <v>0.13386240277129779</v>
      </c>
      <c r="P66" s="11">
        <f t="shared" si="17"/>
        <v>6.5955676775343849E-2</v>
      </c>
      <c r="Q66" s="11">
        <f t="shared" ref="Q66:Q97" si="19">N66*P66</f>
        <v>3.8929761159579082</v>
      </c>
      <c r="R66" s="11">
        <f t="shared" ref="R66:R97" si="20">O66 - Q66</f>
        <v>-3.7591137131866104</v>
      </c>
      <c r="S66" s="11">
        <f t="shared" si="18"/>
        <v>0.13263243640769995</v>
      </c>
      <c r="T66" s="20">
        <f t="shared" ref="T66:T97" si="21">O66 - S66</f>
        <v>1.2299663635978453E-3</v>
      </c>
    </row>
    <row r="67" spans="13:20" x14ac:dyDescent="0.25">
      <c r="M67" s="22">
        <v>9.0277777777777776E-2</v>
      </c>
      <c r="N67" s="11">
        <v>58.572583457955453</v>
      </c>
      <c r="O67" s="11">
        <f t="shared" ref="O67:O98" si="22" xml:space="preserve"> P66*N67 + R66* EXP($B$8*(M67 - M66))</f>
        <v>0.10399713247467535</v>
      </c>
      <c r="P67" s="11">
        <f t="shared" si="17"/>
        <v>5.3715665221380264E-2</v>
      </c>
      <c r="Q67" s="11">
        <f t="shared" si="19"/>
        <v>3.1462652841788907</v>
      </c>
      <c r="R67" s="11">
        <f t="shared" si="20"/>
        <v>-3.0422681517042154</v>
      </c>
      <c r="S67" s="11">
        <f t="shared" si="18"/>
        <v>0.10318737832202633</v>
      </c>
      <c r="T67" s="20">
        <f t="shared" si="21"/>
        <v>8.0975415264901429E-4</v>
      </c>
    </row>
    <row r="68" spans="13:20" x14ac:dyDescent="0.25">
      <c r="M68" s="22">
        <v>9.1666666666666674E-2</v>
      </c>
      <c r="N68" s="11">
        <v>58.437544469416359</v>
      </c>
      <c r="O68" s="11">
        <f t="shared" si="22"/>
        <v>9.6675816664366199E-2</v>
      </c>
      <c r="P68" s="11">
        <f t="shared" si="17"/>
        <v>4.9827988681858663E-2</v>
      </c>
      <c r="Q68" s="11">
        <f t="shared" si="19"/>
        <v>2.9118253044176905</v>
      </c>
      <c r="R68" s="11">
        <f t="shared" si="20"/>
        <v>-2.8151494877533243</v>
      </c>
      <c r="S68" s="11">
        <f t="shared" si="18"/>
        <v>9.3973239493192959E-2</v>
      </c>
      <c r="T68" s="20">
        <f t="shared" si="21"/>
        <v>2.7025771711732399E-3</v>
      </c>
    </row>
    <row r="69" spans="13:20" x14ac:dyDescent="0.25">
      <c r="M69" s="22">
        <v>9.3055555555555558E-2</v>
      </c>
      <c r="N69" s="11">
        <v>58.053452026101901</v>
      </c>
      <c r="O69" s="11">
        <f t="shared" si="22"/>
        <v>7.747470317349725E-2</v>
      </c>
      <c r="P69" s="11">
        <f t="shared" si="17"/>
        <v>4.1136010918399496E-2</v>
      </c>
      <c r="Q69" s="11">
        <f t="shared" si="19"/>
        <v>2.3880874363965092</v>
      </c>
      <c r="R69" s="11">
        <f t="shared" si="20"/>
        <v>-2.310612733223012</v>
      </c>
      <c r="S69" s="11">
        <f t="shared" si="18"/>
        <v>7.4541891040354344E-2</v>
      </c>
      <c r="T69" s="20">
        <f t="shared" si="21"/>
        <v>2.9328121331429063E-3</v>
      </c>
    </row>
    <row r="70" spans="13:20" x14ac:dyDescent="0.25">
      <c r="M70" s="22">
        <v>9.4444444444444442E-2</v>
      </c>
      <c r="N70" s="11">
        <v>58.939258906438504</v>
      </c>
      <c r="O70" s="11">
        <f t="shared" si="22"/>
        <v>0.11386191715446436</v>
      </c>
      <c r="P70" s="11">
        <f t="shared" si="17"/>
        <v>6.0086096017015291E-2</v>
      </c>
      <c r="Q70" s="11">
        <f t="shared" si="19"/>
        <v>3.5414299698239877</v>
      </c>
      <c r="R70" s="11">
        <f t="shared" si="20"/>
        <v>-3.4275680526695234</v>
      </c>
      <c r="S70" s="11">
        <f t="shared" si="18"/>
        <v>0.11677586993909418</v>
      </c>
      <c r="T70" s="20">
        <f t="shared" si="21"/>
        <v>-2.9139527846298169E-3</v>
      </c>
    </row>
    <row r="71" spans="13:20" x14ac:dyDescent="0.25">
      <c r="M71" s="22">
        <v>9.583333333333334E-2</v>
      </c>
      <c r="N71" s="11">
        <v>59.43982418426161</v>
      </c>
      <c r="O71" s="11">
        <f t="shared" si="22"/>
        <v>0.14386276147526011</v>
      </c>
      <c r="P71" s="11">
        <f t="shared" si="17"/>
        <v>7.2976188019398647E-2</v>
      </c>
      <c r="Q71" s="11">
        <f t="shared" si="19"/>
        <v>4.3376917855106738</v>
      </c>
      <c r="R71" s="11">
        <f t="shared" si="20"/>
        <v>-4.1938290240354137</v>
      </c>
      <c r="S71" s="11">
        <f t="shared" si="18"/>
        <v>0.14722275707509647</v>
      </c>
      <c r="T71" s="20">
        <f t="shared" si="21"/>
        <v>-3.3599955998363518E-3</v>
      </c>
    </row>
    <row r="72" spans="13:20" x14ac:dyDescent="0.25">
      <c r="M72" s="22">
        <v>9.7222222222222224E-2</v>
      </c>
      <c r="N72" s="11">
        <v>59.532295473924115</v>
      </c>
      <c r="O72" s="11">
        <f t="shared" si="22"/>
        <v>0.15051776646001258</v>
      </c>
      <c r="P72" s="11">
        <f t="shared" si="17"/>
        <v>7.4746236552362691E-2</v>
      </c>
      <c r="Q72" s="11">
        <f t="shared" si="19"/>
        <v>4.4498150399990823</v>
      </c>
      <c r="R72" s="11">
        <f t="shared" si="20"/>
        <v>-4.2992972735390698</v>
      </c>
      <c r="S72" s="11">
        <f t="shared" si="18"/>
        <v>0.15100758079804613</v>
      </c>
      <c r="T72" s="20">
        <f t="shared" si="21"/>
        <v>-4.8981433803355068E-4</v>
      </c>
    </row>
    <row r="73" spans="13:20" x14ac:dyDescent="0.25">
      <c r="M73" s="22">
        <v>9.8611111111111122E-2</v>
      </c>
      <c r="N73" s="11">
        <v>59.804750248470029</v>
      </c>
      <c r="O73" s="11">
        <f t="shared" si="22"/>
        <v>0.17078719448706803</v>
      </c>
      <c r="P73" s="11">
        <f t="shared" si="17"/>
        <v>8.2281472813554718E-2</v>
      </c>
      <c r="Q73" s="11">
        <f t="shared" si="19"/>
        <v>4.9208229316909167</v>
      </c>
      <c r="R73" s="11">
        <f t="shared" si="20"/>
        <v>-4.7500357372038486</v>
      </c>
      <c r="S73" s="11">
        <f t="shared" si="18"/>
        <v>0.16917240799014052</v>
      </c>
      <c r="T73" s="20">
        <f t="shared" si="21"/>
        <v>1.6147864969275061E-3</v>
      </c>
    </row>
    <row r="74" spans="13:20" x14ac:dyDescent="0.25">
      <c r="M74" s="22">
        <v>0.1</v>
      </c>
      <c r="N74" s="11">
        <v>59.334413538941682</v>
      </c>
      <c r="O74" s="11">
        <f t="shared" si="22"/>
        <v>0.1319816397862219</v>
      </c>
      <c r="P74" s="11">
        <f t="shared" si="17"/>
        <v>6.6951701760344803E-2</v>
      </c>
      <c r="Q74" s="11">
        <f t="shared" si="19"/>
        <v>3.9725399593841884</v>
      </c>
      <c r="R74" s="11">
        <f t="shared" si="20"/>
        <v>-3.8405583195979665</v>
      </c>
      <c r="S74" s="11">
        <f t="shared" si="18"/>
        <v>0.13106832844895452</v>
      </c>
      <c r="T74" s="20">
        <f t="shared" si="21"/>
        <v>9.1331133726738067E-4</v>
      </c>
    </row>
    <row r="75" spans="13:20" x14ac:dyDescent="0.25">
      <c r="M75" s="22">
        <v>0.10138888888888889</v>
      </c>
      <c r="N75" s="11">
        <v>59.048191007112557</v>
      </c>
      <c r="O75" s="11">
        <f t="shared" si="22"/>
        <v>0.11273320750937943</v>
      </c>
      <c r="P75" s="11">
        <f t="shared" si="17"/>
        <v>5.8296077526366799E-2</v>
      </c>
      <c r="Q75" s="11">
        <f t="shared" si="19"/>
        <v>3.4422779207423484</v>
      </c>
      <c r="R75" s="11">
        <f t="shared" si="20"/>
        <v>-3.329544713232969</v>
      </c>
      <c r="S75" s="11">
        <f t="shared" si="18"/>
        <v>0.11046582601824657</v>
      </c>
      <c r="T75" s="20">
        <f t="shared" si="21"/>
        <v>2.2673814911328555E-3</v>
      </c>
    </row>
    <row r="76" spans="13:20" x14ac:dyDescent="0.25">
      <c r="M76" s="22">
        <v>0.10277777777777779</v>
      </c>
      <c r="N76" s="11">
        <v>58.21010502189629</v>
      </c>
      <c r="O76" s="11">
        <f t="shared" si="22"/>
        <v>6.3802091236818903E-2</v>
      </c>
      <c r="P76" s="11">
        <f t="shared" si="17"/>
        <v>3.8903424118485914E-2</v>
      </c>
      <c r="Q76" s="11">
        <f t="shared" si="19"/>
        <v>2.264572403648438</v>
      </c>
      <c r="R76" s="11">
        <f t="shared" si="20"/>
        <v>-2.2007703124116191</v>
      </c>
      <c r="S76" s="11">
        <f t="shared" si="18"/>
        <v>6.7965207305998671E-2</v>
      </c>
      <c r="T76" s="20">
        <f t="shared" si="21"/>
        <v>-4.1631160691797675E-3</v>
      </c>
    </row>
    <row r="77" spans="13:20" x14ac:dyDescent="0.25">
      <c r="M77" s="22">
        <v>0.10416666666666667</v>
      </c>
      <c r="N77" s="11">
        <v>58.621796500931737</v>
      </c>
      <c r="O77" s="11">
        <f t="shared" si="22"/>
        <v>7.9769392901355207E-2</v>
      </c>
      <c r="P77" s="11">
        <f t="shared" si="17"/>
        <v>4.6448200227920282E-2</v>
      </c>
      <c r="Q77" s="11">
        <f t="shared" si="19"/>
        <v>2.7228769415956737</v>
      </c>
      <c r="R77" s="11">
        <f t="shared" si="20"/>
        <v>-2.6431075486943185</v>
      </c>
      <c r="S77" s="11">
        <f t="shared" si="18"/>
        <v>8.3522156037201603E-2</v>
      </c>
      <c r="T77" s="20">
        <f t="shared" si="21"/>
        <v>-3.7527631358463959E-3</v>
      </c>
    </row>
    <row r="78" spans="13:20" x14ac:dyDescent="0.25">
      <c r="M78" s="22">
        <v>0.10555555555555556</v>
      </c>
      <c r="N78" s="11">
        <v>58.965503264135499</v>
      </c>
      <c r="O78" s="11">
        <f t="shared" si="22"/>
        <v>9.5675217082406228E-2</v>
      </c>
      <c r="P78" s="11">
        <f t="shared" si="17"/>
        <v>5.3467824288368444E-2</v>
      </c>
      <c r="Q78" s="11">
        <f t="shared" si="19"/>
        <v>3.152757167602013</v>
      </c>
      <c r="R78" s="11">
        <f t="shared" si="20"/>
        <v>-3.0570819505196067</v>
      </c>
      <c r="S78" s="11">
        <f t="shared" si="18"/>
        <v>9.8400258291034104E-2</v>
      </c>
      <c r="T78" s="20">
        <f t="shared" si="21"/>
        <v>-2.7250412086278764E-3</v>
      </c>
    </row>
    <row r="79" spans="13:20" x14ac:dyDescent="0.25">
      <c r="M79" s="22">
        <v>0.10694444444444445</v>
      </c>
      <c r="N79" s="11">
        <v>59.323003010919003</v>
      </c>
      <c r="O79" s="11">
        <f t="shared" si="22"/>
        <v>0.11472201481726652</v>
      </c>
      <c r="P79" s="11">
        <f t="shared" si="17"/>
        <v>6.1697072024938356E-2</v>
      </c>
      <c r="Q79" s="11">
        <f t="shared" si="19"/>
        <v>3.6600555895003044</v>
      </c>
      <c r="R79" s="11">
        <f t="shared" si="20"/>
        <v>-3.5453335746830379</v>
      </c>
      <c r="S79" s="11">
        <f t="shared" si="18"/>
        <v>0.11638860498636815</v>
      </c>
      <c r="T79" s="20">
        <f t="shared" si="21"/>
        <v>-1.666590169101631E-3</v>
      </c>
    </row>
    <row r="80" spans="13:20" x14ac:dyDescent="0.25">
      <c r="M80" s="22">
        <v>0.10833333333333334</v>
      </c>
      <c r="N80" s="11">
        <v>59.133086830475072</v>
      </c>
      <c r="O80" s="11">
        <f t="shared" si="22"/>
        <v>0.1029259564877707</v>
      </c>
      <c r="P80" s="11">
        <f t="shared" si="17"/>
        <v>5.5751177864723188E-2</v>
      </c>
      <c r="Q80" s="11">
        <f t="shared" si="19"/>
        <v>3.2967392415759362</v>
      </c>
      <c r="R80" s="11">
        <f t="shared" si="20"/>
        <v>-3.1938132850881655</v>
      </c>
      <c r="S80" s="11">
        <f t="shared" si="18"/>
        <v>0.1026150521123783</v>
      </c>
      <c r="T80" s="20">
        <f t="shared" si="21"/>
        <v>3.1090437539239846E-4</v>
      </c>
    </row>
    <row r="81" spans="13:20" x14ac:dyDescent="0.25">
      <c r="M81" s="22">
        <v>0.10972222222222222</v>
      </c>
      <c r="N81" s="11">
        <v>59.08006453426831</v>
      </c>
      <c r="O81" s="11">
        <f t="shared" si="22"/>
        <v>9.9898926603992244E-2</v>
      </c>
      <c r="P81" s="11">
        <f t="shared" si="17"/>
        <v>5.3483263535083155E-2</v>
      </c>
      <c r="Q81" s="11">
        <f t="shared" si="19"/>
        <v>3.1597946611559919</v>
      </c>
      <c r="R81" s="11">
        <f t="shared" si="20"/>
        <v>-3.0598957345519997</v>
      </c>
      <c r="S81" s="11">
        <f t="shared" si="18"/>
        <v>9.7231173831916526E-2</v>
      </c>
      <c r="T81" s="20">
        <f t="shared" si="21"/>
        <v>2.6677527720757183E-3</v>
      </c>
    </row>
    <row r="82" spans="13:20" x14ac:dyDescent="0.25">
      <c r="M82" s="22">
        <v>0.11111111111111112</v>
      </c>
      <c r="N82" s="11">
        <v>59.142406840267299</v>
      </c>
      <c r="O82" s="11">
        <f t="shared" si="22"/>
        <v>0.10316519814659575</v>
      </c>
      <c r="P82" s="11">
        <f t="shared" si="17"/>
        <v>5.4077676152802047E-2</v>
      </c>
      <c r="Q82" s="11">
        <f t="shared" si="19"/>
        <v>3.1982839240052394</v>
      </c>
      <c r="R82" s="11">
        <f t="shared" si="20"/>
        <v>-3.0951187258586437</v>
      </c>
      <c r="S82" s="11">
        <f t="shared" si="18"/>
        <v>9.8113955280010628E-2</v>
      </c>
      <c r="T82" s="20">
        <f t="shared" si="21"/>
        <v>5.0512428665851206E-3</v>
      </c>
    </row>
    <row r="83" spans="13:20" x14ac:dyDescent="0.25">
      <c r="M83" s="22">
        <v>0.1125</v>
      </c>
      <c r="N83" s="11">
        <v>59.519996195836299</v>
      </c>
      <c r="O83" s="11">
        <f t="shared" si="22"/>
        <v>0.12351557185543927</v>
      </c>
      <c r="P83" s="11">
        <f t="shared" si="17"/>
        <v>6.3071042922596215E-2</v>
      </c>
      <c r="Q83" s="11">
        <f t="shared" si="19"/>
        <v>3.7539882348203548</v>
      </c>
      <c r="R83" s="11">
        <f t="shared" si="20"/>
        <v>-3.6304726629649156</v>
      </c>
      <c r="S83" s="11">
        <f t="shared" si="18"/>
        <v>0.11753368897933246</v>
      </c>
      <c r="T83" s="20">
        <f t="shared" si="21"/>
        <v>5.981882876106806E-3</v>
      </c>
    </row>
    <row r="84" spans="13:20" x14ac:dyDescent="0.25">
      <c r="M84" s="22">
        <v>0.11388888888888889</v>
      </c>
      <c r="N84" s="11">
        <v>59.592784703774548</v>
      </c>
      <c r="O84" s="11">
        <f t="shared" si="22"/>
        <v>0.128025740897177</v>
      </c>
      <c r="P84" s="11">
        <f t="shared" si="17"/>
        <v>6.4080822053816669E-2</v>
      </c>
      <c r="Q84" s="11">
        <f t="shared" si="19"/>
        <v>3.8187546322939845</v>
      </c>
      <c r="R84" s="11">
        <f t="shared" si="20"/>
        <v>-3.6907288913968075</v>
      </c>
      <c r="S84" s="11">
        <f t="shared" si="18"/>
        <v>0.11929252048923597</v>
      </c>
      <c r="T84" s="20">
        <f t="shared" si="21"/>
        <v>8.7332204079410281E-3</v>
      </c>
    </row>
    <row r="85" spans="13:20" x14ac:dyDescent="0.25">
      <c r="M85" s="22">
        <v>0.11527777777777778</v>
      </c>
      <c r="N85" s="11">
        <v>59.22593232742674</v>
      </c>
      <c r="O85" s="11">
        <f t="shared" si="22"/>
        <v>0.10443552193952943</v>
      </c>
      <c r="P85" s="11">
        <f t="shared" si="17"/>
        <v>5.3262357350887878E-2</v>
      </c>
      <c r="Q85" s="11">
        <f t="shared" si="19"/>
        <v>3.1545127720629056</v>
      </c>
      <c r="R85" s="11">
        <f t="shared" si="20"/>
        <v>-3.0500772501233762</v>
      </c>
      <c r="S85" s="11">
        <f t="shared" si="18"/>
        <v>9.5116783382943104E-2</v>
      </c>
      <c r="T85" s="20">
        <f t="shared" si="21"/>
        <v>9.3187385565863257E-3</v>
      </c>
    </row>
    <row r="86" spans="13:20" x14ac:dyDescent="0.25">
      <c r="M86" s="22">
        <v>0.11666666666666667</v>
      </c>
      <c r="N86" s="11">
        <v>58.867560197229146</v>
      </c>
      <c r="O86" s="11">
        <f t="shared" si="22"/>
        <v>8.5279997228788762E-2</v>
      </c>
      <c r="P86" s="11">
        <f t="shared" si="17"/>
        <v>4.3986430099840608E-2</v>
      </c>
      <c r="Q86" s="11">
        <f t="shared" si="19"/>
        <v>2.5893738217635791</v>
      </c>
      <c r="R86" s="11">
        <f t="shared" si="20"/>
        <v>-2.5040938245347903</v>
      </c>
      <c r="S86" s="11">
        <f t="shared" si="18"/>
        <v>7.5412473048263845E-2</v>
      </c>
      <c r="T86" s="20">
        <f t="shared" si="21"/>
        <v>9.867524180524917E-3</v>
      </c>
    </row>
    <row r="87" spans="13:20" x14ac:dyDescent="0.25">
      <c r="M87" s="22">
        <v>0.11805555555555557</v>
      </c>
      <c r="N87" s="11">
        <v>58.71707242467334</v>
      </c>
      <c r="O87" s="11">
        <f t="shared" si="22"/>
        <v>7.8604930192648581E-2</v>
      </c>
      <c r="P87" s="11">
        <f t="shared" si="17"/>
        <v>3.9967155736039567E-2</v>
      </c>
      <c r="Q87" s="11">
        <f t="shared" si="19"/>
        <v>2.3467543779612337</v>
      </c>
      <c r="R87" s="11">
        <f t="shared" si="20"/>
        <v>-2.2681494477685851</v>
      </c>
      <c r="S87" s="11">
        <f t="shared" si="18"/>
        <v>6.7037319018641808E-2</v>
      </c>
      <c r="T87" s="20">
        <f t="shared" si="21"/>
        <v>1.1567611174006773E-2</v>
      </c>
    </row>
    <row r="88" spans="13:20" x14ac:dyDescent="0.25">
      <c r="M88" s="22">
        <v>0.11944444444444445</v>
      </c>
      <c r="N88" s="11">
        <v>58.799492318645953</v>
      </c>
      <c r="O88" s="11">
        <f t="shared" si="22"/>
        <v>8.1848615049697759E-2</v>
      </c>
      <c r="P88" s="11">
        <f t="shared" si="17"/>
        <v>4.0785873624953742E-2</v>
      </c>
      <c r="Q88" s="11">
        <f t="shared" si="19"/>
        <v>2.3981886629197322</v>
      </c>
      <c r="R88" s="11">
        <f t="shared" si="20"/>
        <v>-2.3163400478700344</v>
      </c>
      <c r="S88" s="11">
        <f t="shared" si="18"/>
        <v>6.8357864161524853E-2</v>
      </c>
      <c r="T88" s="20">
        <f t="shared" si="21"/>
        <v>1.3490750888172906E-2</v>
      </c>
    </row>
    <row r="89" spans="13:20" x14ac:dyDescent="0.25">
      <c r="M89" s="22">
        <v>0.12083333333333333</v>
      </c>
      <c r="N89" s="11">
        <v>58.62501968116073</v>
      </c>
      <c r="O89" s="11">
        <f t="shared" si="22"/>
        <v>7.4681121310987031E-2</v>
      </c>
      <c r="P89" s="11">
        <f t="shared" si="17"/>
        <v>3.6485281161155354E-2</v>
      </c>
      <c r="Q89" s="11">
        <f t="shared" si="19"/>
        <v>2.1389503261454155</v>
      </c>
      <c r="R89" s="11">
        <f t="shared" si="20"/>
        <v>-2.0642692048344284</v>
      </c>
      <c r="S89" s="11">
        <f t="shared" si="18"/>
        <v>5.9678505665321152E-2</v>
      </c>
      <c r="T89" s="20">
        <f t="shared" si="21"/>
        <v>1.5002615645665879E-2</v>
      </c>
    </row>
    <row r="90" spans="13:20" x14ac:dyDescent="0.25">
      <c r="M90" s="22">
        <v>0.12222222222222223</v>
      </c>
      <c r="N90" s="11">
        <v>58.657268504223374</v>
      </c>
      <c r="O90" s="11">
        <f t="shared" si="22"/>
        <v>7.581185552884806E-2</v>
      </c>
      <c r="P90" s="11">
        <f t="shared" si="17"/>
        <v>3.6267922591653463E-2</v>
      </c>
      <c r="Q90" s="11">
        <f t="shared" si="19"/>
        <v>2.1273772735490062</v>
      </c>
      <c r="R90" s="11">
        <f t="shared" si="20"/>
        <v>-2.0515654180201581</v>
      </c>
      <c r="S90" s="11">
        <f t="shared" si="18"/>
        <v>5.8993308307399718E-2</v>
      </c>
      <c r="T90" s="20">
        <f t="shared" si="21"/>
        <v>1.6818547221448342E-2</v>
      </c>
    </row>
    <row r="91" spans="13:20" x14ac:dyDescent="0.25">
      <c r="M91" s="22">
        <v>0.12361111111111112</v>
      </c>
      <c r="N91" s="11">
        <v>58.576429450558656</v>
      </c>
      <c r="O91" s="11">
        <f t="shared" si="22"/>
        <v>7.2834400138967581E-2</v>
      </c>
      <c r="P91" s="11">
        <f t="shared" si="17"/>
        <v>3.3949294837404047E-2</v>
      </c>
      <c r="Q91" s="11">
        <f t="shared" si="19"/>
        <v>1.9886284739394133</v>
      </c>
      <c r="R91" s="11">
        <f t="shared" si="20"/>
        <v>-1.9157940738004458</v>
      </c>
      <c r="S91" s="11">
        <f t="shared" si="18"/>
        <v>5.434261340923463E-2</v>
      </c>
      <c r="T91" s="20">
        <f t="shared" si="21"/>
        <v>1.8491786729732951E-2</v>
      </c>
    </row>
    <row r="92" spans="13:20" x14ac:dyDescent="0.25">
      <c r="M92" s="22">
        <v>0.125</v>
      </c>
      <c r="N92" s="11">
        <v>58.658088452598385</v>
      </c>
      <c r="O92" s="11">
        <f t="shared" si="22"/>
        <v>7.5564092000663496E-2</v>
      </c>
      <c r="P92" s="11">
        <f t="shared" ref="P92:P123" si="23">BSGreeks(N92,$B$3,$B$6 - M92,$B$8, $B$5,$G$1)</f>
        <v>3.4623889543902261E-2</v>
      </c>
      <c r="Q92" s="11">
        <f t="shared" si="19"/>
        <v>2.0309711754392152</v>
      </c>
      <c r="R92" s="11">
        <f t="shared" si="20"/>
        <v>-1.9554070834385517</v>
      </c>
      <c r="S92" s="11">
        <f t="shared" ref="S92:S123" si="24">BSCall(N92,$B$3, $B$6 - M92,$B$8, $B$5)</f>
        <v>5.5354302883975082E-2</v>
      </c>
      <c r="T92" s="20">
        <f t="shared" si="21"/>
        <v>2.0209789116688415E-2</v>
      </c>
    </row>
    <row r="93" spans="13:20" x14ac:dyDescent="0.25">
      <c r="M93" s="22">
        <v>0.12638888888888888</v>
      </c>
      <c r="N93" s="11">
        <v>57.940433668915198</v>
      </c>
      <c r="O93" s="11">
        <f t="shared" si="22"/>
        <v>5.0672638066200815E-2</v>
      </c>
      <c r="P93" s="11">
        <f t="shared" si="23"/>
        <v>2.2601847792402579E-2</v>
      </c>
      <c r="Q93" s="11">
        <f t="shared" si="19"/>
        <v>1.309560862810619</v>
      </c>
      <c r="R93" s="11">
        <f t="shared" si="20"/>
        <v>-1.2588882247444182</v>
      </c>
      <c r="S93" s="11">
        <f t="shared" si="24"/>
        <v>3.35363418654658E-2</v>
      </c>
      <c r="T93" s="20">
        <f t="shared" si="21"/>
        <v>1.7136296200735014E-2</v>
      </c>
    </row>
    <row r="94" spans="13:20" x14ac:dyDescent="0.25">
      <c r="M94" s="22">
        <v>0.1277777777777778</v>
      </c>
      <c r="N94" s="11">
        <v>57.993371967897282</v>
      </c>
      <c r="O94" s="11">
        <f t="shared" si="22"/>
        <v>5.1841165837460679E-2</v>
      </c>
      <c r="P94" s="11">
        <f t="shared" si="23"/>
        <v>2.2655542873184172E-2</v>
      </c>
      <c r="Q94" s="11">
        <f t="shared" si="19"/>
        <v>1.313871324979214</v>
      </c>
      <c r="R94" s="11">
        <f t="shared" si="20"/>
        <v>-1.2620301591417533</v>
      </c>
      <c r="S94" s="11">
        <f t="shared" si="24"/>
        <v>3.3471603710341288E-2</v>
      </c>
      <c r="T94" s="20">
        <f t="shared" si="21"/>
        <v>1.836956212711939E-2</v>
      </c>
    </row>
    <row r="95" spans="13:20" x14ac:dyDescent="0.25">
      <c r="M95" s="22">
        <v>0.12916666666666668</v>
      </c>
      <c r="N95" s="11">
        <v>57.64078183019403</v>
      </c>
      <c r="O95" s="11">
        <f t="shared" si="22"/>
        <v>4.382499942980056E-2</v>
      </c>
      <c r="P95" s="11">
        <f t="shared" si="23"/>
        <v>1.7791344411275823E-2</v>
      </c>
      <c r="Q95" s="11">
        <f t="shared" si="19"/>
        <v>1.0255070016761916</v>
      </c>
      <c r="R95" s="11">
        <f t="shared" si="20"/>
        <v>-0.98168200224639102</v>
      </c>
      <c r="S95" s="11">
        <f t="shared" si="24"/>
        <v>2.522073047588275E-2</v>
      </c>
      <c r="T95" s="20">
        <f t="shared" si="21"/>
        <v>1.860426895391781E-2</v>
      </c>
    </row>
    <row r="96" spans="13:20" x14ac:dyDescent="0.25">
      <c r="M96" s="22">
        <v>0.13055555555555556</v>
      </c>
      <c r="N96" s="11">
        <v>58.407940390790834</v>
      </c>
      <c r="O96" s="11">
        <f t="shared" si="22"/>
        <v>5.7451966201438998E-2</v>
      </c>
      <c r="P96" s="11">
        <f t="shared" si="23"/>
        <v>2.7221693763285201E-2</v>
      </c>
      <c r="Q96" s="11">
        <f t="shared" si="19"/>
        <v>1.5899630666623246</v>
      </c>
      <c r="R96" s="11">
        <f t="shared" si="20"/>
        <v>-1.5325111004608856</v>
      </c>
      <c r="S96" s="11">
        <f t="shared" si="24"/>
        <v>4.1014842757575887E-2</v>
      </c>
      <c r="T96" s="20">
        <f t="shared" si="21"/>
        <v>1.6437123443863111E-2</v>
      </c>
    </row>
    <row r="97" spans="13:20" x14ac:dyDescent="0.25">
      <c r="M97" s="22">
        <v>0.13194444444444445</v>
      </c>
      <c r="N97" s="11">
        <v>59.061787101216147</v>
      </c>
      <c r="O97" s="11">
        <f t="shared" si="22"/>
        <v>7.5216724940135427E-2</v>
      </c>
      <c r="P97" s="11">
        <f t="shared" si="23"/>
        <v>3.8089386818029952E-2</v>
      </c>
      <c r="Q97" s="11">
        <f t="shared" si="19"/>
        <v>2.2496272550623537</v>
      </c>
      <c r="R97" s="11">
        <f t="shared" si="20"/>
        <v>-2.1744105301222181</v>
      </c>
      <c r="S97" s="11">
        <f t="shared" si="24"/>
        <v>6.0446022504976403E-2</v>
      </c>
      <c r="T97" s="20">
        <f t="shared" si="21"/>
        <v>1.4770702435159024E-2</v>
      </c>
    </row>
    <row r="98" spans="13:20" x14ac:dyDescent="0.25">
      <c r="M98" s="22">
        <v>0.13333333333333333</v>
      </c>
      <c r="N98" s="11">
        <v>60.135425221915881</v>
      </c>
      <c r="O98" s="11">
        <f t="shared" si="22"/>
        <v>0.11606262185115268</v>
      </c>
      <c r="P98" s="11">
        <f t="shared" si="23"/>
        <v>6.4149330281341274E-2</v>
      </c>
      <c r="Q98" s="11">
        <f t="shared" ref="Q98:Q129" si="25">N98*P98</f>
        <v>3.8576472541695823</v>
      </c>
      <c r="R98" s="11">
        <f t="shared" ref="R98:R129" si="26">O98 - Q98</f>
        <v>-3.7415846323184296</v>
      </c>
      <c r="S98" s="11">
        <f t="shared" si="24"/>
        <v>0.11182006799346303</v>
      </c>
      <c r="T98" s="20">
        <f t="shared" ref="T98:T129" si="27">O98 - S98</f>
        <v>4.2425538576896515E-3</v>
      </c>
    </row>
    <row r="99" spans="13:20" x14ac:dyDescent="0.25">
      <c r="M99" s="22">
        <v>0.13472222222222222</v>
      </c>
      <c r="N99" s="11">
        <v>60.581738694520844</v>
      </c>
      <c r="O99" s="11">
        <f t="shared" ref="O99:O130" si="28" xml:space="preserve"> P98*N99 + R98* EXP($B$8*(M99 - M98))</f>
        <v>0.14461018496528366</v>
      </c>
      <c r="P99" s="11">
        <f t="shared" si="23"/>
        <v>7.7538838900387291E-2</v>
      </c>
      <c r="Q99" s="11">
        <f t="shared" si="25"/>
        <v>4.6974376769398107</v>
      </c>
      <c r="R99" s="11">
        <f t="shared" si="26"/>
        <v>-4.5528274919745275</v>
      </c>
      <c r="S99" s="11">
        <f t="shared" si="24"/>
        <v>0.13994352111436514</v>
      </c>
      <c r="T99" s="20">
        <f t="shared" si="27"/>
        <v>4.6666638509185177E-3</v>
      </c>
    </row>
    <row r="100" spans="13:20" x14ac:dyDescent="0.25">
      <c r="M100" s="22">
        <v>0.13611111111111113</v>
      </c>
      <c r="N100" s="11">
        <v>60.479550900545185</v>
      </c>
      <c r="O100" s="11">
        <f t="shared" si="28"/>
        <v>0.13658548700218986</v>
      </c>
      <c r="P100" s="11">
        <f t="shared" si="23"/>
        <v>7.2665999844389748E-2</v>
      </c>
      <c r="Q100" s="11">
        <f t="shared" si="25"/>
        <v>4.3948070363277782</v>
      </c>
      <c r="R100" s="11">
        <f t="shared" si="26"/>
        <v>-4.2582215493255884</v>
      </c>
      <c r="S100" s="11">
        <f t="shared" si="24"/>
        <v>0.12865377702470954</v>
      </c>
      <c r="T100" s="20">
        <f t="shared" si="27"/>
        <v>7.9317099774803279E-3</v>
      </c>
    </row>
    <row r="101" spans="13:20" x14ac:dyDescent="0.25">
      <c r="M101" s="22">
        <v>0.13750000000000001</v>
      </c>
      <c r="N101" s="11">
        <v>60.868850588037951</v>
      </c>
      <c r="O101" s="11">
        <f t="shared" si="28"/>
        <v>0.1647797098359991</v>
      </c>
      <c r="P101" s="11">
        <f t="shared" si="23"/>
        <v>8.5300028360018251E-2</v>
      </c>
      <c r="Q101" s="11">
        <f t="shared" si="25"/>
        <v>5.1921146814013506</v>
      </c>
      <c r="R101" s="11">
        <f t="shared" si="26"/>
        <v>-5.0273349715653515</v>
      </c>
      <c r="S101" s="11">
        <f t="shared" si="24"/>
        <v>0.15556458427059644</v>
      </c>
      <c r="T101" s="20">
        <f t="shared" si="27"/>
        <v>9.2151255654026598E-3</v>
      </c>
    </row>
    <row r="102" spans="13:20" x14ac:dyDescent="0.25">
      <c r="M102" s="22">
        <v>0.1388888888888889</v>
      </c>
      <c r="N102" s="11">
        <v>61.916144366354324</v>
      </c>
      <c r="O102" s="11">
        <f t="shared" si="28"/>
        <v>0.25400217903140732</v>
      </c>
      <c r="P102" s="11">
        <f t="shared" si="23"/>
        <v>0.13057548406344757</v>
      </c>
      <c r="Q102" s="11">
        <f t="shared" si="25"/>
        <v>8.0847305219790186</v>
      </c>
      <c r="R102" s="11">
        <f t="shared" si="26"/>
        <v>-7.8307283429476113</v>
      </c>
      <c r="S102" s="11">
        <f t="shared" si="24"/>
        <v>0.26259123975967696</v>
      </c>
      <c r="T102" s="20">
        <f t="shared" si="27"/>
        <v>-8.5890607282696485E-3</v>
      </c>
    </row>
    <row r="103" spans="13:20" x14ac:dyDescent="0.25">
      <c r="M103" s="22">
        <v>0.14027777777777778</v>
      </c>
      <c r="N103" s="11">
        <v>61.618399101098483</v>
      </c>
      <c r="O103" s="11">
        <f t="shared" si="28"/>
        <v>0.21494992877410013</v>
      </c>
      <c r="P103" s="11">
        <f t="shared" si="23"/>
        <v>0.11424029430750517</v>
      </c>
      <c r="Q103" s="11">
        <f t="shared" si="25"/>
        <v>7.0393040480668025</v>
      </c>
      <c r="R103" s="11">
        <f t="shared" si="26"/>
        <v>-6.8243541192927024</v>
      </c>
      <c r="S103" s="11">
        <f t="shared" si="24"/>
        <v>0.22078070718473081</v>
      </c>
      <c r="T103" s="20">
        <f t="shared" si="27"/>
        <v>-5.830778410630677E-3</v>
      </c>
    </row>
    <row r="104" spans="13:20" x14ac:dyDescent="0.25">
      <c r="M104" s="22">
        <v>0.14166666666666666</v>
      </c>
      <c r="N104" s="11">
        <v>61.189613482561349</v>
      </c>
      <c r="O104" s="11">
        <f t="shared" si="28"/>
        <v>0.16581367951879233</v>
      </c>
      <c r="P104" s="11">
        <f t="shared" si="23"/>
        <v>9.3615161143546455E-2</v>
      </c>
      <c r="Q104" s="11">
        <f t="shared" si="25"/>
        <v>5.728275526481303</v>
      </c>
      <c r="R104" s="11">
        <f t="shared" si="26"/>
        <v>-5.5624618469625107</v>
      </c>
      <c r="S104" s="11">
        <f t="shared" si="24"/>
        <v>0.171520505005367</v>
      </c>
      <c r="T104" s="20">
        <f t="shared" si="27"/>
        <v>-5.7068254865746681E-3</v>
      </c>
    </row>
    <row r="105" spans="13:20" x14ac:dyDescent="0.25">
      <c r="M105" s="22">
        <v>0.14305555555555557</v>
      </c>
      <c r="N105" s="11">
        <v>61.423096870383887</v>
      </c>
      <c r="O105" s="11">
        <f t="shared" si="28"/>
        <v>0.18754765285741826</v>
      </c>
      <c r="P105" s="11">
        <f t="shared" si="23"/>
        <v>0.10206223228771957</v>
      </c>
      <c r="Q105" s="11">
        <f t="shared" si="25"/>
        <v>6.2689783806162218</v>
      </c>
      <c r="R105" s="11">
        <f t="shared" si="26"/>
        <v>-6.0814307277588036</v>
      </c>
      <c r="S105" s="11">
        <f t="shared" si="24"/>
        <v>0.18974275088610276</v>
      </c>
      <c r="T105" s="20">
        <f t="shared" si="27"/>
        <v>-2.1950980286845057E-3</v>
      </c>
    </row>
    <row r="106" spans="13:20" x14ac:dyDescent="0.25">
      <c r="M106" s="22">
        <v>0.14444444444444446</v>
      </c>
      <c r="N106" s="11">
        <v>60.453726250630389</v>
      </c>
      <c r="O106" s="11">
        <f t="shared" si="28"/>
        <v>8.8476379084585943E-2</v>
      </c>
      <c r="P106" s="11">
        <f t="shared" si="23"/>
        <v>6.377940218182418E-2</v>
      </c>
      <c r="Q106" s="11">
        <f t="shared" si="25"/>
        <v>3.8557025199288577</v>
      </c>
      <c r="R106" s="11">
        <f t="shared" si="26"/>
        <v>-3.7672261408442718</v>
      </c>
      <c r="S106" s="11">
        <f t="shared" si="24"/>
        <v>0.10633862843689194</v>
      </c>
      <c r="T106" s="20">
        <f t="shared" si="27"/>
        <v>-1.7862249352306001E-2</v>
      </c>
    </row>
    <row r="107" spans="13:20" x14ac:dyDescent="0.25">
      <c r="M107" s="22">
        <v>0.14583333333333334</v>
      </c>
      <c r="N107" s="11">
        <v>60.268096863234973</v>
      </c>
      <c r="O107" s="11">
        <f t="shared" si="28"/>
        <v>7.6553330662479269E-2</v>
      </c>
      <c r="P107" s="11">
        <f t="shared" si="23"/>
        <v>5.6785772321261266E-2</v>
      </c>
      <c r="Q107" s="11">
        <f t="shared" si="25"/>
        <v>3.4223704267113813</v>
      </c>
      <c r="R107" s="11">
        <f t="shared" si="26"/>
        <v>-3.345817096048902</v>
      </c>
      <c r="S107" s="11">
        <f t="shared" si="24"/>
        <v>9.1984710111721296E-2</v>
      </c>
      <c r="T107" s="20">
        <f t="shared" si="27"/>
        <v>-1.5431379449242028E-2</v>
      </c>
    </row>
    <row r="108" spans="13:20" x14ac:dyDescent="0.25">
      <c r="M108" s="22">
        <v>0.14722222222222223</v>
      </c>
      <c r="N108" s="11">
        <v>60.495428054242019</v>
      </c>
      <c r="O108" s="11">
        <f t="shared" si="28"/>
        <v>8.9388155599369856E-2</v>
      </c>
      <c r="P108" s="11">
        <f t="shared" si="23"/>
        <v>6.2384677363484652E-2</v>
      </c>
      <c r="Q108" s="11">
        <f t="shared" si="25"/>
        <v>3.7739877611297863</v>
      </c>
      <c r="R108" s="11">
        <f t="shared" si="26"/>
        <v>-3.6845996055304164</v>
      </c>
      <c r="S108" s="11">
        <f t="shared" si="24"/>
        <v>0.10235670604104567</v>
      </c>
      <c r="T108" s="20">
        <f t="shared" si="27"/>
        <v>-1.2968550441675816E-2</v>
      </c>
    </row>
    <row r="109" spans="13:20" x14ac:dyDescent="0.25">
      <c r="M109" s="22">
        <v>0.14861111111111111</v>
      </c>
      <c r="N109" s="11">
        <v>59.944649631496425</v>
      </c>
      <c r="O109" s="11">
        <f t="shared" si="28"/>
        <v>5.4946140496598961E-2</v>
      </c>
      <c r="P109" s="11">
        <f t="shared" si="23"/>
        <v>4.5519524947337846E-2</v>
      </c>
      <c r="Q109" s="11">
        <f t="shared" si="25"/>
        <v>2.7286519743603281</v>
      </c>
      <c r="R109" s="11">
        <f t="shared" si="26"/>
        <v>-2.6737058338637292</v>
      </c>
      <c r="S109" s="11">
        <f t="shared" si="24"/>
        <v>6.9894738418076127E-2</v>
      </c>
      <c r="T109" s="20">
        <f t="shared" si="27"/>
        <v>-1.4948597921477166E-2</v>
      </c>
    </row>
    <row r="110" spans="13:20" x14ac:dyDescent="0.25">
      <c r="M110" s="22">
        <v>0.15</v>
      </c>
      <c r="N110" s="11">
        <v>59.397345871353437</v>
      </c>
      <c r="O110" s="11">
        <f t="shared" si="28"/>
        <v>2.9973716987622634E-2</v>
      </c>
      <c r="P110" s="11">
        <f t="shared" si="23"/>
        <v>3.2340883659384832E-2</v>
      </c>
      <c r="Q110" s="11">
        <f t="shared" si="25"/>
        <v>1.9209626525016834</v>
      </c>
      <c r="R110" s="11">
        <f t="shared" si="26"/>
        <v>-1.8909889355140608</v>
      </c>
      <c r="S110" s="11">
        <f t="shared" si="24"/>
        <v>4.6505063259895445E-2</v>
      </c>
      <c r="T110" s="20">
        <f t="shared" si="27"/>
        <v>-1.6531346272272811E-2</v>
      </c>
    </row>
    <row r="111" spans="13:20" x14ac:dyDescent="0.25">
      <c r="M111" s="22">
        <v>0.15138888888888891</v>
      </c>
      <c r="N111" s="11">
        <v>59.15441700738139</v>
      </c>
      <c r="O111" s="11">
        <f t="shared" si="28"/>
        <v>2.2075160417137418E-2</v>
      </c>
      <c r="P111" s="11">
        <f t="shared" si="23"/>
        <v>2.7023085191973658E-2</v>
      </c>
      <c r="Q111" s="11">
        <f t="shared" si="25"/>
        <v>1.5985348502720027</v>
      </c>
      <c r="R111" s="11">
        <f t="shared" si="26"/>
        <v>-1.5764596898548653</v>
      </c>
      <c r="S111" s="11">
        <f t="shared" si="24"/>
        <v>3.7511808613731858E-2</v>
      </c>
      <c r="T111" s="20">
        <f t="shared" si="27"/>
        <v>-1.5436648196594439E-2</v>
      </c>
    </row>
    <row r="112" spans="13:20" x14ac:dyDescent="0.25">
      <c r="M112" s="22">
        <v>0.15277777777777779</v>
      </c>
      <c r="N112" s="11">
        <v>59.042747530626897</v>
      </c>
      <c r="O112" s="11">
        <f t="shared" si="28"/>
        <v>1.9022473806653339E-2</v>
      </c>
      <c r="P112" s="11">
        <f t="shared" si="23"/>
        <v>2.4345931423940641E-2</v>
      </c>
      <c r="Q112" s="11">
        <f t="shared" si="25"/>
        <v>1.4374506824616831</v>
      </c>
      <c r="R112" s="11">
        <f t="shared" si="26"/>
        <v>-1.4184282086550297</v>
      </c>
      <c r="S112" s="11">
        <f t="shared" si="24"/>
        <v>3.304525199081939E-2</v>
      </c>
      <c r="T112" s="20">
        <f t="shared" si="27"/>
        <v>-1.402277818416605E-2</v>
      </c>
    </row>
    <row r="113" spans="13:20" x14ac:dyDescent="0.25">
      <c r="M113" s="22">
        <v>0.15416666666666667</v>
      </c>
      <c r="N113" s="11">
        <v>59.109407124448083</v>
      </c>
      <c r="O113" s="11">
        <f t="shared" si="28"/>
        <v>2.0613842729480858E-2</v>
      </c>
      <c r="P113" s="11">
        <f t="shared" si="23"/>
        <v>2.4528497590912357E-2</v>
      </c>
      <c r="Q113" s="11">
        <f t="shared" si="25"/>
        <v>1.4498649502522825</v>
      </c>
      <c r="R113" s="11">
        <f t="shared" si="26"/>
        <v>-1.4292511075228016</v>
      </c>
      <c r="S113" s="11">
        <f t="shared" si="24"/>
        <v>3.3128590360379725E-2</v>
      </c>
      <c r="T113" s="20">
        <f t="shared" si="27"/>
        <v>-1.2514747630898868E-2</v>
      </c>
    </row>
    <row r="114" spans="13:20" x14ac:dyDescent="0.25">
      <c r="M114" s="22">
        <v>0.15555555555555556</v>
      </c>
      <c r="N114" s="11">
        <v>58.893448794906952</v>
      </c>
      <c r="O114" s="11">
        <f t="shared" si="28"/>
        <v>1.5284947874967036E-2</v>
      </c>
      <c r="P114" s="11">
        <f t="shared" si="23"/>
        <v>2.0532206882365022E-2</v>
      </c>
      <c r="Q114" s="11">
        <f t="shared" si="25"/>
        <v>1.2092124746730006</v>
      </c>
      <c r="R114" s="11">
        <f t="shared" si="26"/>
        <v>-1.1939275267980336</v>
      </c>
      <c r="S114" s="11">
        <f t="shared" si="24"/>
        <v>2.6823566756765258E-2</v>
      </c>
      <c r="T114" s="20">
        <f t="shared" si="27"/>
        <v>-1.1538618881798222E-2</v>
      </c>
    </row>
    <row r="115" spans="13:20" x14ac:dyDescent="0.25">
      <c r="M115" s="22">
        <v>0.15694444444444444</v>
      </c>
      <c r="N115" s="11">
        <v>58.658965432921313</v>
      </c>
      <c r="O115" s="11">
        <f t="shared" si="28"/>
        <v>1.044395495858863E-2</v>
      </c>
      <c r="P115" s="11">
        <f t="shared" si="23"/>
        <v>1.6823482977058338E-2</v>
      </c>
      <c r="Q115" s="11">
        <f t="shared" si="25"/>
        <v>0.98684810641260523</v>
      </c>
      <c r="R115" s="11">
        <f t="shared" si="26"/>
        <v>-0.9764041514540166</v>
      </c>
      <c r="S115" s="11">
        <f t="shared" si="24"/>
        <v>2.1215946769012332E-2</v>
      </c>
      <c r="T115" s="20">
        <f t="shared" si="27"/>
        <v>-1.0771991810423702E-2</v>
      </c>
    </row>
    <row r="116" spans="13:20" x14ac:dyDescent="0.25">
      <c r="M116" s="22">
        <v>0.15833333333333333</v>
      </c>
      <c r="N116" s="11">
        <v>59.040794709508368</v>
      </c>
      <c r="O116" s="11">
        <f t="shared" si="28"/>
        <v>1.6845955182272054E-2</v>
      </c>
      <c r="P116" s="11">
        <f t="shared" si="23"/>
        <v>2.0976495185483827E-2</v>
      </c>
      <c r="Q116" s="11">
        <f t="shared" si="25"/>
        <v>1.2384689459711413</v>
      </c>
      <c r="R116" s="11">
        <f t="shared" si="26"/>
        <v>-1.2216229907888692</v>
      </c>
      <c r="S116" s="11">
        <f t="shared" si="24"/>
        <v>2.7145615386194491E-2</v>
      </c>
      <c r="T116" s="20">
        <f t="shared" si="27"/>
        <v>-1.0299660203922437E-2</v>
      </c>
    </row>
    <row r="117" spans="13:20" x14ac:dyDescent="0.25">
      <c r="M117" s="22">
        <v>0.15972222222222224</v>
      </c>
      <c r="N117" s="11">
        <v>58.823423566361612</v>
      </c>
      <c r="O117" s="11">
        <f t="shared" si="28"/>
        <v>1.2259122965380786E-2</v>
      </c>
      <c r="P117" s="11">
        <f t="shared" si="23"/>
        <v>1.7352448057903688E-2</v>
      </c>
      <c r="Q117" s="11">
        <f t="shared" si="25"/>
        <v>1.0207304020233576</v>
      </c>
      <c r="R117" s="11">
        <f t="shared" si="26"/>
        <v>-1.0084712790579768</v>
      </c>
      <c r="S117" s="11">
        <f t="shared" si="24"/>
        <v>2.1700208533927613E-2</v>
      </c>
      <c r="T117" s="20">
        <f t="shared" si="27"/>
        <v>-9.441085568546826E-3</v>
      </c>
    </row>
    <row r="118" spans="13:20" x14ac:dyDescent="0.25">
      <c r="M118" s="22">
        <v>0.16111111111111112</v>
      </c>
      <c r="N118" s="11">
        <v>58.685968494792682</v>
      </c>
      <c r="O118" s="11">
        <f t="shared" si="28"/>
        <v>9.8515302538104699E-3</v>
      </c>
      <c r="P118" s="11">
        <f t="shared" si="23"/>
        <v>1.5068235915411149E-2</v>
      </c>
      <c r="Q118" s="11">
        <f t="shared" si="25"/>
        <v>0.88429401820392228</v>
      </c>
      <c r="R118" s="11">
        <f t="shared" si="26"/>
        <v>-0.87444248795011181</v>
      </c>
      <c r="S118" s="11">
        <f t="shared" si="24"/>
        <v>1.8351689139843426E-2</v>
      </c>
      <c r="T118" s="20">
        <f t="shared" si="27"/>
        <v>-8.5001588860329561E-3</v>
      </c>
    </row>
    <row r="119" spans="13:20" x14ac:dyDescent="0.25">
      <c r="M119" s="22">
        <v>0.16250000000000001</v>
      </c>
      <c r="N119" s="11">
        <v>58.577626694494491</v>
      </c>
      <c r="O119" s="11">
        <f t="shared" si="28"/>
        <v>8.1995781762158604E-3</v>
      </c>
      <c r="P119" s="11">
        <f t="shared" si="23"/>
        <v>1.3294054124195513E-2</v>
      </c>
      <c r="Q119" s="11">
        <f t="shared" si="25"/>
        <v>0.77873413974352967</v>
      </c>
      <c r="R119" s="11">
        <f t="shared" si="26"/>
        <v>-0.77053456156731381</v>
      </c>
      <c r="S119" s="11">
        <f t="shared" si="24"/>
        <v>1.5810076983172227E-2</v>
      </c>
      <c r="T119" s="20">
        <f t="shared" si="27"/>
        <v>-7.6104988069563666E-3</v>
      </c>
    </row>
    <row r="120" spans="13:20" x14ac:dyDescent="0.25">
      <c r="M120" s="22">
        <v>0.16388888888888889</v>
      </c>
      <c r="N120" s="11">
        <v>59.015689841287177</v>
      </c>
      <c r="O120" s="11">
        <f t="shared" si="28"/>
        <v>1.4006090178979358E-2</v>
      </c>
      <c r="P120" s="11">
        <f t="shared" si="23"/>
        <v>1.7462469534369612E-2</v>
      </c>
      <c r="Q120" s="11">
        <f t="shared" si="25"/>
        <v>1.0305596859032835</v>
      </c>
      <c r="R120" s="11">
        <f t="shared" si="26"/>
        <v>-1.0165535957243041</v>
      </c>
      <c r="S120" s="11">
        <f t="shared" si="24"/>
        <v>2.1423457398619464E-2</v>
      </c>
      <c r="T120" s="20">
        <f t="shared" si="27"/>
        <v>-7.4173672196401058E-3</v>
      </c>
    </row>
    <row r="121" spans="13:20" x14ac:dyDescent="0.25">
      <c r="M121" s="22">
        <v>0.16527777777777777</v>
      </c>
      <c r="N121" s="11">
        <v>58.916453624420058</v>
      </c>
      <c r="O121" s="11">
        <f t="shared" si="28"/>
        <v>1.2250590434323527E-2</v>
      </c>
      <c r="P121" s="11">
        <f t="shared" si="23"/>
        <v>1.5533463411477325E-2</v>
      </c>
      <c r="Q121" s="11">
        <f t="shared" si="25"/>
        <v>0.9151765767089296</v>
      </c>
      <c r="R121" s="11">
        <f t="shared" si="26"/>
        <v>-0.90292598627460607</v>
      </c>
      <c r="S121" s="11">
        <f t="shared" si="24"/>
        <v>1.8615818118268485E-2</v>
      </c>
      <c r="T121" s="20">
        <f t="shared" si="27"/>
        <v>-6.3652276839449573E-3</v>
      </c>
    </row>
    <row r="122" spans="13:20" x14ac:dyDescent="0.25">
      <c r="M122" s="22">
        <v>0.16666666666666669</v>
      </c>
      <c r="N122" s="11">
        <v>59.179681195499761</v>
      </c>
      <c r="O122" s="11">
        <f t="shared" si="28"/>
        <v>1.6319361033718782E-2</v>
      </c>
      <c r="P122" s="11">
        <f t="shared" si="23"/>
        <v>1.7963076785832175E-2</v>
      </c>
      <c r="Q122" s="11">
        <f t="shared" si="25"/>
        <v>1.0630491574758307</v>
      </c>
      <c r="R122" s="11">
        <f t="shared" si="26"/>
        <v>-1.0467297964421118</v>
      </c>
      <c r="S122" s="11">
        <f t="shared" si="24"/>
        <v>2.1819826311948311E-2</v>
      </c>
      <c r="T122" s="20">
        <f t="shared" si="27"/>
        <v>-5.5004652782295292E-3</v>
      </c>
    </row>
    <row r="123" spans="13:20" x14ac:dyDescent="0.25">
      <c r="M123" s="22">
        <v>0.16805555555555557</v>
      </c>
      <c r="N123" s="11">
        <v>59.361445728544126</v>
      </c>
      <c r="O123" s="11">
        <f t="shared" si="28"/>
        <v>1.9561150377138903E-2</v>
      </c>
      <c r="P123" s="11">
        <f t="shared" si="23"/>
        <v>1.9567072789811017E-2</v>
      </c>
      <c r="Q123" s="11">
        <f t="shared" si="25"/>
        <v>1.1615297294788391</v>
      </c>
      <c r="R123" s="11">
        <f t="shared" si="26"/>
        <v>-1.1419685791017002</v>
      </c>
      <c r="S123" s="11">
        <f t="shared" si="24"/>
        <v>2.3891678380391537E-2</v>
      </c>
      <c r="T123" s="20">
        <f t="shared" si="27"/>
        <v>-4.3305280032526344E-3</v>
      </c>
    </row>
    <row r="124" spans="13:20" x14ac:dyDescent="0.25">
      <c r="M124" s="22">
        <v>0.16944444444444445</v>
      </c>
      <c r="N124" s="11">
        <v>59.257964015308168</v>
      </c>
      <c r="O124" s="11">
        <f t="shared" si="28"/>
        <v>1.7510938800331388E-2</v>
      </c>
      <c r="P124" s="11">
        <f t="shared" ref="P124:P155" si="29">BSGreeks(N124,$B$3,$B$6 - M124,$B$8, $B$5,$G$1)</f>
        <v>1.7339028528219468E-2</v>
      </c>
      <c r="Q124" s="11">
        <f t="shared" si="25"/>
        <v>1.027475528585631</v>
      </c>
      <c r="R124" s="11">
        <f t="shared" si="26"/>
        <v>-1.0099645897852996</v>
      </c>
      <c r="S124" s="11">
        <f t="shared" ref="S124:S155" si="30">BSCall(N124,$B$3, $B$6 - M124,$B$8, $B$5)</f>
        <v>2.0654311575765638E-2</v>
      </c>
      <c r="T124" s="20">
        <f t="shared" si="27"/>
        <v>-3.14337277543425E-3</v>
      </c>
    </row>
    <row r="125" spans="13:20" x14ac:dyDescent="0.25">
      <c r="M125" s="22">
        <v>0.17083333333333334</v>
      </c>
      <c r="N125" s="11">
        <v>59.987204525876976</v>
      </c>
      <c r="O125" s="11">
        <f t="shared" si="28"/>
        <v>3.0132816910090732E-2</v>
      </c>
      <c r="P125" s="11">
        <f t="shared" si="29"/>
        <v>2.7804922432848884E-2</v>
      </c>
      <c r="Q125" s="11">
        <f t="shared" si="25"/>
        <v>1.6679395688054508</v>
      </c>
      <c r="R125" s="11">
        <f t="shared" si="26"/>
        <v>-1.6378067518953601</v>
      </c>
      <c r="S125" s="11">
        <f t="shared" si="30"/>
        <v>3.5281564097166158E-2</v>
      </c>
      <c r="T125" s="20">
        <f t="shared" si="27"/>
        <v>-5.1487471870754267E-3</v>
      </c>
    </row>
    <row r="126" spans="13:20" x14ac:dyDescent="0.25">
      <c r="M126" s="22">
        <v>0.17222222222222222</v>
      </c>
      <c r="N126" s="11">
        <v>60.155487089683</v>
      </c>
      <c r="O126" s="11">
        <f t="shared" si="28"/>
        <v>3.4775504433520954E-2</v>
      </c>
      <c r="P126" s="11">
        <f t="shared" si="29"/>
        <v>2.9933817976013272E-2</v>
      </c>
      <c r="Q126" s="11">
        <f t="shared" si="25"/>
        <v>1.8006834008009873</v>
      </c>
      <c r="R126" s="11">
        <f t="shared" si="26"/>
        <v>-1.7659078963674664</v>
      </c>
      <c r="S126" s="11">
        <f t="shared" si="30"/>
        <v>3.8137708527431931E-2</v>
      </c>
      <c r="T126" s="20">
        <f t="shared" si="27"/>
        <v>-3.3622040939109768E-3</v>
      </c>
    </row>
    <row r="127" spans="13:20" x14ac:dyDescent="0.25">
      <c r="M127" s="22">
        <v>0.1736111111111111</v>
      </c>
      <c r="N127" s="11">
        <v>60.174910281497596</v>
      </c>
      <c r="O127" s="11">
        <f t="shared" si="28"/>
        <v>3.5317671888085433E-2</v>
      </c>
      <c r="P127" s="11">
        <f t="shared" si="29"/>
        <v>2.9121705954024919E-2</v>
      </c>
      <c r="Q127" s="11">
        <f t="shared" si="25"/>
        <v>1.7523960430276038</v>
      </c>
      <c r="R127" s="11">
        <f t="shared" si="26"/>
        <v>-1.7170783711395183</v>
      </c>
      <c r="S127" s="11">
        <f t="shared" si="30"/>
        <v>3.6651469134977133E-2</v>
      </c>
      <c r="T127" s="20">
        <f t="shared" si="27"/>
        <v>-1.3337972468916992E-3</v>
      </c>
    </row>
    <row r="128" spans="13:20" x14ac:dyDescent="0.25">
      <c r="M128" s="22">
        <v>0.17500000000000002</v>
      </c>
      <c r="N128" s="11">
        <v>59.834917775793521</v>
      </c>
      <c r="O128" s="11">
        <f t="shared" si="28"/>
        <v>2.5378352389290093E-2</v>
      </c>
      <c r="P128" s="11">
        <f t="shared" si="29"/>
        <v>2.1916839648530587E-2</v>
      </c>
      <c r="Q128" s="11">
        <f t="shared" si="25"/>
        <v>1.311392298275079</v>
      </c>
      <c r="R128" s="11">
        <f t="shared" si="26"/>
        <v>-1.2860139458857889</v>
      </c>
      <c r="S128" s="11">
        <f t="shared" si="30"/>
        <v>2.6193119376533128E-2</v>
      </c>
      <c r="T128" s="20">
        <f t="shared" si="27"/>
        <v>-8.1476698724303534E-4</v>
      </c>
    </row>
    <row r="129" spans="13:20" x14ac:dyDescent="0.25">
      <c r="M129" s="22">
        <v>0.1763888888888889</v>
      </c>
      <c r="N129" s="11">
        <v>59.929437702728713</v>
      </c>
      <c r="O129" s="11">
        <f t="shared" si="28"/>
        <v>2.74213520662967E-2</v>
      </c>
      <c r="P129" s="11">
        <f t="shared" si="29"/>
        <v>2.2404794845100301E-2</v>
      </c>
      <c r="Q129" s="11">
        <f t="shared" si="25"/>
        <v>1.3427067569118558</v>
      </c>
      <c r="R129" s="11">
        <f t="shared" si="26"/>
        <v>-1.3152854048455591</v>
      </c>
      <c r="S129" s="11">
        <f t="shared" si="30"/>
        <v>2.6647546208113132E-2</v>
      </c>
      <c r="T129" s="20">
        <f t="shared" si="27"/>
        <v>7.7380585818356828E-4</v>
      </c>
    </row>
    <row r="130" spans="13:20" x14ac:dyDescent="0.25">
      <c r="M130" s="22">
        <v>0.17777777777777778</v>
      </c>
      <c r="N130" s="11">
        <v>60.229996394849941</v>
      </c>
      <c r="O130" s="11">
        <f t="shared" si="28"/>
        <v>3.4126079012868349E-2</v>
      </c>
      <c r="P130" s="11">
        <f t="shared" si="29"/>
        <v>2.6587763253501279E-2</v>
      </c>
      <c r="Q130" s="11">
        <f t="shared" ref="Q130:Q161" si="31">N130*P130</f>
        <v>1.6013808849055058</v>
      </c>
      <c r="R130" s="11">
        <f t="shared" ref="R130:R161" si="32">O130 - Q130</f>
        <v>-1.5672548058926374</v>
      </c>
      <c r="S130" s="11">
        <f t="shared" si="30"/>
        <v>3.2189858045542981E-2</v>
      </c>
      <c r="T130" s="20">
        <f t="shared" ref="T130:T161" si="33">O130 - S130</f>
        <v>1.936220967325368E-3</v>
      </c>
    </row>
    <row r="131" spans="13:20" x14ac:dyDescent="0.25">
      <c r="M131" s="22">
        <v>0.17916666666666667</v>
      </c>
      <c r="N131" s="11">
        <v>60.182253546454071</v>
      </c>
      <c r="O131" s="11">
        <f t="shared" ref="O131:O162" si="34" xml:space="preserve"> P130*N131 + R130* EXP($B$8*(M131 - M130))</f>
        <v>3.2821875191116678E-2</v>
      </c>
      <c r="P131" s="11">
        <f t="shared" si="29"/>
        <v>2.4522885821477557E-2</v>
      </c>
      <c r="Q131" s="11">
        <f t="shared" si="31"/>
        <v>1.4758425321989059</v>
      </c>
      <c r="R131" s="11">
        <f t="shared" si="32"/>
        <v>-1.4430206570077893</v>
      </c>
      <c r="S131" s="11">
        <f t="shared" si="30"/>
        <v>2.9075951504949737E-2</v>
      </c>
      <c r="T131" s="20">
        <f t="shared" si="33"/>
        <v>3.7459236861669409E-3</v>
      </c>
    </row>
    <row r="132" spans="13:20" x14ac:dyDescent="0.25">
      <c r="M132" s="22">
        <v>0.18055555555555555</v>
      </c>
      <c r="N132" s="11">
        <v>60.769821911226828</v>
      </c>
      <c r="O132" s="11">
        <f t="shared" si="34"/>
        <v>4.7198679630736207E-2</v>
      </c>
      <c r="P132" s="11">
        <f t="shared" si="29"/>
        <v>3.5585688289904188E-2</v>
      </c>
      <c r="Q132" s="11">
        <f t="shared" si="31"/>
        <v>2.1625359399659074</v>
      </c>
      <c r="R132" s="11">
        <f t="shared" si="32"/>
        <v>-2.1153372603351714</v>
      </c>
      <c r="S132" s="11">
        <f t="shared" si="30"/>
        <v>4.4381950515417413E-2</v>
      </c>
      <c r="T132" s="20">
        <f t="shared" si="33"/>
        <v>2.8167291153187932E-3</v>
      </c>
    </row>
    <row r="133" spans="13:20" x14ac:dyDescent="0.25">
      <c r="M133" s="22">
        <v>0.18194444444444446</v>
      </c>
      <c r="N133" s="11">
        <v>60.51121951522989</v>
      </c>
      <c r="O133" s="11">
        <f t="shared" si="34"/>
        <v>3.7949127358783308E-2</v>
      </c>
      <c r="P133" s="11">
        <f t="shared" si="29"/>
        <v>2.8364379409214414E-2</v>
      </c>
      <c r="Q133" s="11">
        <f t="shared" si="31"/>
        <v>1.7163631888442401</v>
      </c>
      <c r="R133" s="11">
        <f t="shared" si="32"/>
        <v>-1.6784140614854568</v>
      </c>
      <c r="S133" s="11">
        <f t="shared" si="30"/>
        <v>3.3799136838024747E-2</v>
      </c>
      <c r="T133" s="20">
        <f t="shared" si="33"/>
        <v>4.1499905207585605E-3</v>
      </c>
    </row>
    <row r="134" spans="13:20" x14ac:dyDescent="0.25">
      <c r="M134" s="22">
        <v>0.18333333333333335</v>
      </c>
      <c r="N134" s="11">
        <v>60.707914383666932</v>
      </c>
      <c r="O134" s="11">
        <f t="shared" si="34"/>
        <v>4.3490956730295904E-2</v>
      </c>
      <c r="P134" s="11">
        <f t="shared" si="29"/>
        <v>3.1212558907583021E-2</v>
      </c>
      <c r="Q134" s="11">
        <f t="shared" si="31"/>
        <v>1.8948493538567106</v>
      </c>
      <c r="R134" s="11">
        <f t="shared" si="32"/>
        <v>-1.8513583971264147</v>
      </c>
      <c r="S134" s="11">
        <f t="shared" si="30"/>
        <v>3.7422117119352852E-2</v>
      </c>
      <c r="T134" s="20">
        <f t="shared" si="33"/>
        <v>6.0688396109430526E-3</v>
      </c>
    </row>
    <row r="135" spans="13:20" x14ac:dyDescent="0.25">
      <c r="M135" s="22">
        <v>0.18472222222222223</v>
      </c>
      <c r="N135" s="11">
        <v>61.264561718666158</v>
      </c>
      <c r="O135" s="11">
        <f t="shared" si="34"/>
        <v>6.0824202709865771E-2</v>
      </c>
      <c r="P135" s="11">
        <f t="shared" si="29"/>
        <v>4.4065822202531919E-2</v>
      </c>
      <c r="Q135" s="11">
        <f t="shared" si="31"/>
        <v>2.6996732840107862</v>
      </c>
      <c r="R135" s="11">
        <f t="shared" si="32"/>
        <v>-2.6388490813009202</v>
      </c>
      <c r="S135" s="11">
        <f t="shared" si="30"/>
        <v>5.5466314297558154E-2</v>
      </c>
      <c r="T135" s="20">
        <f t="shared" si="33"/>
        <v>5.3578884123076168E-3</v>
      </c>
    </row>
    <row r="136" spans="13:20" x14ac:dyDescent="0.25">
      <c r="M136" s="22">
        <v>0.18611111111111112</v>
      </c>
      <c r="N136" s="11">
        <v>61.001646656669067</v>
      </c>
      <c r="O136" s="11">
        <f t="shared" si="34"/>
        <v>4.9179992591266597E-2</v>
      </c>
      <c r="P136" s="11">
        <f t="shared" si="29"/>
        <v>3.5160578756448027E-2</v>
      </c>
      <c r="Q136" s="11">
        <f t="shared" si="31"/>
        <v>2.1448532015448274</v>
      </c>
      <c r="R136" s="11">
        <f t="shared" si="32"/>
        <v>-2.0956732089535608</v>
      </c>
      <c r="S136" s="11">
        <f t="shared" si="30"/>
        <v>4.2181275479594306E-2</v>
      </c>
      <c r="T136" s="20">
        <f t="shared" si="33"/>
        <v>6.998717111672291E-3</v>
      </c>
    </row>
    <row r="137" spans="13:20" x14ac:dyDescent="0.25">
      <c r="M137" s="22">
        <v>0.1875</v>
      </c>
      <c r="N137" s="11">
        <v>60.849772396808483</v>
      </c>
      <c r="O137" s="11">
        <f t="shared" si="34"/>
        <v>4.3793434683152554E-2</v>
      </c>
      <c r="P137" s="11">
        <f t="shared" si="29"/>
        <v>3.0006995450870929E-2</v>
      </c>
      <c r="Q137" s="11">
        <f t="shared" si="31"/>
        <v>1.8259188434975635</v>
      </c>
      <c r="R137" s="11">
        <f t="shared" si="32"/>
        <v>-1.7821254088144109</v>
      </c>
      <c r="S137" s="11">
        <f t="shared" si="30"/>
        <v>3.4747346529265151E-2</v>
      </c>
      <c r="T137" s="20">
        <f t="shared" si="33"/>
        <v>9.0460881538874036E-3</v>
      </c>
    </row>
    <row r="138" spans="13:20" x14ac:dyDescent="0.25">
      <c r="M138" s="22">
        <v>0.18888888888888888</v>
      </c>
      <c r="N138" s="11">
        <v>59.857342475233516</v>
      </c>
      <c r="O138" s="11">
        <f t="shared" si="34"/>
        <v>1.3973991314247813E-2</v>
      </c>
      <c r="P138" s="11">
        <f t="shared" si="29"/>
        <v>1.2690655711744931E-2</v>
      </c>
      <c r="Q138" s="11">
        <f t="shared" si="31"/>
        <v>0.75962892517319469</v>
      </c>
      <c r="R138" s="11">
        <f t="shared" si="32"/>
        <v>-0.74565493385894688</v>
      </c>
      <c r="S138" s="11">
        <f t="shared" si="30"/>
        <v>1.2861228414192424E-2</v>
      </c>
      <c r="T138" s="20">
        <f t="shared" si="33"/>
        <v>1.1127629000553894E-3</v>
      </c>
    </row>
    <row r="139" spans="13:20" x14ac:dyDescent="0.25">
      <c r="M139" s="22">
        <v>0.1902777777777778</v>
      </c>
      <c r="N139" s="11">
        <v>59.617829760803936</v>
      </c>
      <c r="O139" s="11">
        <f t="shared" si="34"/>
        <v>1.0917847623081567E-2</v>
      </c>
      <c r="P139" s="11">
        <f t="shared" si="29"/>
        <v>9.5275915671637016E-3</v>
      </c>
      <c r="Q139" s="11">
        <f t="shared" si="31"/>
        <v>0.56801433208163676</v>
      </c>
      <c r="R139" s="11">
        <f t="shared" si="32"/>
        <v>-0.5570964844585552</v>
      </c>
      <c r="S139" s="11">
        <f t="shared" si="30"/>
        <v>9.2190576615460099E-3</v>
      </c>
      <c r="T139" s="20">
        <f t="shared" si="33"/>
        <v>1.6987899615355569E-3</v>
      </c>
    </row>
    <row r="140" spans="13:20" x14ac:dyDescent="0.25">
      <c r="M140" s="22">
        <v>0.19166666666666668</v>
      </c>
      <c r="N140" s="11">
        <v>60.572567535459712</v>
      </c>
      <c r="O140" s="11">
        <f t="shared" si="34"/>
        <v>2.0001819134312093E-2</v>
      </c>
      <c r="P140" s="11">
        <f t="shared" si="29"/>
        <v>2.0460489974684627E-2</v>
      </c>
      <c r="Q140" s="11">
        <f t="shared" si="31"/>
        <v>1.239344410800181</v>
      </c>
      <c r="R140" s="11">
        <f t="shared" si="32"/>
        <v>-1.2193425916658689</v>
      </c>
      <c r="S140" s="11">
        <f t="shared" si="30"/>
        <v>2.1690891418508405E-2</v>
      </c>
      <c r="T140" s="20">
        <f t="shared" si="33"/>
        <v>-1.6890722841963121E-3</v>
      </c>
    </row>
    <row r="141" spans="13:20" x14ac:dyDescent="0.25">
      <c r="M141" s="22">
        <v>0.19305555555555556</v>
      </c>
      <c r="N141" s="11">
        <v>60.894661877339821</v>
      </c>
      <c r="O141" s="11">
        <f t="shared" si="34"/>
        <v>2.6564930384141316E-2</v>
      </c>
      <c r="P141" s="11">
        <f t="shared" si="29"/>
        <v>2.5054269839230262E-2</v>
      </c>
      <c r="Q141" s="11">
        <f t="shared" si="31"/>
        <v>1.5256712904435599</v>
      </c>
      <c r="R141" s="11">
        <f t="shared" si="32"/>
        <v>-1.4991063600594186</v>
      </c>
      <c r="S141" s="11">
        <f t="shared" si="30"/>
        <v>2.707564014064592E-2</v>
      </c>
      <c r="T141" s="20">
        <f t="shared" si="33"/>
        <v>-5.1070975650460357E-4</v>
      </c>
    </row>
    <row r="142" spans="13:20" x14ac:dyDescent="0.25">
      <c r="M142" s="22">
        <v>0.19444444444444445</v>
      </c>
      <c r="N142" s="11">
        <v>60.988671129315954</v>
      </c>
      <c r="O142" s="11">
        <f t="shared" si="34"/>
        <v>2.888694970571537E-2</v>
      </c>
      <c r="P142" s="11">
        <f t="shared" si="29"/>
        <v>2.5486322427874988E-2</v>
      </c>
      <c r="Q142" s="11">
        <f t="shared" si="31"/>
        <v>1.5543769368493769</v>
      </c>
      <c r="R142" s="11">
        <f t="shared" si="32"/>
        <v>-1.5254899871436616</v>
      </c>
      <c r="S142" s="11">
        <f t="shared" si="30"/>
        <v>2.7312933000371051E-2</v>
      </c>
      <c r="T142" s="20">
        <f t="shared" si="33"/>
        <v>1.5740167053443187E-3</v>
      </c>
    </row>
    <row r="143" spans="13:20" x14ac:dyDescent="0.25">
      <c r="M143" s="22">
        <v>0.19583333333333333</v>
      </c>
      <c r="N143" s="11">
        <v>61.111881875376341</v>
      </c>
      <c r="O143" s="11">
        <f t="shared" si="34"/>
        <v>3.1993238352230557E-2</v>
      </c>
      <c r="P143" s="11">
        <f t="shared" si="29"/>
        <v>2.6538732456817562E-2</v>
      </c>
      <c r="Q143" s="11">
        <f t="shared" si="31"/>
        <v>1.621831883023251</v>
      </c>
      <c r="R143" s="11">
        <f t="shared" si="32"/>
        <v>-1.5898386446710204</v>
      </c>
      <c r="S143" s="11">
        <f t="shared" si="30"/>
        <v>2.8295698725830043E-2</v>
      </c>
      <c r="T143" s="20">
        <f t="shared" si="33"/>
        <v>3.6975396264005145E-3</v>
      </c>
    </row>
    <row r="144" spans="13:20" x14ac:dyDescent="0.25">
      <c r="M144" s="22">
        <v>0.19722222222222224</v>
      </c>
      <c r="N144" s="11">
        <v>60.831403167498109</v>
      </c>
      <c r="O144" s="11">
        <f t="shared" si="34"/>
        <v>2.4514358823801263E-2</v>
      </c>
      <c r="P144" s="11">
        <f t="shared" si="29"/>
        <v>1.9661852919679139E-2</v>
      </c>
      <c r="Q144" s="11">
        <f t="shared" si="31"/>
        <v>1.1960581019770515</v>
      </c>
      <c r="R144" s="11">
        <f t="shared" si="32"/>
        <v>-1.1715437431532503</v>
      </c>
      <c r="S144" s="11">
        <f t="shared" si="30"/>
        <v>1.9829366778979039E-2</v>
      </c>
      <c r="T144" s="20">
        <f t="shared" si="33"/>
        <v>4.6849920448222247E-3</v>
      </c>
    </row>
    <row r="145" spans="13:20" x14ac:dyDescent="0.25">
      <c r="M145" s="22">
        <v>0.19861111111111113</v>
      </c>
      <c r="N145" s="11">
        <v>60.842037168735068</v>
      </c>
      <c r="O145" s="11">
        <f t="shared" si="34"/>
        <v>2.4697408397394538E-2</v>
      </c>
      <c r="P145" s="11">
        <f t="shared" si="29"/>
        <v>1.8503191384950615E-2</v>
      </c>
      <c r="Q145" s="11">
        <f t="shared" si="31"/>
        <v>1.1257718579833838</v>
      </c>
      <c r="R145" s="11">
        <f t="shared" si="32"/>
        <v>-1.1010744495859892</v>
      </c>
      <c r="S145" s="11">
        <f t="shared" si="30"/>
        <v>1.8284541666845854E-2</v>
      </c>
      <c r="T145" s="20">
        <f t="shared" si="33"/>
        <v>6.4128667305486838E-3</v>
      </c>
    </row>
    <row r="146" spans="13:20" x14ac:dyDescent="0.25">
      <c r="M146" s="22">
        <v>0.2</v>
      </c>
      <c r="N146" s="11">
        <v>61.214781266885147</v>
      </c>
      <c r="O146" s="11">
        <f t="shared" si="34"/>
        <v>3.1569895190102448E-2</v>
      </c>
      <c r="P146" s="11">
        <f t="shared" si="29"/>
        <v>2.3907544288452688E-2</v>
      </c>
      <c r="Q146" s="11">
        <f t="shared" si="31"/>
        <v>1.4634950942460005</v>
      </c>
      <c r="R146" s="11">
        <f t="shared" si="32"/>
        <v>-1.4319251990558981</v>
      </c>
      <c r="S146" s="11">
        <f t="shared" si="30"/>
        <v>2.4214298745980512E-2</v>
      </c>
      <c r="T146" s="20">
        <f t="shared" si="33"/>
        <v>7.3555964441219361E-3</v>
      </c>
    </row>
    <row r="147" spans="13:20" x14ac:dyDescent="0.25">
      <c r="M147" s="22">
        <v>0.2013888888888889</v>
      </c>
      <c r="N147" s="11">
        <v>61.703782989097135</v>
      </c>
      <c r="O147" s="11">
        <f t="shared" si="34"/>
        <v>4.3228904607472085E-2</v>
      </c>
      <c r="P147" s="11">
        <f t="shared" si="29"/>
        <v>3.3791533929576782E-2</v>
      </c>
      <c r="Q147" s="11">
        <f t="shared" si="31"/>
        <v>2.0850654764593184</v>
      </c>
      <c r="R147" s="11">
        <f t="shared" si="32"/>
        <v>-2.0418365718518463</v>
      </c>
      <c r="S147" s="11">
        <f t="shared" si="30"/>
        <v>3.5648248003305107E-2</v>
      </c>
      <c r="T147" s="20">
        <f t="shared" si="33"/>
        <v>7.5806566041669785E-3</v>
      </c>
    </row>
    <row r="148" spans="13:20" x14ac:dyDescent="0.25">
      <c r="M148" s="22">
        <v>0.20277777777777778</v>
      </c>
      <c r="N148" s="11">
        <v>61.097338590055301</v>
      </c>
      <c r="O148" s="11">
        <f t="shared" si="34"/>
        <v>2.2690843470646094E-2</v>
      </c>
      <c r="P148" s="11">
        <f t="shared" si="29"/>
        <v>1.8631567126699562E-2</v>
      </c>
      <c r="Q148" s="11">
        <f t="shared" si="31"/>
        <v>1.138339165203307</v>
      </c>
      <c r="R148" s="11">
        <f t="shared" si="32"/>
        <v>-1.1156483217326609</v>
      </c>
      <c r="S148" s="11">
        <f t="shared" si="30"/>
        <v>1.7749072524600781E-2</v>
      </c>
      <c r="T148" s="20">
        <f t="shared" si="33"/>
        <v>4.9417709460453131E-3</v>
      </c>
    </row>
    <row r="149" spans="13:20" x14ac:dyDescent="0.25">
      <c r="M149" s="22">
        <v>0.20416666666666666</v>
      </c>
      <c r="N149" s="11">
        <v>61.146582969023854</v>
      </c>
      <c r="O149" s="11">
        <f t="shared" si="34"/>
        <v>2.358355096261322E-2</v>
      </c>
      <c r="P149" s="11">
        <f t="shared" si="29"/>
        <v>1.8016993606290908E-2</v>
      </c>
      <c r="Q149" s="11">
        <f t="shared" si="31"/>
        <v>1.1016775943994392</v>
      </c>
      <c r="R149" s="11">
        <f t="shared" si="32"/>
        <v>-1.078094043436826</v>
      </c>
      <c r="S149" s="11">
        <f t="shared" si="30"/>
        <v>1.6857979281735953E-2</v>
      </c>
      <c r="T149" s="20">
        <f t="shared" si="33"/>
        <v>6.7255716808772674E-3</v>
      </c>
    </row>
    <row r="150" spans="13:20" x14ac:dyDescent="0.25">
      <c r="M150" s="22">
        <v>0.20555555555555557</v>
      </c>
      <c r="N150" s="11">
        <v>61.050529402184658</v>
      </c>
      <c r="O150" s="11">
        <f t="shared" si="34"/>
        <v>2.1828996551402469E-2</v>
      </c>
      <c r="P150" s="11">
        <f t="shared" si="29"/>
        <v>1.5097541290710151E-2</v>
      </c>
      <c r="Q150" s="11">
        <f t="shared" si="31"/>
        <v>0.92171288846919697</v>
      </c>
      <c r="R150" s="11">
        <f t="shared" si="32"/>
        <v>-0.8998838919177945</v>
      </c>
      <c r="S150" s="11">
        <f t="shared" si="30"/>
        <v>1.3604701715033377E-2</v>
      </c>
      <c r="T150" s="20">
        <f t="shared" si="33"/>
        <v>8.2242948363690921E-3</v>
      </c>
    </row>
    <row r="151" spans="13:20" x14ac:dyDescent="0.25">
      <c r="M151" s="22">
        <v>0.20694444444444446</v>
      </c>
      <c r="N151" s="11">
        <v>60.391555853363826</v>
      </c>
      <c r="O151" s="11">
        <f t="shared" si="34"/>
        <v>1.1860118546578646E-2</v>
      </c>
      <c r="P151" s="11">
        <f t="shared" si="29"/>
        <v>6.8522047601220857E-3</v>
      </c>
      <c r="Q151" s="11">
        <f t="shared" si="31"/>
        <v>0.41381530648959841</v>
      </c>
      <c r="R151" s="11">
        <f t="shared" si="32"/>
        <v>-0.40195518794301976</v>
      </c>
      <c r="S151" s="11">
        <f t="shared" si="30"/>
        <v>5.5273396232067267E-3</v>
      </c>
      <c r="T151" s="20">
        <f t="shared" si="33"/>
        <v>6.3327789233719196E-3</v>
      </c>
    </row>
    <row r="152" spans="13:20" x14ac:dyDescent="0.25">
      <c r="M152" s="22">
        <v>0.20833333333333334</v>
      </c>
      <c r="N152" s="11">
        <v>60.337899049091881</v>
      </c>
      <c r="O152" s="11">
        <f t="shared" si="34"/>
        <v>1.1483518700174722E-2</v>
      </c>
      <c r="P152" s="11">
        <f t="shared" si="29"/>
        <v>5.7249072615685919E-3</v>
      </c>
      <c r="Q152" s="11">
        <f t="shared" si="31"/>
        <v>0.34542887641393877</v>
      </c>
      <c r="R152" s="11">
        <f t="shared" si="32"/>
        <v>-0.33394535771376405</v>
      </c>
      <c r="S152" s="11">
        <f t="shared" si="30"/>
        <v>4.4614954340888389E-3</v>
      </c>
      <c r="T152" s="20">
        <f t="shared" si="33"/>
        <v>7.022023266085883E-3</v>
      </c>
    </row>
    <row r="153" spans="13:20" x14ac:dyDescent="0.25">
      <c r="M153" s="22">
        <v>0.20972222222222223</v>
      </c>
      <c r="N153" s="11">
        <v>60.573645676810948</v>
      </c>
      <c r="O153" s="11">
        <f t="shared" si="34"/>
        <v>1.2825725190688475E-2</v>
      </c>
      <c r="P153" s="11">
        <f t="shared" si="29"/>
        <v>6.6434492630162798E-3</v>
      </c>
      <c r="Q153" s="11">
        <f t="shared" si="31"/>
        <v>0.40241794172981893</v>
      </c>
      <c r="R153" s="11">
        <f t="shared" si="32"/>
        <v>-0.38959221653913045</v>
      </c>
      <c r="S153" s="11">
        <f t="shared" si="30"/>
        <v>5.1851659329638505E-3</v>
      </c>
      <c r="T153" s="20">
        <f t="shared" si="33"/>
        <v>7.6405592577246245E-3</v>
      </c>
    </row>
    <row r="154" spans="13:20" x14ac:dyDescent="0.25">
      <c r="M154" s="22">
        <v>0.21111111111111111</v>
      </c>
      <c r="N154" s="11">
        <v>60.574150924275372</v>
      </c>
      <c r="O154" s="11">
        <f t="shared" si="34"/>
        <v>1.2820424075575376E-2</v>
      </c>
      <c r="P154" s="11">
        <f t="shared" si="29"/>
        <v>5.8532899995470036E-3</v>
      </c>
      <c r="Q154" s="11">
        <f t="shared" si="31"/>
        <v>0.35455807183611193</v>
      </c>
      <c r="R154" s="11">
        <f t="shared" si="32"/>
        <v>-0.34173764776053656</v>
      </c>
      <c r="S154" s="11">
        <f t="shared" si="30"/>
        <v>4.4353025634105998E-3</v>
      </c>
      <c r="T154" s="20">
        <f t="shared" si="33"/>
        <v>8.3851215121647765E-3</v>
      </c>
    </row>
    <row r="155" spans="13:20" x14ac:dyDescent="0.25">
      <c r="M155" s="22">
        <v>0.21249999999999999</v>
      </c>
      <c r="N155" s="11">
        <v>60.469198095341127</v>
      </c>
      <c r="O155" s="11">
        <f t="shared" si="34"/>
        <v>1.219851047721987E-2</v>
      </c>
      <c r="P155" s="11">
        <f t="shared" si="29"/>
        <v>4.4850394740805323E-3</v>
      </c>
      <c r="Q155" s="11">
        <f t="shared" si="31"/>
        <v>0.27120674042360032</v>
      </c>
      <c r="R155" s="11">
        <f t="shared" si="32"/>
        <v>-0.25900822994638045</v>
      </c>
      <c r="S155" s="11">
        <f t="shared" si="30"/>
        <v>3.2504005822961562E-3</v>
      </c>
      <c r="T155" s="20">
        <f t="shared" si="33"/>
        <v>8.9481098949237142E-3</v>
      </c>
    </row>
    <row r="156" spans="13:20" x14ac:dyDescent="0.25">
      <c r="M156" s="22">
        <v>0.21388888888888891</v>
      </c>
      <c r="N156" s="11">
        <v>61.191157566823364</v>
      </c>
      <c r="O156" s="11">
        <f t="shared" si="34"/>
        <v>1.5430771403107613E-2</v>
      </c>
      <c r="P156" s="11">
        <f t="shared" ref="P156:P181" si="35">BSGreeks(N156,$B$3,$B$6 - M156,$B$8, $B$5,$G$1)</f>
        <v>9.3362744141683458E-3</v>
      </c>
      <c r="Q156" s="11">
        <f t="shared" si="31"/>
        <v>0.57129743876447669</v>
      </c>
      <c r="R156" s="11">
        <f t="shared" si="32"/>
        <v>-0.55586666736136903</v>
      </c>
      <c r="S156" s="11">
        <f t="shared" ref="S156:S181" si="36">BSCall(N156,$B$3, $B$6 - M156,$B$8, $B$5)</f>
        <v>7.2188645748992334E-3</v>
      </c>
      <c r="T156" s="20">
        <f t="shared" si="33"/>
        <v>8.2119068282083783E-3</v>
      </c>
    </row>
    <row r="157" spans="13:20" x14ac:dyDescent="0.25">
      <c r="M157" s="22">
        <v>0.21527777777777779</v>
      </c>
      <c r="N157" s="11">
        <v>62.178100543866869</v>
      </c>
      <c r="O157" s="11">
        <f t="shared" si="34"/>
        <v>2.4632789138062106E-2</v>
      </c>
      <c r="P157" s="11">
        <f t="shared" si="35"/>
        <v>2.4385073676174394E-2</v>
      </c>
      <c r="Q157" s="11">
        <f t="shared" si="31"/>
        <v>1.5162175628067727</v>
      </c>
      <c r="R157" s="11">
        <f t="shared" si="32"/>
        <v>-1.4915847736687105</v>
      </c>
      <c r="S157" s="11">
        <f t="shared" si="36"/>
        <v>2.1011939482298909E-2</v>
      </c>
      <c r="T157" s="20">
        <f t="shared" si="33"/>
        <v>3.6208496557631961E-3</v>
      </c>
    </row>
    <row r="158" spans="13:20" x14ac:dyDescent="0.25">
      <c r="M158" s="22">
        <v>0.21666666666666667</v>
      </c>
      <c r="N158" s="11">
        <v>62.286657754935995</v>
      </c>
      <c r="O158" s="11">
        <f t="shared" si="34"/>
        <v>2.7246818031464226E-2</v>
      </c>
      <c r="P158" s="11">
        <f t="shared" si="35"/>
        <v>2.4717068931234727E-2</v>
      </c>
      <c r="Q158" s="11">
        <f t="shared" si="31"/>
        <v>1.5395436132249789</v>
      </c>
      <c r="R158" s="11">
        <f t="shared" si="32"/>
        <v>-1.5122967951935147</v>
      </c>
      <c r="S158" s="11">
        <f t="shared" si="36"/>
        <v>2.0946285835174841E-2</v>
      </c>
      <c r="T158" s="20">
        <f t="shared" si="33"/>
        <v>6.3005321962893851E-3</v>
      </c>
    </row>
    <row r="159" spans="13:20" x14ac:dyDescent="0.25">
      <c r="M159" s="22">
        <v>0.21805555555555556</v>
      </c>
      <c r="N159" s="11">
        <v>62.325308951285344</v>
      </c>
      <c r="O159" s="11">
        <f t="shared" si="34"/>
        <v>2.8168555347047874E-2</v>
      </c>
      <c r="P159" s="11">
        <f t="shared" si="35"/>
        <v>2.3233198952107421E-2</v>
      </c>
      <c r="Q159" s="11">
        <f t="shared" si="31"/>
        <v>1.4480163026167738</v>
      </c>
      <c r="R159" s="11">
        <f t="shared" si="32"/>
        <v>-1.419847747269726</v>
      </c>
      <c r="S159" s="11">
        <f t="shared" si="36"/>
        <v>1.9137374658792342E-2</v>
      </c>
      <c r="T159" s="20">
        <f t="shared" si="33"/>
        <v>9.0311806882555322E-3</v>
      </c>
    </row>
    <row r="160" spans="13:20" x14ac:dyDescent="0.25">
      <c r="M160" s="22">
        <v>0.21944444444444444</v>
      </c>
      <c r="N160" s="11">
        <v>62.462602389457771</v>
      </c>
      <c r="O160" s="11">
        <f t="shared" si="34"/>
        <v>3.1326768588183063E-2</v>
      </c>
      <c r="P160" s="11">
        <f t="shared" si="35"/>
        <v>2.4169768604720813E-2</v>
      </c>
      <c r="Q160" s="11">
        <f t="shared" si="31"/>
        <v>1.5097066462018756</v>
      </c>
      <c r="R160" s="11">
        <f t="shared" si="32"/>
        <v>-1.4783798776136925</v>
      </c>
      <c r="S160" s="11">
        <f t="shared" si="36"/>
        <v>1.9619058002785645E-2</v>
      </c>
      <c r="T160" s="20">
        <f t="shared" si="33"/>
        <v>1.1707710585397418E-2</v>
      </c>
    </row>
    <row r="161" spans="13:20" x14ac:dyDescent="0.25">
      <c r="M161" s="22">
        <v>0.22083333333333335</v>
      </c>
      <c r="N161" s="11">
        <v>61.837341463562666</v>
      </c>
      <c r="O161" s="11">
        <f t="shared" si="34"/>
        <v>1.6181503440521272E-2</v>
      </c>
      <c r="P161" s="11">
        <f t="shared" si="35"/>
        <v>1.0256180540849159E-2</v>
      </c>
      <c r="Q161" s="11">
        <f t="shared" si="31"/>
        <v>0.63421493821643626</v>
      </c>
      <c r="R161" s="11">
        <f t="shared" si="32"/>
        <v>-0.61803343477591499</v>
      </c>
      <c r="S161" s="11">
        <f t="shared" si="36"/>
        <v>7.2827705643391787E-3</v>
      </c>
      <c r="T161" s="20">
        <f t="shared" si="33"/>
        <v>8.8987328761820934E-3</v>
      </c>
    </row>
    <row r="162" spans="13:20" x14ac:dyDescent="0.25">
      <c r="M162" s="22">
        <v>0.22222222222222224</v>
      </c>
      <c r="N162" s="11">
        <v>61.424529454058494</v>
      </c>
      <c r="O162" s="11">
        <f t="shared" si="34"/>
        <v>1.1933894712685467E-2</v>
      </c>
      <c r="P162" s="11">
        <f t="shared" si="35"/>
        <v>4.990298073663765E-3</v>
      </c>
      <c r="Q162" s="11">
        <f t="shared" ref="Q162:Q181" si="37">N162*P162</f>
        <v>0.30652671101029128</v>
      </c>
      <c r="R162" s="11">
        <f t="shared" ref="R162:R181" si="38">O162 - Q162</f>
        <v>-0.29459281629760581</v>
      </c>
      <c r="S162" s="11">
        <f t="shared" si="36"/>
        <v>3.198049101795239E-3</v>
      </c>
      <c r="T162" s="20">
        <f t="shared" ref="T162:T181" si="39">O162 - S162</f>
        <v>8.7358456108902281E-3</v>
      </c>
    </row>
    <row r="163" spans="13:20" x14ac:dyDescent="0.25">
      <c r="M163" s="22">
        <v>0.22361111111111112</v>
      </c>
      <c r="N163" s="11">
        <v>61.16387793945875</v>
      </c>
      <c r="O163" s="11">
        <f t="shared" ref="O163:O182" si="40" xml:space="preserve"> P162*N163 + R162* EXP($B$8*(M163 - M162))</f>
        <v>1.0626619381712554E-2</v>
      </c>
      <c r="P163" s="11">
        <f t="shared" si="35"/>
        <v>2.7527836787659076E-3</v>
      </c>
      <c r="Q163" s="11">
        <f t="shared" si="37"/>
        <v>0.16837092492177219</v>
      </c>
      <c r="R163" s="11">
        <f t="shared" si="38"/>
        <v>-0.15774430554005964</v>
      </c>
      <c r="S163" s="11">
        <f t="shared" si="36"/>
        <v>1.6248630140702225E-3</v>
      </c>
      <c r="T163" s="20">
        <f t="shared" si="39"/>
        <v>9.0017563676423312E-3</v>
      </c>
    </row>
    <row r="164" spans="13:20" x14ac:dyDescent="0.25">
      <c r="M164" s="22">
        <v>0.22500000000000001</v>
      </c>
      <c r="N164" s="11">
        <v>60.217446918763194</v>
      </c>
      <c r="O164" s="11">
        <f t="shared" si="40"/>
        <v>8.0177940469025877E-3</v>
      </c>
      <c r="P164" s="11">
        <f t="shared" si="35"/>
        <v>4.0896610157493344E-4</v>
      </c>
      <c r="Q164" s="11">
        <f t="shared" si="37"/>
        <v>2.4626894513162072E-2</v>
      </c>
      <c r="R164" s="11">
        <f t="shared" si="38"/>
        <v>-1.6609100466259484E-2</v>
      </c>
      <c r="S164" s="11">
        <f t="shared" si="36"/>
        <v>2.0122605898045522E-4</v>
      </c>
      <c r="T164" s="20">
        <f t="shared" si="39"/>
        <v>7.8165679879221329E-3</v>
      </c>
    </row>
    <row r="165" spans="13:20" x14ac:dyDescent="0.25">
      <c r="M165" s="22">
        <v>0.22638888888888889</v>
      </c>
      <c r="N165" s="11">
        <v>59.758574260927844</v>
      </c>
      <c r="O165" s="11">
        <f t="shared" si="40"/>
        <v>7.8297615896858221E-3</v>
      </c>
      <c r="P165" s="11">
        <f t="shared" si="35"/>
        <v>1.1028348819491364E-4</v>
      </c>
      <c r="Q165" s="11">
        <f t="shared" si="37"/>
        <v>6.5903840190499061E-3</v>
      </c>
      <c r="R165" s="11">
        <f t="shared" si="38"/>
        <v>1.239377570635916E-3</v>
      </c>
      <c r="S165" s="11">
        <f t="shared" si="36"/>
        <v>4.8420690829948301E-5</v>
      </c>
      <c r="T165" s="20">
        <f t="shared" si="39"/>
        <v>7.7813408988558737E-3</v>
      </c>
    </row>
    <row r="166" spans="13:20" x14ac:dyDescent="0.25">
      <c r="M166" s="22">
        <v>0.22777777777777777</v>
      </c>
      <c r="N166" s="11">
        <v>59.670102910321837</v>
      </c>
      <c r="O166" s="11">
        <f t="shared" si="40"/>
        <v>7.8200322025654898E-3</v>
      </c>
      <c r="P166" s="11">
        <f t="shared" si="35"/>
        <v>5.6860679752563625E-5</v>
      </c>
      <c r="Q166" s="11">
        <f t="shared" si="37"/>
        <v>3.3928826123863247E-3</v>
      </c>
      <c r="R166" s="11">
        <f t="shared" si="38"/>
        <v>4.4271495901791651E-3</v>
      </c>
      <c r="S166" s="11">
        <f t="shared" si="36"/>
        <v>2.3349534209283105E-5</v>
      </c>
      <c r="T166" s="20">
        <f t="shared" si="39"/>
        <v>7.7966826683562064E-3</v>
      </c>
    </row>
    <row r="167" spans="13:20" x14ac:dyDescent="0.25">
      <c r="M167" s="22">
        <v>0.22916666666666669</v>
      </c>
      <c r="N167" s="11">
        <v>59.725546789822637</v>
      </c>
      <c r="O167" s="11">
        <f t="shared" si="40"/>
        <v>7.8232831614371591E-3</v>
      </c>
      <c r="P167" s="11">
        <f t="shared" si="35"/>
        <v>3.8202198369126292E-5</v>
      </c>
      <c r="Q167" s="11">
        <f t="shared" si="37"/>
        <v>2.2816471861693386E-3</v>
      </c>
      <c r="R167" s="11">
        <f t="shared" si="38"/>
        <v>5.541635975267821E-3</v>
      </c>
      <c r="S167" s="11">
        <f t="shared" si="36"/>
        <v>1.490412382844423E-5</v>
      </c>
      <c r="T167" s="20">
        <f t="shared" si="39"/>
        <v>7.8083790376087146E-3</v>
      </c>
    </row>
    <row r="168" spans="13:20" x14ac:dyDescent="0.25">
      <c r="M168" s="22">
        <v>0.23055555555555557</v>
      </c>
      <c r="N168" s="11">
        <v>59.792325903215549</v>
      </c>
      <c r="O168" s="11">
        <f t="shared" si="40"/>
        <v>7.8259574192083414E-3</v>
      </c>
      <c r="P168" s="11">
        <f t="shared" si="35"/>
        <v>2.4964494041767843E-5</v>
      </c>
      <c r="Q168" s="11">
        <f t="shared" si="37"/>
        <v>1.4926851637542657E-3</v>
      </c>
      <c r="R168" s="11">
        <f t="shared" si="38"/>
        <v>6.3332722554540755E-3</v>
      </c>
      <c r="S168" s="11">
        <f t="shared" si="36"/>
        <v>9.2291487991979346E-6</v>
      </c>
      <c r="T168" s="20">
        <f t="shared" si="39"/>
        <v>7.8167282704091432E-3</v>
      </c>
    </row>
    <row r="169" spans="13:20" x14ac:dyDescent="0.25">
      <c r="M169" s="22">
        <v>0.23194444444444445</v>
      </c>
      <c r="N169" s="11">
        <v>60.139311680921594</v>
      </c>
      <c r="O169" s="11">
        <f t="shared" si="40"/>
        <v>7.8347604845356994E-3</v>
      </c>
      <c r="P169" s="11">
        <f t="shared" si="35"/>
        <v>3.2263462349127787E-5</v>
      </c>
      <c r="Q169" s="11">
        <f t="shared" si="37"/>
        <v>1.9403024181198747E-3</v>
      </c>
      <c r="R169" s="11">
        <f t="shared" si="38"/>
        <v>5.8944580664158242E-3</v>
      </c>
      <c r="S169" s="11">
        <f t="shared" si="36"/>
        <v>1.1706653719237459E-5</v>
      </c>
      <c r="T169" s="20">
        <f t="shared" si="39"/>
        <v>7.8230538308164625E-3</v>
      </c>
    </row>
    <row r="170" spans="13:20" x14ac:dyDescent="0.25">
      <c r="M170" s="22">
        <v>0.23333333333333334</v>
      </c>
      <c r="N170" s="11">
        <v>59.370793936574017</v>
      </c>
      <c r="O170" s="11">
        <f t="shared" si="40"/>
        <v>7.8100964306387676E-3</v>
      </c>
      <c r="P170" s="11">
        <f t="shared" si="35"/>
        <v>1.5901406434742948E-6</v>
      </c>
      <c r="Q170" s="11">
        <f t="shared" si="37"/>
        <v>9.4407912473883567E-5</v>
      </c>
      <c r="R170" s="11">
        <f t="shared" si="38"/>
        <v>7.7156885181648843E-3</v>
      </c>
      <c r="S170" s="11">
        <f t="shared" si="36"/>
        <v>4.8105564990477115E-7</v>
      </c>
      <c r="T170" s="20">
        <f t="shared" si="39"/>
        <v>7.8096153749888627E-3</v>
      </c>
    </row>
    <row r="171" spans="13:20" x14ac:dyDescent="0.25">
      <c r="M171" s="22">
        <v>0.23472222222222222</v>
      </c>
      <c r="N171" s="11">
        <v>59.266569374058861</v>
      </c>
      <c r="O171" s="11">
        <f t="shared" si="40"/>
        <v>7.8101021605758332E-3</v>
      </c>
      <c r="P171" s="11">
        <f t="shared" si="35"/>
        <v>3.9246808537761037E-7</v>
      </c>
      <c r="Q171" s="11">
        <f t="shared" si="37"/>
        <v>2.3260237009136202E-5</v>
      </c>
      <c r="R171" s="11">
        <f t="shared" si="38"/>
        <v>7.7868419235666972E-3</v>
      </c>
      <c r="S171" s="11">
        <f t="shared" si="36"/>
        <v>1.0791085641179677E-7</v>
      </c>
      <c r="T171" s="20">
        <f t="shared" si="39"/>
        <v>7.8099942497194211E-3</v>
      </c>
    </row>
    <row r="172" spans="13:20" x14ac:dyDescent="0.25">
      <c r="M172" s="22">
        <v>0.23611111111111113</v>
      </c>
      <c r="N172" s="11">
        <v>58.577305196277024</v>
      </c>
      <c r="O172" s="11">
        <f t="shared" si="40"/>
        <v>7.810004689237985E-3</v>
      </c>
      <c r="P172" s="11">
        <f t="shared" si="35"/>
        <v>6.7910994819273209E-9</v>
      </c>
      <c r="Q172" s="11">
        <f t="shared" si="37"/>
        <v>3.9780430697113548E-7</v>
      </c>
      <c r="R172" s="11">
        <f t="shared" si="38"/>
        <v>7.8096068849310141E-3</v>
      </c>
      <c r="S172" s="11">
        <f t="shared" si="36"/>
        <v>1.5558466021546815E-9</v>
      </c>
      <c r="T172" s="20">
        <f t="shared" si="39"/>
        <v>7.8100031333913833E-3</v>
      </c>
    </row>
    <row r="173" spans="13:20" x14ac:dyDescent="0.25">
      <c r="M173" s="22">
        <v>0.23750000000000002</v>
      </c>
      <c r="N173" s="11">
        <v>58.36438471779222</v>
      </c>
      <c r="O173" s="11">
        <f t="shared" si="40"/>
        <v>7.8101767920218113E-3</v>
      </c>
      <c r="P173" s="11">
        <f t="shared" si="35"/>
        <v>3.8538965162090621E-10</v>
      </c>
      <c r="Q173" s="11">
        <f t="shared" si="37"/>
        <v>2.2493029893458487E-8</v>
      </c>
      <c r="R173" s="11">
        <f t="shared" si="38"/>
        <v>7.8101542989919177E-3</v>
      </c>
      <c r="S173" s="11">
        <f t="shared" si="36"/>
        <v>7.7666242710612928E-11</v>
      </c>
      <c r="T173" s="20">
        <f t="shared" si="39"/>
        <v>7.8101767143555689E-3</v>
      </c>
    </row>
    <row r="174" spans="13:20" x14ac:dyDescent="0.25">
      <c r="M174" s="22">
        <v>0.2388888888888889</v>
      </c>
      <c r="N174" s="11">
        <v>58.479324090806827</v>
      </c>
      <c r="O174" s="11">
        <f t="shared" si="40"/>
        <v>7.8103503972311245E-3</v>
      </c>
      <c r="P174" s="11">
        <f t="shared" si="35"/>
        <v>6.2558457163572533E-11</v>
      </c>
      <c r="Q174" s="11">
        <f t="shared" si="37"/>
        <v>3.658376291089414E-9</v>
      </c>
      <c r="R174" s="11">
        <f t="shared" si="38"/>
        <v>7.8103467388548333E-3</v>
      </c>
      <c r="S174" s="11">
        <f t="shared" si="36"/>
        <v>1.1434249188837734E-11</v>
      </c>
      <c r="T174" s="20">
        <f t="shared" si="39"/>
        <v>7.8103503857968751E-3</v>
      </c>
    </row>
    <row r="175" spans="13:20" x14ac:dyDescent="0.25">
      <c r="M175" s="22">
        <v>0.24027777777777778</v>
      </c>
      <c r="N175" s="11">
        <v>58.499961291586601</v>
      </c>
      <c r="O175" s="11">
        <f t="shared" si="40"/>
        <v>7.8105239637115131E-3</v>
      </c>
      <c r="P175" s="11">
        <f t="shared" si="35"/>
        <v>3.3999038785050574E-12</v>
      </c>
      <c r="Q175" s="11">
        <f t="shared" si="37"/>
        <v>1.9889424528766101E-10</v>
      </c>
      <c r="R175" s="11">
        <f t="shared" si="38"/>
        <v>7.8105237648172674E-3</v>
      </c>
      <c r="S175" s="11">
        <f t="shared" si="36"/>
        <v>5.4807827121825296E-13</v>
      </c>
      <c r="T175" s="20">
        <f t="shared" si="39"/>
        <v>7.8105239631634351E-3</v>
      </c>
    </row>
    <row r="176" spans="13:20" x14ac:dyDescent="0.25">
      <c r="M176" s="22">
        <v>0.24166666666666667</v>
      </c>
      <c r="N176" s="11">
        <v>58.607713196199775</v>
      </c>
      <c r="O176" s="11">
        <f t="shared" si="40"/>
        <v>7.8106975332011708E-3</v>
      </c>
      <c r="P176" s="11">
        <f t="shared" si="35"/>
        <v>1.3010027469735949E-13</v>
      </c>
      <c r="Q176" s="11">
        <f t="shared" si="37"/>
        <v>7.6248795862096514E-12</v>
      </c>
      <c r="R176" s="11">
        <f t="shared" si="38"/>
        <v>7.8106975255762909E-3</v>
      </c>
      <c r="S176" s="11">
        <f t="shared" si="36"/>
        <v>1.8338099055154777E-14</v>
      </c>
      <c r="T176" s="20">
        <f t="shared" si="39"/>
        <v>7.8106975331828331E-3</v>
      </c>
    </row>
    <row r="177" spans="13:20" x14ac:dyDescent="0.25">
      <c r="M177" s="22">
        <v>0.24305555555555555</v>
      </c>
      <c r="N177" s="11">
        <v>58.416393640495372</v>
      </c>
      <c r="O177" s="11">
        <f t="shared" si="40"/>
        <v>7.810871106160985E-3</v>
      </c>
      <c r="P177" s="11">
        <f t="shared" si="35"/>
        <v>1.0989333781326566E-16</v>
      </c>
      <c r="Q177" s="11">
        <f t="shared" si="37"/>
        <v>6.419572480167662E-15</v>
      </c>
      <c r="R177" s="11">
        <f t="shared" si="38"/>
        <v>7.8108711061545657E-3</v>
      </c>
      <c r="S177" s="11">
        <f t="shared" si="36"/>
        <v>1.2645506124500236E-17</v>
      </c>
      <c r="T177" s="20">
        <f t="shared" si="39"/>
        <v>7.810871106160972E-3</v>
      </c>
    </row>
    <row r="178" spans="13:20" x14ac:dyDescent="0.25">
      <c r="M178" s="22">
        <v>0.24444444444444446</v>
      </c>
      <c r="N178" s="11">
        <v>58.999594203348607</v>
      </c>
      <c r="O178" s="11">
        <f t="shared" si="40"/>
        <v>7.8110446830031433E-3</v>
      </c>
      <c r="P178" s="11">
        <f t="shared" si="35"/>
        <v>8.1959217150909769E-18</v>
      </c>
      <c r="Q178" s="11">
        <f t="shared" si="37"/>
        <v>4.8355605531278062E-16</v>
      </c>
      <c r="R178" s="11">
        <f t="shared" si="38"/>
        <v>7.8110446830026593E-3</v>
      </c>
      <c r="S178" s="11">
        <f t="shared" si="36"/>
        <v>8.2311095446620216E-19</v>
      </c>
      <c r="T178" s="20">
        <f t="shared" si="39"/>
        <v>7.8110446830031424E-3</v>
      </c>
    </row>
    <row r="179" spans="13:20" x14ac:dyDescent="0.25">
      <c r="M179" s="22">
        <v>0.24583333333333335</v>
      </c>
      <c r="N179" s="11">
        <v>59.325922473397192</v>
      </c>
      <c r="O179" s="11">
        <f t="shared" si="40"/>
        <v>7.8112182637025459E-3</v>
      </c>
      <c r="P179" s="11">
        <f t="shared" si="35"/>
        <v>2.4557816065624566E-21</v>
      </c>
      <c r="Q179" s="11">
        <f t="shared" si="37"/>
        <v>1.456915092025191E-19</v>
      </c>
      <c r="R179" s="11">
        <f t="shared" si="38"/>
        <v>7.8112182637025459E-3</v>
      </c>
      <c r="S179" s="11">
        <f t="shared" si="36"/>
        <v>1.9532025276355132E-22</v>
      </c>
      <c r="T179" s="20">
        <f t="shared" si="39"/>
        <v>7.8112182637025459E-3</v>
      </c>
    </row>
    <row r="180" spans="13:20" x14ac:dyDescent="0.25">
      <c r="M180" s="22">
        <v>0.24722222222222223</v>
      </c>
      <c r="N180" s="11">
        <v>59.411853309149578</v>
      </c>
      <c r="O180" s="11">
        <f t="shared" si="40"/>
        <v>7.8113918482593378E-3</v>
      </c>
      <c r="P180" s="11">
        <f t="shared" si="35"/>
        <v>2.2505818265454792E-30</v>
      </c>
      <c r="Q180" s="11">
        <f t="shared" si="37"/>
        <v>1.3371123733895792E-28</v>
      </c>
      <c r="R180" s="11">
        <f t="shared" si="38"/>
        <v>7.8113918482593378E-3</v>
      </c>
      <c r="S180" s="11">
        <f t="shared" si="36"/>
        <v>1.2175823604535671E-31</v>
      </c>
      <c r="T180" s="20">
        <f t="shared" si="39"/>
        <v>7.8113918482593378E-3</v>
      </c>
    </row>
    <row r="181" spans="13:20" x14ac:dyDescent="0.25">
      <c r="M181" s="23">
        <v>0.24861111111111112</v>
      </c>
      <c r="N181" s="13">
        <v>59.336873153402834</v>
      </c>
      <c r="O181" s="13">
        <f t="shared" si="40"/>
        <v>7.8115654366736065E-3</v>
      </c>
      <c r="P181" s="13">
        <f t="shared" si="35"/>
        <v>5.8986898941467852E-60</v>
      </c>
      <c r="Q181" s="13">
        <f t="shared" si="37"/>
        <v>3.5000981402024701E-58</v>
      </c>
      <c r="R181" s="13">
        <f t="shared" si="38"/>
        <v>7.8115654366736065E-3</v>
      </c>
      <c r="S181" s="13">
        <f t="shared" si="36"/>
        <v>1.5890047749732094E-61</v>
      </c>
      <c r="T181" s="21">
        <f t="shared" si="39"/>
        <v>7.8115654366736065E-3</v>
      </c>
    </row>
    <row r="182" spans="13:20" x14ac:dyDescent="0.25">
      <c r="O182">
        <f t="shared" si="40"/>
        <v>7.7805544834999322E-3</v>
      </c>
    </row>
  </sheetData>
  <mergeCells count="1">
    <mergeCell ref="A1:B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_xludf.Frequency">
                <anchor moveWithCells="1" sizeWithCells="1">
                  <from>
                    <xdr:col>0</xdr:col>
                    <xdr:colOff>47625</xdr:colOff>
                    <xdr:row>10</xdr:row>
                    <xdr:rowOff>161925</xdr:rowOff>
                  </from>
                  <to>
                    <xdr:col>2</xdr:col>
                    <xdr:colOff>9525</xdr:colOff>
                    <xdr:row>13</xdr:row>
                    <xdr:rowOff>47625</xdr:rowOff>
                  </to>
                </anchor>
              </controlPr>
            </control>
          </mc:Choice>
        </mc:AlternateContent>
        <mc:AlternateContent xmlns:mc="http://schemas.openxmlformats.org/markup-compatibility/2006">
          <mc:Choice Requires="x14">
            <control shapeId="8194" r:id="rId5" name="Button 2">
              <controlPr defaultSize="0" print="0" autoFill="0" autoPict="0" macro="[0]!Fequency_bis">
                <anchor moveWithCells="1" sizeWithCells="1">
                  <from>
                    <xdr:col>28</xdr:col>
                    <xdr:colOff>47625</xdr:colOff>
                    <xdr:row>6</xdr:row>
                    <xdr:rowOff>0</xdr:rowOff>
                  </from>
                  <to>
                    <xdr:col>28</xdr:col>
                    <xdr:colOff>1666875</xdr:colOff>
                    <xdr:row>9</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1CB7-969E-4082-B2D4-E99DB002F4E0}">
  <sheetPr codeName="Feuil9"/>
  <dimension ref="A1:AE92"/>
  <sheetViews>
    <sheetView showGridLines="0" zoomScale="44" zoomScaleNormal="55" workbookViewId="0">
      <selection activeCell="G11" sqref="G11"/>
    </sheetView>
  </sheetViews>
  <sheetFormatPr baseColWidth="10" defaultRowHeight="15" x14ac:dyDescent="0.25"/>
  <cols>
    <col min="1" max="1" width="19" bestFit="1" customWidth="1"/>
    <col min="5" max="5" width="12.140625" bestFit="1" customWidth="1"/>
    <col min="6" max="6" width="16.28515625" customWidth="1"/>
    <col min="9" max="9" width="15.85546875" customWidth="1"/>
    <col min="15" max="15" width="15.42578125" customWidth="1"/>
    <col min="29" max="29" width="13.140625" bestFit="1" customWidth="1"/>
    <col min="30" max="31" width="12.5703125" bestFit="1" customWidth="1"/>
  </cols>
  <sheetData>
    <row r="1" spans="1:31" ht="34.5" customHeight="1" x14ac:dyDescent="0.25">
      <c r="A1" s="61" t="s">
        <v>68</v>
      </c>
      <c r="B1" s="61"/>
      <c r="D1" s="7" t="s">
        <v>25</v>
      </c>
      <c r="E1" s="8" t="s">
        <v>0</v>
      </c>
      <c r="F1" s="8" t="s">
        <v>26</v>
      </c>
      <c r="G1" s="8" t="s">
        <v>7</v>
      </c>
      <c r="H1" s="8" t="s">
        <v>69</v>
      </c>
      <c r="I1" s="8" t="s">
        <v>28</v>
      </c>
      <c r="J1" s="8" t="s">
        <v>35</v>
      </c>
      <c r="K1" s="9" t="s">
        <v>29</v>
      </c>
      <c r="M1" s="3" t="s">
        <v>25</v>
      </c>
      <c r="N1" s="3" t="s">
        <v>0</v>
      </c>
      <c r="O1" s="3" t="s">
        <v>26</v>
      </c>
      <c r="P1" s="3" t="s">
        <v>7</v>
      </c>
      <c r="Q1" s="3" t="s">
        <v>27</v>
      </c>
      <c r="R1" s="3" t="s">
        <v>28</v>
      </c>
      <c r="S1" s="3" t="s">
        <v>35</v>
      </c>
      <c r="T1" s="3" t="s">
        <v>29</v>
      </c>
      <c r="AC1" s="19" t="s">
        <v>56</v>
      </c>
      <c r="AD1" s="19" t="s">
        <v>116</v>
      </c>
      <c r="AE1" s="19" t="s">
        <v>115</v>
      </c>
    </row>
    <row r="2" spans="1:31" x14ac:dyDescent="0.25">
      <c r="A2" s="1" t="s">
        <v>0</v>
      </c>
      <c r="B2" s="1">
        <v>60.57</v>
      </c>
      <c r="D2" s="22">
        <f t="array" ref="D2:D91">TimePath($B$6,$B$9)</f>
        <v>0</v>
      </c>
      <c r="E2" s="11">
        <f>$B$2</f>
        <v>60.57</v>
      </c>
      <c r="F2" s="11">
        <f>BSCall(B2,$B$3, $B$6 - D2,$B$8, $B$5) - BSPut(B2,$B$4, $B$7 - D2,$B$8, $B$5)</f>
        <v>0.53420437876534088</v>
      </c>
      <c r="G2" s="11">
        <f t="shared" ref="G2:G29" si="0">BSGreeksRR(E2,$B$3,$B$4,$B$6 - D2,$B$7 - D2,$B$8, $B$5,$G$1)</f>
        <v>0.1997103005337969</v>
      </c>
      <c r="H2" s="11">
        <f t="shared" ref="H2:H33" si="1">E2*G2</f>
        <v>12.096452903332079</v>
      </c>
      <c r="I2" s="11">
        <f t="shared" ref="I2:I33" si="2">F2 - H2</f>
        <v>-11.562248524566737</v>
      </c>
      <c r="J2" s="11">
        <f>BSCall(E2,$B$3, $B$6 - D2,$B$8,$B$5) - BSPut(E2,$B$4, $B$7 - D2,$B$8, $B$5)</f>
        <v>0.53420437876534088</v>
      </c>
      <c r="K2" s="20">
        <f t="shared" ref="K2:K33" si="3">F2 - J2</f>
        <v>0</v>
      </c>
      <c r="M2" s="26">
        <f t="array" ref="M2:M91">TimePath($B$6,$B$9)</f>
        <v>0</v>
      </c>
      <c r="N2" s="15">
        <f>$B$2</f>
        <v>60.57</v>
      </c>
      <c r="O2" s="15">
        <f>BSCall(N2,$B$3, $B$6 - M2,$B$8, $B$5) - BSPut(N2,$B$4, $B$7 - M2,$B$8, $B$5)</f>
        <v>0.53420437876534088</v>
      </c>
      <c r="P2" s="15">
        <f t="shared" ref="P2:P29" si="4">BSGreeksRR(N2,$B$3,$B$4,$B$6 - M2,$B$7 - M2,$B$8, $B$5,$G$1)</f>
        <v>0.1997103005337969</v>
      </c>
      <c r="Q2" s="15">
        <f t="shared" ref="Q2:Q33" si="5">N2*P2</f>
        <v>12.096452903332079</v>
      </c>
      <c r="R2" s="15">
        <f t="shared" ref="R2:R33" si="6">O2 - Q2</f>
        <v>-11.562248524566737</v>
      </c>
      <c r="S2" s="15">
        <f>BSCall(N2,$B$3, $B$6 - M2,$B$8,$B$5) - BSPut(N2,$B$4, $B$7 - M2,$B$8, $B$5)</f>
        <v>0.53420437876534088</v>
      </c>
      <c r="T2" s="26">
        <f t="shared" ref="T2:T33" si="7">O2 - S2</f>
        <v>0</v>
      </c>
      <c r="AC2" s="44" t="s">
        <v>50</v>
      </c>
      <c r="AD2" s="45">
        <v>-0.4886063957180255</v>
      </c>
      <c r="AE2" s="45">
        <v>-0.44687373414231502</v>
      </c>
    </row>
    <row r="3" spans="1:31" x14ac:dyDescent="0.25">
      <c r="A3" s="1" t="s">
        <v>1</v>
      </c>
      <c r="B3" s="1">
        <v>67</v>
      </c>
      <c r="D3" s="22">
        <v>2.7777777777777779E-3</v>
      </c>
      <c r="E3" s="11">
        <f t="shared" ref="E3:E34" ca="1" si="8" xml:space="preserve"> IF(AND(E2 &lt; $B$12,E2 &gt; $B$11),E2*(1 + $B$8 * (D3-D2) + $B$5*SQRT((D3-D2))*_xlfn.NORM.S.INV(RAND())),IF(E2 &lt; $B$12, E2 + 1, E2 - 1))</f>
        <v>61.249327800499778</v>
      </c>
      <c r="F3" s="11">
        <f t="shared" ref="F3:F34" ca="1" si="9" xml:space="preserve"> G2*E3 + I2* EXP($B$8*(D3 - D2))</f>
        <v>0.66935924883224018</v>
      </c>
      <c r="G3" s="11">
        <f t="shared" ca="1" si="0"/>
        <v>0.21972692362851681</v>
      </c>
      <c r="H3" s="11">
        <f t="shared" ca="1" si="1"/>
        <v>13.458126371918405</v>
      </c>
      <c r="I3" s="11">
        <f t="shared" ca="1" si="2"/>
        <v>-12.788767123086165</v>
      </c>
      <c r="J3" s="11">
        <f ca="1">BSCall(E3,$B$3, $B$6 - D3,$B$8,$B$5) - BSPut(E3,$B$4, $B$7 - D3,$B$8, $B$5)</f>
        <v>0.66876867472855073</v>
      </c>
      <c r="K3" s="20">
        <f t="shared" ca="1" si="3"/>
        <v>5.9057410368945629E-4</v>
      </c>
      <c r="M3" s="26">
        <v>2.7777777777777779E-3</v>
      </c>
      <c r="N3" s="15">
        <f t="shared" ref="N3:N34" ca="1" si="10">N2*(1 + $B$10*360*$B$6/$B$9) + $B$5*N2*SQRT(M3-M2)*_xlfn.NORM.S.INV(RAND())</f>
        <v>61.2069005786609</v>
      </c>
      <c r="O3" s="15">
        <f t="shared" ref="O3:O34" ca="1" si="11" xml:space="preserve"> P2*N3 + R2* EXP($B$8*(M3 - M2))</f>
        <v>0.66088609560798339</v>
      </c>
      <c r="P3" s="15">
        <f t="shared" ca="1" si="4"/>
        <v>0.21811019731164452</v>
      </c>
      <c r="Q3" s="15">
        <f t="shared" ca="1" si="5"/>
        <v>13.349849162045938</v>
      </c>
      <c r="R3" s="15">
        <f t="shared" ca="1" si="6"/>
        <v>-12.688963066437955</v>
      </c>
      <c r="S3" s="15">
        <f ca="1">BSCall(N3,$B$3, $B$6 - M3,$B$8,$B$5) - BSPut(N3,$B$4, $B$7 - M3,$B$8, $B$5)</f>
        <v>0.65948064117846805</v>
      </c>
      <c r="T3" s="26">
        <f t="shared" ca="1" si="7"/>
        <v>1.4054544295153404E-3</v>
      </c>
      <c r="AC3" s="44" t="s">
        <v>51</v>
      </c>
      <c r="AD3" s="45">
        <v>0.25245858607666738</v>
      </c>
      <c r="AE3" s="45">
        <v>4.6583518918112077E-2</v>
      </c>
    </row>
    <row r="4" spans="1:31" x14ac:dyDescent="0.25">
      <c r="A4" s="1" t="s">
        <v>2</v>
      </c>
      <c r="B4" s="1">
        <v>54</v>
      </c>
      <c r="D4" s="22">
        <v>5.5555555555555558E-3</v>
      </c>
      <c r="E4" s="11">
        <f t="shared" ca="1" si="8"/>
        <v>61.84632368988715</v>
      </c>
      <c r="F4" s="11">
        <f t="shared" ca="1" si="9"/>
        <v>0.79996691674521614</v>
      </c>
      <c r="G4" s="11">
        <f t="shared" ca="1" si="0"/>
        <v>0.24214686684171069</v>
      </c>
      <c r="H4" s="11">
        <f t="shared" ca="1" si="1"/>
        <v>14.975893507184441</v>
      </c>
      <c r="I4" s="11">
        <f t="shared" ca="1" si="2"/>
        <v>-14.175926590439225</v>
      </c>
      <c r="J4" s="11">
        <f ca="1">BSCall(E4,$B$3, $B$6 - D4,$B$8,$B$5) - BSPut(E4,$B$4, $B$7 - D4,$B$8, $B$5)</f>
        <v>0.79702183059630038</v>
      </c>
      <c r="K4" s="20">
        <f t="shared" ca="1" si="3"/>
        <v>2.9450861489157543E-3</v>
      </c>
      <c r="M4" s="26">
        <v>5.5555555555555558E-3</v>
      </c>
      <c r="N4" s="15">
        <f t="shared" ca="1" si="10"/>
        <v>62.426764098893237</v>
      </c>
      <c r="O4" s="15">
        <f t="shared" ca="1" si="11"/>
        <v>0.92638680225257808</v>
      </c>
      <c r="P4" s="15">
        <f t="shared" ca="1" si="4"/>
        <v>0.26968871055058524</v>
      </c>
      <c r="Q4" s="15">
        <f t="shared" ca="1" si="5"/>
        <v>16.835793513676084</v>
      </c>
      <c r="R4" s="15">
        <f t="shared" ca="1" si="6"/>
        <v>-15.909406711423506</v>
      </c>
      <c r="S4" s="15">
        <f ca="1">BSCall(N4,$B$3, $B$6 - M4,$B$8,$B$5) - BSPut(N4,$B$4, $B$7 - M4,$B$8, $B$5)</f>
        <v>0.94543520059906783</v>
      </c>
      <c r="T4" s="26">
        <f t="shared" ca="1" si="7"/>
        <v>-1.9048398346489748E-2</v>
      </c>
      <c r="AC4" s="44" t="s">
        <v>52</v>
      </c>
      <c r="AD4" s="45">
        <v>-6.7752042423939424E-2</v>
      </c>
      <c r="AE4" s="45">
        <v>-0.21984149775783096</v>
      </c>
    </row>
    <row r="5" spans="1:31" x14ac:dyDescent="0.25">
      <c r="A5" s="1" t="s">
        <v>3</v>
      </c>
      <c r="B5" s="1">
        <v>0.2</v>
      </c>
      <c r="D5" s="22">
        <v>8.3333333333333332E-3</v>
      </c>
      <c r="E5" s="11">
        <f t="shared" ca="1" si="8"/>
        <v>62.687968671132744</v>
      </c>
      <c r="F5" s="11">
        <f t="shared" ca="1" si="9"/>
        <v>1.0031385567639681</v>
      </c>
      <c r="G5" s="11">
        <f t="shared" ca="1" si="0"/>
        <v>0.28100408185268005</v>
      </c>
      <c r="H5" s="11">
        <f t="shared" ca="1" si="1"/>
        <v>17.615575079641228</v>
      </c>
      <c r="I5" s="11">
        <f t="shared" ca="1" si="2"/>
        <v>-16.61243652287726</v>
      </c>
      <c r="J5" s="11">
        <f ca="1">BSCall(E5,$B$3, $B$6 - D5,$B$8,$B$5) - BSPut(E5,$B$4, $B$7 - D5,$B$8, $B$5)</f>
        <v>1.0055619103920566</v>
      </c>
      <c r="K5" s="20">
        <f t="shared" ca="1" si="3"/>
        <v>-2.4233536280884316E-3</v>
      </c>
      <c r="M5" s="26">
        <v>8.3333333333333332E-3</v>
      </c>
      <c r="N5" s="15">
        <f t="shared" ca="1" si="10"/>
        <v>63.245635176266489</v>
      </c>
      <c r="O5" s="15">
        <f t="shared" ca="1" si="11"/>
        <v>1.146519986760584</v>
      </c>
      <c r="P5" s="15">
        <f t="shared" ca="1" si="4"/>
        <v>0.31089850279383835</v>
      </c>
      <c r="Q5" s="15">
        <f t="shared" ca="1" si="5"/>
        <v>19.662973284546567</v>
      </c>
      <c r="R5" s="15">
        <f t="shared" ca="1" si="6"/>
        <v>-18.516453297785983</v>
      </c>
      <c r="S5" s="15">
        <f ca="1">BSCall(N5,$B$3, $B$6 - M5,$B$8,$B$5) - BSPut(N5,$B$4, $B$7 - M5,$B$8, $B$5)</f>
        <v>1.1705222318273092</v>
      </c>
      <c r="T5" s="26">
        <f t="shared" ca="1" si="7"/>
        <v>-2.4002245066725214E-2</v>
      </c>
      <c r="AC5" s="44" t="s">
        <v>53</v>
      </c>
      <c r="AD5" s="45">
        <v>0.17545867016680114</v>
      </c>
      <c r="AE5" s="45">
        <v>0.11086360815145695</v>
      </c>
    </row>
    <row r="6" spans="1:31" x14ac:dyDescent="0.25">
      <c r="A6" s="1" t="s">
        <v>4</v>
      </c>
      <c r="B6" s="1">
        <v>0.25</v>
      </c>
      <c r="D6" s="22">
        <v>1.1111111111111112E-2</v>
      </c>
      <c r="E6" s="11">
        <f t="shared" ca="1" si="8"/>
        <v>62.055075524597662</v>
      </c>
      <c r="F6" s="11">
        <f t="shared" ca="1" si="9"/>
        <v>0.82455465229130809</v>
      </c>
      <c r="G6" s="11">
        <f t="shared" ca="1" si="0"/>
        <v>0.24730799608140636</v>
      </c>
      <c r="H6" s="11">
        <f t="shared" ca="1" si="1"/>
        <v>15.346716374668574</v>
      </c>
      <c r="I6" s="11">
        <f t="shared" ca="1" si="2"/>
        <v>-14.522161722377266</v>
      </c>
      <c r="J6" s="11">
        <f ca="1">BSCall(E6,$B$3, $B$6 - D6,$B$8,$B$5) - BSPut(E6,$B$4, $B$7 - D6,$B$8, $B$5)</f>
        <v>0.82699784919035113</v>
      </c>
      <c r="K6" s="20">
        <f t="shared" ca="1" si="3"/>
        <v>-2.443196899043043E-3</v>
      </c>
      <c r="M6" s="26">
        <v>1.1111111111111112E-2</v>
      </c>
      <c r="N6" s="15">
        <f t="shared" ca="1" si="10"/>
        <v>63.959486032511265</v>
      </c>
      <c r="O6" s="15">
        <f t="shared" ca="1" si="11"/>
        <v>1.3676321774171569</v>
      </c>
      <c r="P6" s="15">
        <f t="shared" ca="1" si="4"/>
        <v>0.35002349855349135</v>
      </c>
      <c r="Q6" s="15">
        <f t="shared" ca="1" si="5"/>
        <v>22.387323066782756</v>
      </c>
      <c r="R6" s="15">
        <f t="shared" ca="1" si="6"/>
        <v>-21.019690889365599</v>
      </c>
      <c r="S6" s="15">
        <f ca="1">BSCall(N6,$B$3, $B$6 - M6,$B$8,$B$5) - BSPut(N6,$B$4, $B$7 - M6,$B$8, $B$5)</f>
        <v>1.3925932315344449</v>
      </c>
      <c r="T6" s="26">
        <f t="shared" ca="1" si="7"/>
        <v>-2.4961054117287995E-2</v>
      </c>
    </row>
    <row r="7" spans="1:31" x14ac:dyDescent="0.25">
      <c r="A7" s="1" t="s">
        <v>5</v>
      </c>
      <c r="B7" s="1">
        <v>8.3333333333333329E-2</v>
      </c>
      <c r="D7" s="22">
        <v>1.388888888888889E-2</v>
      </c>
      <c r="E7" s="11">
        <f t="shared" ca="1" si="8"/>
        <v>61.696881769973743</v>
      </c>
      <c r="F7" s="11">
        <f t="shared" ca="1" si="9"/>
        <v>0.73532502887342055</v>
      </c>
      <c r="G7" s="11">
        <f t="shared" ca="1" si="0"/>
        <v>0.22832073507704537</v>
      </c>
      <c r="H7" s="11">
        <f t="shared" ca="1" si="1"/>
        <v>14.086677397681965</v>
      </c>
      <c r="I7" s="11">
        <f t="shared" ca="1" si="2"/>
        <v>-13.351352368808545</v>
      </c>
      <c r="J7" s="11">
        <f ca="1">BSCall(E7,$B$3, $B$6 - D7,$B$8,$B$5) - BSPut(E7,$B$4, $B$7 - D7,$B$8, $B$5)</f>
        <v>0.73129325633311792</v>
      </c>
      <c r="K7" s="20">
        <f t="shared" ca="1" si="3"/>
        <v>4.031772540302625E-3</v>
      </c>
      <c r="M7" s="26">
        <v>1.388888888888889E-2</v>
      </c>
      <c r="N7" s="15">
        <f t="shared" ca="1" si="10"/>
        <v>64.674229686837322</v>
      </c>
      <c r="O7" s="15">
        <f t="shared" ca="1" si="11"/>
        <v>1.616875022628804</v>
      </c>
      <c r="P7" s="15">
        <f t="shared" ca="1" si="4"/>
        <v>0.39150504419361171</v>
      </c>
      <c r="Q7" s="15">
        <f t="shared" ca="1" si="5"/>
        <v>25.320287151733041</v>
      </c>
      <c r="R7" s="15">
        <f t="shared" ca="1" si="6"/>
        <v>-23.703412129104237</v>
      </c>
      <c r="S7" s="15">
        <f ca="1">BSCall(N7,$B$3, $B$6 - M7,$B$8,$B$5) - BSPut(N7,$B$4, $B$7 - M7,$B$8, $B$5)</f>
        <v>1.6427574208712088</v>
      </c>
      <c r="T7" s="26">
        <f t="shared" ca="1" si="7"/>
        <v>-2.5882398242404792E-2</v>
      </c>
    </row>
    <row r="8" spans="1:31" x14ac:dyDescent="0.25">
      <c r="A8" s="1" t="s">
        <v>6</v>
      </c>
      <c r="B8" s="1">
        <v>1.6E-2</v>
      </c>
      <c r="D8" s="22">
        <v>1.6666666666666666E-2</v>
      </c>
      <c r="E8" s="11">
        <f t="shared" ca="1" si="8"/>
        <v>60.498577110644966</v>
      </c>
      <c r="F8" s="11">
        <f t="shared" ca="1" si="9"/>
        <v>0.46113382158389626</v>
      </c>
      <c r="G8" s="11">
        <f t="shared" ca="1" si="0"/>
        <v>0.17844088919721421</v>
      </c>
      <c r="H8" s="11">
        <f t="shared" ca="1" si="1"/>
        <v>10.795419894789719</v>
      </c>
      <c r="I8" s="11">
        <f t="shared" ca="1" si="2"/>
        <v>-10.334286073205822</v>
      </c>
      <c r="J8" s="11">
        <f ca="1">BSCall(E8,$B$3, $B$6 - D8,$B$8,$B$5) - BSPut(E8,$B$4, $B$7 - D8,$B$8, $B$5)</f>
        <v>0.48035478991591096</v>
      </c>
      <c r="K8" s="20">
        <f t="shared" ca="1" si="3"/>
        <v>-1.9220968332014698E-2</v>
      </c>
      <c r="M8" s="26">
        <v>1.6666666666666666E-2</v>
      </c>
      <c r="N8" s="15">
        <f t="shared" ca="1" si="10"/>
        <v>64.907790849256671</v>
      </c>
      <c r="O8" s="15">
        <f t="shared" ca="1" si="11"/>
        <v>1.7072618874490644</v>
      </c>
      <c r="P8" s="15">
        <f t="shared" ca="1" si="4"/>
        <v>0.40476201534567774</v>
      </c>
      <c r="Q8" s="15">
        <f t="shared" ca="1" si="5"/>
        <v>26.27220823578087</v>
      </c>
      <c r="R8" s="15">
        <f t="shared" ca="1" si="6"/>
        <v>-24.564946348331805</v>
      </c>
      <c r="S8" s="15">
        <f ca="1">BSCall(N8,$B$3, $B$6 - M8,$B$8,$B$5) - BSPut(N8,$B$4, $B$7 - M8,$B$8, $B$5)</f>
        <v>1.7203905164813431</v>
      </c>
      <c r="T8" s="26">
        <f t="shared" ca="1" si="7"/>
        <v>-1.3128629032278738E-2</v>
      </c>
    </row>
    <row r="9" spans="1:31" x14ac:dyDescent="0.25">
      <c r="A9" s="1" t="s">
        <v>30</v>
      </c>
      <c r="B9" s="1">
        <f>360*B6</f>
        <v>90</v>
      </c>
      <c r="D9" s="22">
        <v>1.9444444444444445E-2</v>
      </c>
      <c r="E9" s="11">
        <f t="shared" ca="1" si="8"/>
        <v>59.761526207097283</v>
      </c>
      <c r="F9" s="11">
        <f t="shared" ca="1" si="9"/>
        <v>0.32915449116113038</v>
      </c>
      <c r="G9" s="11">
        <f t="shared" ca="1" si="0"/>
        <v>0.15491068483815268</v>
      </c>
      <c r="H9" s="11">
        <f t="shared" ca="1" si="1"/>
        <v>9.2576989517146497</v>
      </c>
      <c r="I9" s="11">
        <f t="shared" ca="1" si="2"/>
        <v>-8.9285444605535194</v>
      </c>
      <c r="J9" s="11">
        <f ca="1">BSCall(E9,$B$3, $B$6 - D9,$B$8,$B$5) - BSPut(E9,$B$4, $B$7 - D9,$B$8, $B$5)</f>
        <v>0.35204640830710121</v>
      </c>
      <c r="K9" s="20">
        <f t="shared" ca="1" si="3"/>
        <v>-2.289191714597083E-2</v>
      </c>
      <c r="M9" s="26">
        <v>1.9444444444444445E-2</v>
      </c>
      <c r="N9" s="15">
        <f t="shared" ca="1" si="10"/>
        <v>65.503989772900098</v>
      </c>
      <c r="O9" s="15">
        <f t="shared" ca="1" si="11"/>
        <v>1.9474887656746098</v>
      </c>
      <c r="P9" s="15">
        <f t="shared" ca="1" si="4"/>
        <v>0.44094417878527126</v>
      </c>
      <c r="Q9" s="15">
        <f t="shared" ca="1" si="5"/>
        <v>28.883602977570241</v>
      </c>
      <c r="R9" s="15">
        <f t="shared" ca="1" si="6"/>
        <v>-26.936114211895632</v>
      </c>
      <c r="S9" s="15">
        <f ca="1">BSCall(N9,$B$3, $B$6 - M9,$B$8,$B$5) - BSPut(N9,$B$4, $B$7 - M9,$B$8, $B$5)</f>
        <v>1.9566205844105105</v>
      </c>
      <c r="T9" s="26">
        <f t="shared" ca="1" si="7"/>
        <v>-9.131818735900632E-3</v>
      </c>
    </row>
    <row r="10" spans="1:31" x14ac:dyDescent="0.25">
      <c r="A10" s="25" t="s">
        <v>57</v>
      </c>
      <c r="B10" s="28">
        <f>0.8%</f>
        <v>8.0000000000000002E-3</v>
      </c>
      <c r="D10" s="22">
        <v>2.2222222222222223E-2</v>
      </c>
      <c r="E10" s="11">
        <f t="shared" ca="1" si="8"/>
        <v>60.761526207097283</v>
      </c>
      <c r="F10" s="11">
        <f t="shared" ca="1" si="9"/>
        <v>0.48366834298258965</v>
      </c>
      <c r="G10" s="11">
        <f t="shared" ca="1" si="0"/>
        <v>0.18165422799763123</v>
      </c>
      <c r="H10" s="11">
        <f t="shared" ca="1" si="1"/>
        <v>11.037588135108095</v>
      </c>
      <c r="I10" s="11">
        <f t="shared" ca="1" si="2"/>
        <v>-10.553919792125505</v>
      </c>
      <c r="J10" s="11">
        <f ca="1">BSCall(E10,$B$3, $B$6 - D10,$B$8,$B$5) - BSPut(E10,$B$4, $B$7 - D10,$B$8, $B$5)</f>
        <v>0.51245354068262228</v>
      </c>
      <c r="K10" s="20">
        <f t="shared" ca="1" si="3"/>
        <v>-2.8785197700032628E-2</v>
      </c>
      <c r="M10" s="26">
        <v>2.2222222222222223E-2</v>
      </c>
      <c r="N10" s="15">
        <f t="shared" ca="1" si="10"/>
        <v>66.204166370465487</v>
      </c>
      <c r="O10" s="15">
        <f t="shared" ca="1" si="11"/>
        <v>2.2550303732571457</v>
      </c>
      <c r="P10" s="15">
        <f t="shared" ca="1" si="4"/>
        <v>0.48434966900032117</v>
      </c>
      <c r="Q10" s="15">
        <f t="shared" ca="1" si="5"/>
        <v>32.065966067977151</v>
      </c>
      <c r="R10" s="15">
        <f t="shared" ca="1" si="6"/>
        <v>-29.810935694720005</v>
      </c>
      <c r="S10" s="15">
        <f ca="1">BSCall(N10,$B$3, $B$6 - M10,$B$8,$B$5) - BSPut(N10,$B$4, $B$7 - M10,$B$8, $B$5)</f>
        <v>2.264102283824784</v>
      </c>
      <c r="T10" s="26">
        <f t="shared" ca="1" si="7"/>
        <v>-9.0719105676382306E-3</v>
      </c>
    </row>
    <row r="11" spans="1:31" x14ac:dyDescent="0.25">
      <c r="A11" s="25" t="s">
        <v>58</v>
      </c>
      <c r="B11" s="25">
        <v>60</v>
      </c>
      <c r="D11" s="22">
        <v>2.5000000000000001E-2</v>
      </c>
      <c r="E11" s="11">
        <f t="shared" ca="1" si="8"/>
        <v>60.676640747176648</v>
      </c>
      <c r="F11" s="11">
        <f t="shared" ca="1" si="9"/>
        <v>0.46777946676683335</v>
      </c>
      <c r="G11" s="11">
        <f t="shared" ca="1" si="0"/>
        <v>0.17564214370953871</v>
      </c>
      <c r="H11" s="11">
        <f t="shared" ca="1" si="1"/>
        <v>10.657375253927652</v>
      </c>
      <c r="I11" s="11">
        <f t="shared" ca="1" si="2"/>
        <v>-10.189595787160819</v>
      </c>
      <c r="J11" s="11">
        <f ca="1">BSCall(E11,$B$3, $B$6 - D11,$B$8,$B$5) - BSPut(E11,$B$4, $B$7 - D11,$B$8, $B$5)</f>
        <v>0.48920394604755474</v>
      </c>
      <c r="K11" s="20">
        <f t="shared" ca="1" si="3"/>
        <v>-2.1424479280721387E-2</v>
      </c>
      <c r="M11" s="26">
        <v>2.5000000000000001E-2</v>
      </c>
      <c r="N11" s="15">
        <f t="shared" ca="1" si="10"/>
        <v>67.614457413053373</v>
      </c>
      <c r="O11" s="15">
        <f t="shared" ca="1" si="11"/>
        <v>2.9367794130100542</v>
      </c>
      <c r="P11" s="15">
        <f t="shared" ca="1" si="4"/>
        <v>0.57205761813342748</v>
      </c>
      <c r="Q11" s="15">
        <f t="shared" ca="1" si="5"/>
        <v>38.679365459095379</v>
      </c>
      <c r="R11" s="15">
        <f t="shared" ca="1" si="6"/>
        <v>-35.742586046085322</v>
      </c>
      <c r="S11" s="15">
        <f ca="1">BSCall(N11,$B$3, $B$6 - M11,$B$8,$B$5) - BSPut(N11,$B$4, $B$7 - M11,$B$8, $B$5)</f>
        <v>2.99230716164434</v>
      </c>
      <c r="T11" s="26">
        <f t="shared" ca="1" si="7"/>
        <v>-5.5527748634285778E-2</v>
      </c>
    </row>
    <row r="12" spans="1:31" x14ac:dyDescent="0.25">
      <c r="A12" s="25" t="s">
        <v>59</v>
      </c>
      <c r="B12" s="25">
        <v>65</v>
      </c>
      <c r="D12" s="22">
        <v>2.777777777777778E-2</v>
      </c>
      <c r="E12" s="11">
        <f t="shared" ca="1" si="8"/>
        <v>60.272446571569049</v>
      </c>
      <c r="F12" s="11">
        <f t="shared" ca="1" si="9"/>
        <v>0.3963330543003849</v>
      </c>
      <c r="G12" s="11">
        <f t="shared" ca="1" si="0"/>
        <v>0.15855728054418214</v>
      </c>
      <c r="H12" s="11">
        <f t="shared" ca="1" si="1"/>
        <v>9.5566352201325024</v>
      </c>
      <c r="I12" s="11">
        <f t="shared" ca="1" si="2"/>
        <v>-9.1603021658321175</v>
      </c>
      <c r="J12" s="11">
        <f ca="1">BSCall(E12,$B$3, $B$6 - D12,$B$8,$B$5) - BSPut(E12,$B$4, $B$7 - D12,$B$8, $B$5)</f>
        <v>0.41419870921353064</v>
      </c>
      <c r="K12" s="20">
        <f t="shared" ca="1" si="3"/>
        <v>-1.7865654913145734E-2</v>
      </c>
      <c r="M12" s="26">
        <v>2.777777777777778E-2</v>
      </c>
      <c r="N12" s="15">
        <f t="shared" ca="1" si="10"/>
        <v>67.218300513138132</v>
      </c>
      <c r="O12" s="15">
        <f t="shared" ca="1" si="11"/>
        <v>2.7085662457557618</v>
      </c>
      <c r="P12" s="15">
        <f t="shared" ca="1" si="4"/>
        <v>0.54750442441467306</v>
      </c>
      <c r="Q12" s="15">
        <f t="shared" ca="1" si="5"/>
        <v>36.802316932578215</v>
      </c>
      <c r="R12" s="15">
        <f t="shared" ca="1" si="6"/>
        <v>-34.093750686822453</v>
      </c>
      <c r="S12" s="15">
        <f ca="1">BSCall(N12,$B$3, $B$6 - M12,$B$8,$B$5) - BSPut(N12,$B$4, $B$7 - M12,$B$8, $B$5)</f>
        <v>2.7533560532590222</v>
      </c>
      <c r="T12" s="26">
        <f t="shared" ca="1" si="7"/>
        <v>-4.4789807503260448E-2</v>
      </c>
    </row>
    <row r="13" spans="1:31" x14ac:dyDescent="0.25">
      <c r="D13" s="22">
        <v>3.0555555555555558E-2</v>
      </c>
      <c r="E13" s="11">
        <f t="shared" ca="1" si="8"/>
        <v>60.12547772556217</v>
      </c>
      <c r="F13" s="11">
        <f t="shared" ca="1" si="9"/>
        <v>0.37262294016476716</v>
      </c>
      <c r="G13" s="11">
        <f t="shared" ca="1" si="0"/>
        <v>0.15070178209949531</v>
      </c>
      <c r="H13" s="11">
        <f t="shared" ca="1" si="1"/>
        <v>9.0610166428257291</v>
      </c>
      <c r="I13" s="11">
        <f t="shared" ca="1" si="2"/>
        <v>-8.6883937026609619</v>
      </c>
      <c r="J13" s="11">
        <f ca="1">BSCall(E13,$B$3, $B$6 - D13,$B$8,$B$5) - BSPut(E13,$B$4, $B$7 - D13,$B$8, $B$5)</f>
        <v>0.38463690672438866</v>
      </c>
      <c r="K13" s="20">
        <f t="shared" ca="1" si="3"/>
        <v>-1.2013966559621503E-2</v>
      </c>
      <c r="M13" s="26">
        <v>3.0555555555555558E-2</v>
      </c>
      <c r="N13" s="15">
        <f t="shared" ca="1" si="10"/>
        <v>68.577189161478088</v>
      </c>
      <c r="O13" s="15">
        <f t="shared" ca="1" si="11"/>
        <v>3.4510484815271241</v>
      </c>
      <c r="P13" s="15">
        <f t="shared" ca="1" si="4"/>
        <v>0.63030659274520062</v>
      </c>
      <c r="Q13" s="15">
        <f t="shared" ca="1" si="5"/>
        <v>43.224654440414355</v>
      </c>
      <c r="R13" s="15">
        <f t="shared" ca="1" si="6"/>
        <v>-39.773605958887231</v>
      </c>
      <c r="S13" s="15">
        <f ca="1">BSCall(N13,$B$3, $B$6 - M13,$B$8,$B$5) - BSPut(N13,$B$4, $B$7 - M13,$B$8, $B$5)</f>
        <v>3.5369161938656282</v>
      </c>
      <c r="T13" s="26">
        <f t="shared" ca="1" si="7"/>
        <v>-8.5867712338504099E-2</v>
      </c>
    </row>
    <row r="14" spans="1:31" x14ac:dyDescent="0.25">
      <c r="D14" s="22">
        <v>3.3333333333333333E-2</v>
      </c>
      <c r="E14" s="11">
        <f t="shared" ca="1" si="8"/>
        <v>59.603066227872148</v>
      </c>
      <c r="F14" s="11">
        <f t="shared" ca="1" si="9"/>
        <v>0.29350843706112784</v>
      </c>
      <c r="G14" s="11">
        <f t="shared" ca="1" si="0"/>
        <v>0.13272537479609309</v>
      </c>
      <c r="H14" s="11">
        <f t="shared" ca="1" si="1"/>
        <v>7.9108393040906888</v>
      </c>
      <c r="I14" s="11">
        <f t="shared" ca="1" si="2"/>
        <v>-7.617330867029561</v>
      </c>
      <c r="J14" s="11">
        <f ca="1">BSCall(E14,$B$3, $B$6 - D14,$B$8,$B$5) - BSPut(E14,$B$4, $B$7 - D14,$B$8, $B$5)</f>
        <v>0.30483152529648211</v>
      </c>
      <c r="K14" s="20">
        <f t="shared" ca="1" si="3"/>
        <v>-1.1323088235354273E-2</v>
      </c>
      <c r="M14" s="26">
        <v>3.3333333333333333E-2</v>
      </c>
      <c r="N14" s="15">
        <f t="shared" ca="1" si="10"/>
        <v>70.414708979075257</v>
      </c>
      <c r="O14" s="15">
        <f t="shared" ca="1" si="11"/>
        <v>4.6074815817550316</v>
      </c>
      <c r="P14" s="15">
        <f t="shared" ca="1" si="4"/>
        <v>0.73163049785755574</v>
      </c>
      <c r="Q14" s="15">
        <f t="shared" ca="1" si="5"/>
        <v>51.517548586855732</v>
      </c>
      <c r="R14" s="15">
        <f t="shared" ca="1" si="6"/>
        <v>-46.9100670051007</v>
      </c>
      <c r="S14" s="15">
        <f ca="1">BSCall(N14,$B$3, $B$6 - M14,$B$8,$B$5) - BSPut(N14,$B$4, $B$7 - M14,$B$8, $B$5)</f>
        <v>4.7739045069776846</v>
      </c>
      <c r="T14" s="26">
        <f t="shared" ca="1" si="7"/>
        <v>-0.16642292522265301</v>
      </c>
    </row>
    <row r="15" spans="1:31" x14ac:dyDescent="0.25">
      <c r="D15" s="22">
        <v>3.6111111111111115E-2</v>
      </c>
      <c r="E15" s="11">
        <f t="shared" ca="1" si="8"/>
        <v>60.603066227872148</v>
      </c>
      <c r="F15" s="11">
        <f t="shared" ca="1" si="9"/>
        <v>0.42589525629528513</v>
      </c>
      <c r="G15" s="11">
        <f t="shared" ca="1" si="0"/>
        <v>0.16179658594403903</v>
      </c>
      <c r="H15" s="11">
        <f t="shared" ca="1" si="1"/>
        <v>9.8053692134102057</v>
      </c>
      <c r="I15" s="11">
        <f t="shared" ca="1" si="2"/>
        <v>-9.3794739571149215</v>
      </c>
      <c r="J15" s="11">
        <f ca="1">BSCall(E15,$B$3, $B$6 - D15,$B$8,$B$5) - BSPut(E15,$B$4, $B$7 - D15,$B$8, $B$5)</f>
        <v>0.44393378264229383</v>
      </c>
      <c r="K15" s="20">
        <f t="shared" ca="1" si="3"/>
        <v>-1.8038526347008699E-2</v>
      </c>
      <c r="M15" s="26">
        <v>3.6111111111111115E-2</v>
      </c>
      <c r="N15" s="15">
        <f t="shared" ca="1" si="10"/>
        <v>70.22868575627281</v>
      </c>
      <c r="O15" s="15">
        <f t="shared" ca="1" si="11"/>
        <v>4.4692963804445043</v>
      </c>
      <c r="P15" s="15">
        <f t="shared" ca="1" si="4"/>
        <v>0.7230980877648443</v>
      </c>
      <c r="Q15" s="15">
        <f t="shared" ca="1" si="5"/>
        <v>50.782228376599029</v>
      </c>
      <c r="R15" s="15">
        <f t="shared" ca="1" si="6"/>
        <v>-46.312931996154525</v>
      </c>
      <c r="S15" s="15">
        <f ca="1">BSCall(N15,$B$3, $B$6 - M15,$B$8,$B$5) - BSPut(N15,$B$4, $B$7 - M15,$B$8, $B$5)</f>
        <v>4.6225421706886998</v>
      </c>
      <c r="T15" s="26">
        <f t="shared" ca="1" si="7"/>
        <v>-0.15324579024419549</v>
      </c>
    </row>
    <row r="16" spans="1:31" x14ac:dyDescent="0.25">
      <c r="D16" s="22">
        <v>3.888888888888889E-2</v>
      </c>
      <c r="E16" s="11">
        <f t="shared" ca="1" si="8"/>
        <v>61.258198156762994</v>
      </c>
      <c r="F16" s="11">
        <f t="shared" ca="1" si="9"/>
        <v>0.53147649095973648</v>
      </c>
      <c r="G16" s="11">
        <f t="shared" ca="1" si="0"/>
        <v>0.18734811051264713</v>
      </c>
      <c r="H16" s="11">
        <f t="shared" ca="1" si="1"/>
        <v>11.476607678078871</v>
      </c>
      <c r="I16" s="11">
        <f t="shared" ca="1" si="2"/>
        <v>-10.945131187119134</v>
      </c>
      <c r="J16" s="11">
        <f ca="1">BSCall(E16,$B$3, $B$6 - D16,$B$8,$B$5) - BSPut(E16,$B$4, $B$7 - D16,$B$8, $B$5)</f>
        <v>0.54877050927775584</v>
      </c>
      <c r="K16" s="20">
        <f t="shared" ca="1" si="3"/>
        <v>-1.7294018318019355E-2</v>
      </c>
      <c r="M16" s="26">
        <v>3.888888888888889E-2</v>
      </c>
      <c r="N16" s="15">
        <f t="shared" ca="1" si="10"/>
        <v>70.184187249727628</v>
      </c>
      <c r="O16" s="15">
        <f t="shared" ca="1" si="11"/>
        <v>4.4350611971782854</v>
      </c>
      <c r="P16" s="15">
        <f t="shared" ca="1" si="4"/>
        <v>0.72172268655867688</v>
      </c>
      <c r="Q16" s="15">
        <f t="shared" ca="1" si="5"/>
        <v>50.653520175810662</v>
      </c>
      <c r="R16" s="15">
        <f t="shared" ca="1" si="6"/>
        <v>-46.218458978632377</v>
      </c>
      <c r="S16" s="15">
        <f ca="1">BSCall(N16,$B$3, $B$6 - M16,$B$8,$B$5) - BSPut(N16,$B$4, $B$7 - M16,$B$8, $B$5)</f>
        <v>4.5741649685452126</v>
      </c>
      <c r="T16" s="26">
        <f t="shared" ca="1" si="7"/>
        <v>-0.1391037713669272</v>
      </c>
    </row>
    <row r="17" spans="4:20" x14ac:dyDescent="0.25">
      <c r="D17" s="22">
        <v>4.1666666666666671E-2</v>
      </c>
      <c r="E17" s="11">
        <f t="shared" ca="1" si="8"/>
        <v>61.513885310850149</v>
      </c>
      <c r="F17" s="11">
        <f t="shared" ca="1" si="9"/>
        <v>0.57889253507517147</v>
      </c>
      <c r="G17" s="11">
        <f t="shared" ca="1" si="0"/>
        <v>0.19726547821330154</v>
      </c>
      <c r="H17" s="11">
        <f t="shared" ca="1" si="1"/>
        <v>12.134566002603039</v>
      </c>
      <c r="I17" s="11">
        <f t="shared" ca="1" si="2"/>
        <v>-11.555673467527868</v>
      </c>
      <c r="J17" s="11">
        <f ca="1">BSCall(E17,$B$3, $B$6 - D17,$B$8,$B$5) - BSPut(E17,$B$4, $B$7 - D17,$B$8, $B$5)</f>
        <v>0.58752758367322122</v>
      </c>
      <c r="K17" s="20">
        <f t="shared" ca="1" si="3"/>
        <v>-8.6350485980497549E-3</v>
      </c>
      <c r="M17" s="26">
        <v>4.1666666666666671E-2</v>
      </c>
      <c r="N17" s="15">
        <f t="shared" ca="1" si="10"/>
        <v>70.350204065819355</v>
      </c>
      <c r="O17" s="15">
        <f t="shared" ca="1" si="11"/>
        <v>4.5528251003210016</v>
      </c>
      <c r="P17" s="15">
        <f t="shared" ca="1" si="4"/>
        <v>0.73127037275606854</v>
      </c>
      <c r="Q17" s="15">
        <f t="shared" ca="1" si="5"/>
        <v>51.445019950677207</v>
      </c>
      <c r="R17" s="15">
        <f t="shared" ca="1" si="6"/>
        <v>-46.892194850356205</v>
      </c>
      <c r="S17" s="15">
        <f ca="1">BSCall(N17,$B$3, $B$6 - M17,$B$8,$B$5) - BSPut(N17,$B$4, $B$7 - M17,$B$8, $B$5)</f>
        <v>4.6785304352488906</v>
      </c>
      <c r="T17" s="26">
        <f t="shared" ca="1" si="7"/>
        <v>-0.12570533492788893</v>
      </c>
    </row>
    <row r="18" spans="4:20" x14ac:dyDescent="0.25">
      <c r="D18" s="22">
        <v>4.4444444444444446E-2</v>
      </c>
      <c r="E18" s="11">
        <f t="shared" ca="1" si="8"/>
        <v>61.332462895944211</v>
      </c>
      <c r="F18" s="11">
        <f t="shared" ca="1" si="9"/>
        <v>0.54259055873951567</v>
      </c>
      <c r="G18" s="11">
        <f t="shared" ca="1" si="0"/>
        <v>0.18645094110887553</v>
      </c>
      <c r="H18" s="11">
        <f t="shared" ca="1" si="1"/>
        <v>11.435495427473988</v>
      </c>
      <c r="I18" s="11">
        <f t="shared" ca="1" si="2"/>
        <v>-10.892904868734473</v>
      </c>
      <c r="J18" s="11">
        <f ca="1">BSCall(E18,$B$3, $B$6 - D18,$B$8,$B$5) - BSPut(E18,$B$4, $B$7 - D18,$B$8, $B$5)</f>
        <v>0.54218117731543203</v>
      </c>
      <c r="K18" s="20">
        <f t="shared" ca="1" si="3"/>
        <v>4.0938142408364353E-4</v>
      </c>
      <c r="M18" s="26">
        <v>4.4444444444444446E-2</v>
      </c>
      <c r="N18" s="15">
        <f t="shared" ca="1" si="10"/>
        <v>70.75640182983885</v>
      </c>
      <c r="O18" s="15">
        <f t="shared" ca="1" si="11"/>
        <v>4.8477813467653519</v>
      </c>
      <c r="P18" s="15">
        <f t="shared" ca="1" si="4"/>
        <v>0.75276057862674506</v>
      </c>
      <c r="Q18" s="15">
        <f t="shared" ca="1" si="5"/>
        <v>53.262629982975973</v>
      </c>
      <c r="R18" s="15">
        <f t="shared" ca="1" si="6"/>
        <v>-48.414848636210621</v>
      </c>
      <c r="S18" s="15">
        <f ca="1">BSCall(N18,$B$3, $B$6 - M18,$B$8,$B$5) - BSPut(N18,$B$4, $B$7 - M18,$B$8, $B$5)</f>
        <v>4.9639349897791085</v>
      </c>
      <c r="T18" s="26">
        <f t="shared" ca="1" si="7"/>
        <v>-0.11615364301375664</v>
      </c>
    </row>
    <row r="19" spans="4:20" x14ac:dyDescent="0.25">
      <c r="D19" s="22">
        <v>4.7222222222222221E-2</v>
      </c>
      <c r="E19" s="11">
        <f t="shared" ca="1" si="8"/>
        <v>61.429284657256645</v>
      </c>
      <c r="F19" s="11">
        <f t="shared" ca="1" si="9"/>
        <v>0.56015892739217676</v>
      </c>
      <c r="G19" s="11">
        <f t="shared" ca="1" si="0"/>
        <v>0.18898017912995671</v>
      </c>
      <c r="H19" s="11">
        <f t="shared" ca="1" si="1"/>
        <v>11.608917218353461</v>
      </c>
      <c r="I19" s="11">
        <f t="shared" ca="1" si="2"/>
        <v>-11.048758290961285</v>
      </c>
      <c r="J19" s="11">
        <f ca="1">BSCall(E19,$B$3, $B$6 - D19,$B$8,$B$5) - BSPut(E19,$B$4, $B$7 - D19,$B$8, $B$5)</f>
        <v>0.54985024386052761</v>
      </c>
      <c r="K19" s="20">
        <f t="shared" ca="1" si="3"/>
        <v>1.0308683531649154E-2</v>
      </c>
      <c r="M19" s="26">
        <v>4.7222222222222221E-2</v>
      </c>
      <c r="N19" s="15">
        <f t="shared" ca="1" si="10"/>
        <v>69.845507439368603</v>
      </c>
      <c r="O19" s="15">
        <f t="shared" ca="1" si="11"/>
        <v>4.1599441394587728</v>
      </c>
      <c r="P19" s="15">
        <f t="shared" ca="1" si="4"/>
        <v>0.7063954965629613</v>
      </c>
      <c r="Q19" s="15">
        <f t="shared" ca="1" si="5"/>
        <v>49.338551910324789</v>
      </c>
      <c r="R19" s="15">
        <f t="shared" ca="1" si="6"/>
        <v>-45.178607770866016</v>
      </c>
      <c r="S19" s="15">
        <f ca="1">BSCall(N19,$B$3, $B$6 - M19,$B$8,$B$5) - BSPut(N19,$B$4, $B$7 - M19,$B$8, $B$5)</f>
        <v>4.2826172246343237</v>
      </c>
      <c r="T19" s="26">
        <f t="shared" ca="1" si="7"/>
        <v>-0.12267308517555087</v>
      </c>
    </row>
    <row r="20" spans="4:20" x14ac:dyDescent="0.25">
      <c r="D20" s="22">
        <v>0.05</v>
      </c>
      <c r="E20" s="11">
        <f t="shared" ca="1" si="8"/>
        <v>61.859106833749046</v>
      </c>
      <c r="F20" s="11">
        <f t="shared" ca="1" si="9"/>
        <v>0.6408957324631821</v>
      </c>
      <c r="G20" s="11">
        <f t="shared" ca="1" si="0"/>
        <v>0.20846423352270105</v>
      </c>
      <c r="H20" s="11">
        <f t="shared" ca="1" si="1"/>
        <v>12.895411292496373</v>
      </c>
      <c r="I20" s="11">
        <f t="shared" ca="1" si="2"/>
        <v>-12.254515560033191</v>
      </c>
      <c r="J20" s="11">
        <f ca="1">BSCall(E20,$B$3, $B$6 - D20,$B$8,$B$5) - BSPut(E20,$B$4, $B$7 - D20,$B$8, $B$5)</f>
        <v>0.62412450394378816</v>
      </c>
      <c r="K20" s="20">
        <f t="shared" ca="1" si="3"/>
        <v>1.6771228519393944E-2</v>
      </c>
      <c r="M20" s="26">
        <v>0.05</v>
      </c>
      <c r="N20" s="15">
        <f t="shared" ca="1" si="10"/>
        <v>70.279538477764163</v>
      </c>
      <c r="O20" s="15">
        <f t="shared" ca="1" si="11"/>
        <v>4.4645337276052857</v>
      </c>
      <c r="P20" s="15">
        <f t="shared" ca="1" si="4"/>
        <v>0.73065177068599862</v>
      </c>
      <c r="Q20" s="15">
        <f t="shared" ca="1" si="5"/>
        <v>51.349869231773155</v>
      </c>
      <c r="R20" s="15">
        <f t="shared" ca="1" si="6"/>
        <v>-46.88533550416787</v>
      </c>
      <c r="S20" s="15">
        <f ca="1">BSCall(N20,$B$3, $B$6 - M20,$B$8,$B$5) - BSPut(N20,$B$4, $B$7 - M20,$B$8, $B$5)</f>
        <v>4.5778369168355928</v>
      </c>
      <c r="T20" s="26">
        <f t="shared" ca="1" si="7"/>
        <v>-0.11330318923030713</v>
      </c>
    </row>
    <row r="21" spans="4:20" x14ac:dyDescent="0.25">
      <c r="D21" s="22">
        <v>5.2777777777777778E-2</v>
      </c>
      <c r="E21" s="11">
        <f t="shared" ca="1" si="8"/>
        <v>62.062825039406711</v>
      </c>
      <c r="F21" s="11">
        <f t="shared" ca="1" si="9"/>
        <v>0.68281903482082207</v>
      </c>
      <c r="G21" s="11">
        <f t="shared" ca="1" si="0"/>
        <v>0.21717491303584166</v>
      </c>
      <c r="H21" s="11">
        <f t="shared" ca="1" si="1"/>
        <v>13.478488630691809</v>
      </c>
      <c r="I21" s="11">
        <f t="shared" ca="1" si="2"/>
        <v>-12.795669595870987</v>
      </c>
      <c r="J21" s="11">
        <f ca="1">BSCall(E21,$B$3, $B$6 - D21,$B$8,$B$5) - BSPut(E21,$B$4, $B$7 - D21,$B$8, $B$5)</f>
        <v>0.65572280162390739</v>
      </c>
      <c r="K21" s="20">
        <f t="shared" ca="1" si="3"/>
        <v>2.7096233196914676E-2</v>
      </c>
      <c r="M21" s="26">
        <v>5.2777777777777778E-2</v>
      </c>
      <c r="N21" s="15">
        <f t="shared" ca="1" si="10"/>
        <v>71.166614284170322</v>
      </c>
      <c r="O21" s="15">
        <f t="shared" ca="1" si="11"/>
        <v>5.1105933972923978</v>
      </c>
      <c r="P21" s="15">
        <f t="shared" ca="1" si="4"/>
        <v>0.77613180950471339</v>
      </c>
      <c r="Q21" s="15">
        <f t="shared" ca="1" si="5"/>
        <v>55.234673120697096</v>
      </c>
      <c r="R21" s="15">
        <f t="shared" ca="1" si="6"/>
        <v>-50.124079723404698</v>
      </c>
      <c r="S21" s="15">
        <f ca="1">BSCall(N21,$B$3, $B$6 - M21,$B$8,$B$5) - BSPut(N21,$B$4, $B$7 - M21,$B$8, $B$5)</f>
        <v>5.2304463000608816</v>
      </c>
      <c r="T21" s="26">
        <f t="shared" ca="1" si="7"/>
        <v>-0.11985290276848382</v>
      </c>
    </row>
    <row r="22" spans="4:20" x14ac:dyDescent="0.25">
      <c r="D22" s="22">
        <v>5.5555555555555559E-2</v>
      </c>
      <c r="E22" s="11">
        <f t="shared" ca="1" si="8"/>
        <v>62.34485292143615</v>
      </c>
      <c r="F22" s="11">
        <f t="shared" ca="1" si="9"/>
        <v>0.74349970650987984</v>
      </c>
      <c r="G22" s="11">
        <f t="shared" ca="1" si="0"/>
        <v>0.23051927460478192</v>
      </c>
      <c r="H22" s="11">
        <f t="shared" ca="1" si="1"/>
        <v>14.37169027079128</v>
      </c>
      <c r="I22" s="11">
        <f t="shared" ca="1" si="2"/>
        <v>-13.6281905642814</v>
      </c>
      <c r="J22" s="11">
        <f ca="1">BSCall(E22,$B$3, $B$6 - D22,$B$8,$B$5) - BSPut(E22,$B$4, $B$7 - D22,$B$8, $B$5)</f>
        <v>0.70658498552375726</v>
      </c>
      <c r="K22" s="20">
        <f t="shared" ca="1" si="3"/>
        <v>3.6914720986122584E-2</v>
      </c>
      <c r="M22" s="26">
        <v>5.5555555555555559E-2</v>
      </c>
      <c r="N22" s="15">
        <f t="shared" ca="1" si="10"/>
        <v>72.738071594230121</v>
      </c>
      <c r="O22" s="15">
        <f t="shared" ca="1" si="11"/>
        <v>6.3280236165259254</v>
      </c>
      <c r="P22" s="15">
        <f t="shared" ca="1" si="4"/>
        <v>0.8440202472890368</v>
      </c>
      <c r="Q22" s="15">
        <f t="shared" ca="1" si="5"/>
        <v>61.39240517428977</v>
      </c>
      <c r="R22" s="15">
        <f t="shared" ca="1" si="6"/>
        <v>-55.064381557763845</v>
      </c>
      <c r="S22" s="15">
        <f ca="1">BSCall(N22,$B$3, $B$6 - M22,$B$8,$B$5) - BSPut(N22,$B$4, $B$7 - M22,$B$8, $B$5)</f>
        <v>6.4909873550763075</v>
      </c>
      <c r="T22" s="26">
        <f t="shared" ca="1" si="7"/>
        <v>-0.16296373855038215</v>
      </c>
    </row>
    <row r="23" spans="4:20" x14ac:dyDescent="0.25">
      <c r="D23" s="22">
        <v>5.8333333333333334E-2</v>
      </c>
      <c r="E23" s="11">
        <f t="shared" ca="1" si="8"/>
        <v>62.705887284231153</v>
      </c>
      <c r="F23" s="11">
        <f t="shared" ca="1" si="9"/>
        <v>0.82611937511023115</v>
      </c>
      <c r="G23" s="11">
        <f t="shared" ca="1" si="0"/>
        <v>0.24898845691768401</v>
      </c>
      <c r="H23" s="11">
        <f t="shared" ca="1" si="1"/>
        <v>15.613042114554938</v>
      </c>
      <c r="I23" s="11">
        <f t="shared" ca="1" si="2"/>
        <v>-14.786922739444707</v>
      </c>
      <c r="J23" s="11">
        <f ca="1">BSCall(E23,$B$3, $B$6 - D23,$B$8,$B$5) - BSPut(E23,$B$4, $B$7 - D23,$B$8, $B$5)</f>
        <v>0.78020695026309805</v>
      </c>
      <c r="K23" s="20">
        <f t="shared" ca="1" si="3"/>
        <v>4.5912424847133093E-2</v>
      </c>
      <c r="M23" s="26">
        <v>5.8333333333333334E-2</v>
      </c>
      <c r="N23" s="15">
        <f t="shared" ca="1" si="10"/>
        <v>72.455921819857437</v>
      </c>
      <c r="O23" s="15">
        <f t="shared" ca="1" si="11"/>
        <v>6.0874361339549594</v>
      </c>
      <c r="P23" s="15">
        <f t="shared" ca="1" si="4"/>
        <v>0.83469606117716921</v>
      </c>
      <c r="Q23" s="15">
        <f t="shared" ca="1" si="5"/>
        <v>60.478672551995913</v>
      </c>
      <c r="R23" s="15">
        <f t="shared" ca="1" si="6"/>
        <v>-54.391236418040954</v>
      </c>
      <c r="S23" s="15">
        <f ca="1">BSCall(N23,$B$3, $B$6 - M23,$B$8,$B$5) - BSPut(N23,$B$4, $B$7 - M23,$B$8, $B$5)</f>
        <v>6.2405312149619778</v>
      </c>
      <c r="T23" s="26">
        <f t="shared" ca="1" si="7"/>
        <v>-0.15309508100701841</v>
      </c>
    </row>
    <row r="24" spans="4:20" x14ac:dyDescent="0.25">
      <c r="D24" s="22">
        <v>6.1111111111111116E-2</v>
      </c>
      <c r="E24" s="11">
        <f t="shared" ca="1" si="8"/>
        <v>62.482692199260185</v>
      </c>
      <c r="F24" s="11">
        <f t="shared" ca="1" si="9"/>
        <v>0.7698891641409169</v>
      </c>
      <c r="G24" s="11">
        <f t="shared" ca="1" si="0"/>
        <v>0.23428266826310512</v>
      </c>
      <c r="H24" s="11">
        <f t="shared" ca="1" si="1"/>
        <v>14.638611848704981</v>
      </c>
      <c r="I24" s="11">
        <f t="shared" ca="1" si="2"/>
        <v>-13.868722684564064</v>
      </c>
      <c r="J24" s="11">
        <f ca="1">BSCall(E24,$B$3, $B$6 - D24,$B$8,$B$5) - BSPut(E24,$B$4, $B$7 - D24,$B$8, $B$5)</f>
        <v>0.71320488256742343</v>
      </c>
      <c r="K24" s="20">
        <f t="shared" ca="1" si="3"/>
        <v>5.6684281573493478E-2</v>
      </c>
      <c r="M24" s="26">
        <v>6.1111111111111116E-2</v>
      </c>
      <c r="N24" s="15">
        <f t="shared" ca="1" si="10"/>
        <v>73.222026055858137</v>
      </c>
      <c r="O24" s="15">
        <f t="shared" ca="1" si="11"/>
        <v>6.7244828801901093</v>
      </c>
      <c r="P24" s="15">
        <f t="shared" ca="1" si="4"/>
        <v>0.86430559132440421</v>
      </c>
      <c r="Q24" s="15">
        <f t="shared" ca="1" si="5"/>
        <v>63.286206528179399</v>
      </c>
      <c r="R24" s="15">
        <f t="shared" ca="1" si="6"/>
        <v>-56.56172364798929</v>
      </c>
      <c r="S24" s="15">
        <f ca="1">BSCall(N24,$B$3, $B$6 - M24,$B$8,$B$5) - BSPut(N24,$B$4, $B$7 - M24,$B$8, $B$5)</f>
        <v>6.8783021120547092</v>
      </c>
      <c r="T24" s="26">
        <f t="shared" ca="1" si="7"/>
        <v>-0.15381923186459989</v>
      </c>
    </row>
    <row r="25" spans="4:20" x14ac:dyDescent="0.25">
      <c r="D25" s="22">
        <v>6.3888888888888898E-2</v>
      </c>
      <c r="E25" s="11">
        <f t="shared" ca="1" si="8"/>
        <v>62.047137547458519</v>
      </c>
      <c r="F25" s="11">
        <f t="shared" ca="1" si="9"/>
        <v>0.66722985676983804</v>
      </c>
      <c r="G25" s="11">
        <f t="shared" ca="1" si="0"/>
        <v>0.20827005526889616</v>
      </c>
      <c r="H25" s="11">
        <f t="shared" ca="1" si="1"/>
        <v>12.922560766285988</v>
      </c>
      <c r="I25" s="11">
        <f t="shared" ca="1" si="2"/>
        <v>-12.25533090951615</v>
      </c>
      <c r="J25" s="11">
        <f ca="1">BSCall(E25,$B$3, $B$6 - D25,$B$8,$B$5) - BSPut(E25,$B$4, $B$7 - D25,$B$8, $B$5)</f>
        <v>0.60442802905580484</v>
      </c>
      <c r="K25" s="20">
        <f t="shared" ca="1" si="3"/>
        <v>6.2801827714033198E-2</v>
      </c>
      <c r="M25" s="26">
        <v>6.3888888888888898E-2</v>
      </c>
      <c r="N25" s="15">
        <f t="shared" ca="1" si="10"/>
        <v>73.633997863364527</v>
      </c>
      <c r="O25" s="15">
        <f t="shared" ca="1" si="11"/>
        <v>7.0780385066372986</v>
      </c>
      <c r="P25" s="15">
        <f t="shared" ca="1" si="4"/>
        <v>0.87938441181686855</v>
      </c>
      <c r="Q25" s="15">
        <f t="shared" ca="1" si="5"/>
        <v>64.752589900799364</v>
      </c>
      <c r="R25" s="15">
        <f t="shared" ca="1" si="6"/>
        <v>-57.674551394162066</v>
      </c>
      <c r="S25" s="15">
        <f ca="1">BSCall(N25,$B$3, $B$6 - M25,$B$8,$B$5) - BSPut(N25,$B$4, $B$7 - M25,$B$8, $B$5)</f>
        <v>7.225123671333022</v>
      </c>
      <c r="T25" s="26">
        <f t="shared" ca="1" si="7"/>
        <v>-0.14708516469572341</v>
      </c>
    </row>
    <row r="26" spans="4:20" x14ac:dyDescent="0.25">
      <c r="D26" s="22">
        <v>6.6666666666666666E-2</v>
      </c>
      <c r="E26" s="11">
        <f t="shared" ca="1" si="8"/>
        <v>61.896188584765575</v>
      </c>
      <c r="F26" s="11">
        <f t="shared" ca="1" si="9"/>
        <v>0.63524701448903009</v>
      </c>
      <c r="G26" s="11">
        <f t="shared" ca="1" si="0"/>
        <v>0.1981682082075546</v>
      </c>
      <c r="H26" s="11">
        <f t="shared" ca="1" si="1"/>
        <v>12.265856786719889</v>
      </c>
      <c r="I26" s="11">
        <f t="shared" ca="1" si="2"/>
        <v>-11.630609772230859</v>
      </c>
      <c r="J26" s="11">
        <f ca="1">BSCall(E26,$B$3, $B$6 - D26,$B$8,$B$5) - BSPut(E26,$B$4, $B$7 - D26,$B$8, $B$5)</f>
        <v>0.56190008550324566</v>
      </c>
      <c r="K26" s="20">
        <f t="shared" ca="1" si="3"/>
        <v>7.3346928985784432E-2</v>
      </c>
      <c r="M26" s="26">
        <v>6.6666666666666666E-2</v>
      </c>
      <c r="N26" s="15">
        <f t="shared" ca="1" si="10"/>
        <v>73.260437622400204</v>
      </c>
      <c r="O26" s="15">
        <f t="shared" ca="1" si="11"/>
        <v>6.7469720835000686</v>
      </c>
      <c r="P26" s="15">
        <f t="shared" ca="1" si="4"/>
        <v>0.86868551556705809</v>
      </c>
      <c r="Q26" s="15">
        <f t="shared" ca="1" si="5"/>
        <v>63.64028102668302</v>
      </c>
      <c r="R26" s="15">
        <f t="shared" ca="1" si="6"/>
        <v>-56.893308943182952</v>
      </c>
      <c r="S26" s="15">
        <f ca="1">BSCall(N26,$B$3, $B$6 - M26,$B$8,$B$5) - BSPut(N26,$B$4, $B$7 - M26,$B$8, $B$5)</f>
        <v>6.8862333313535027</v>
      </c>
      <c r="T26" s="26">
        <f t="shared" ca="1" si="7"/>
        <v>-0.13926124785343408</v>
      </c>
    </row>
    <row r="27" spans="4:20" x14ac:dyDescent="0.25">
      <c r="D27" s="22">
        <v>6.9444444444444448E-2</v>
      </c>
      <c r="E27" s="11">
        <f t="shared" ca="1" si="8"/>
        <v>61.152696925595045</v>
      </c>
      <c r="F27" s="11">
        <f t="shared" ca="1" si="9"/>
        <v>0.48739367709687542</v>
      </c>
      <c r="G27" s="11">
        <f t="shared" ca="1" si="0"/>
        <v>0.15912557729839336</v>
      </c>
      <c r="H27" s="11">
        <f t="shared" ca="1" si="1"/>
        <v>9.7309582016389964</v>
      </c>
      <c r="I27" s="11">
        <f t="shared" ca="1" si="2"/>
        <v>-9.243564524542121</v>
      </c>
      <c r="J27" s="11">
        <f ca="1">BSCall(E27,$B$3, $B$6 - D27,$B$8,$B$5) - BSPut(E27,$B$4, $B$7 - D27,$B$8, $B$5)</f>
        <v>0.41843962655194999</v>
      </c>
      <c r="K27" s="20">
        <f t="shared" ca="1" si="3"/>
        <v>6.8954050544925427E-2</v>
      </c>
      <c r="M27" s="26">
        <v>6.9444444444444448E-2</v>
      </c>
      <c r="N27" s="15">
        <f t="shared" ca="1" si="10"/>
        <v>73.485971778458122</v>
      </c>
      <c r="O27" s="15">
        <f t="shared" ca="1" si="11"/>
        <v>6.9403616904328871</v>
      </c>
      <c r="P27" s="15">
        <f t="shared" ca="1" si="4"/>
        <v>0.87774251912458412</v>
      </c>
      <c r="Q27" s="15">
        <f t="shared" ca="1" si="5"/>
        <v>64.501761989141926</v>
      </c>
      <c r="R27" s="15">
        <f t="shared" ca="1" si="6"/>
        <v>-57.561400298709039</v>
      </c>
      <c r="S27" s="15">
        <f ca="1">BSCall(N27,$B$3, $B$6 - M27,$B$8,$B$5) - BSPut(N27,$B$4, $B$7 - M27,$B$8, $B$5)</f>
        <v>7.0707101091598998</v>
      </c>
      <c r="T27" s="26">
        <f t="shared" ca="1" si="7"/>
        <v>-0.13034841872701275</v>
      </c>
    </row>
    <row r="28" spans="4:20" x14ac:dyDescent="0.25">
      <c r="D28" s="22">
        <v>7.2222222222222229E-2</v>
      </c>
      <c r="E28" s="11">
        <f t="shared" ca="1" si="8"/>
        <v>60.393093479935708</v>
      </c>
      <c r="F28" s="11">
        <f t="shared" ca="1" si="9"/>
        <v>0.3661105060689227</v>
      </c>
      <c r="G28" s="11">
        <f t="shared" ca="1" si="0"/>
        <v>0.12399739934571721</v>
      </c>
      <c r="H28" s="11">
        <f t="shared" ca="1" si="1"/>
        <v>7.4885865299548184</v>
      </c>
      <c r="I28" s="11">
        <f t="shared" ca="1" si="2"/>
        <v>-7.1224760238858957</v>
      </c>
      <c r="J28" s="11">
        <f ca="1">BSCall(E28,$B$3, $B$6 - D28,$B$8,$B$5) - BSPut(E28,$B$4, $B$7 - D28,$B$8, $B$5)</f>
        <v>0.30194034031474276</v>
      </c>
      <c r="K28" s="20">
        <f t="shared" ca="1" si="3"/>
        <v>6.4170165754179942E-2</v>
      </c>
      <c r="M28" s="26">
        <v>7.2222222222222229E-2</v>
      </c>
      <c r="N28" s="15">
        <f t="shared" ca="1" si="10"/>
        <v>73.549279550698472</v>
      </c>
      <c r="O28" s="15">
        <f t="shared" ca="1" si="11"/>
        <v>6.9933712726099699</v>
      </c>
      <c r="P28" s="15">
        <f t="shared" ca="1" si="4"/>
        <v>0.88136901028643189</v>
      </c>
      <c r="Q28" s="15">
        <f t="shared" ca="1" si="5"/>
        <v>64.824055724879216</v>
      </c>
      <c r="R28" s="15">
        <f t="shared" ca="1" si="6"/>
        <v>-57.830684452269246</v>
      </c>
      <c r="S28" s="15">
        <f ca="1">BSCall(N28,$B$3, $B$6 - M28,$B$8,$B$5) - BSPut(N28,$B$4, $B$7 - M28,$B$8, $B$5)</f>
        <v>7.1141581283159843</v>
      </c>
      <c r="T28" s="26">
        <f t="shared" ca="1" si="7"/>
        <v>-0.12078685570601433</v>
      </c>
    </row>
    <row r="29" spans="4:20" x14ac:dyDescent="0.25">
      <c r="D29" s="22">
        <v>7.4999999999999997E-2</v>
      </c>
      <c r="E29" s="11">
        <f t="shared" ca="1" si="8"/>
        <v>61.403121511353611</v>
      </c>
      <c r="F29" s="11">
        <f t="shared" ca="1" si="9"/>
        <v>0.49103479370641878</v>
      </c>
      <c r="G29" s="11">
        <f t="shared" ca="1" si="0"/>
        <v>0.1666915996094511</v>
      </c>
      <c r="H29" s="11">
        <f t="shared" ca="1" si="1"/>
        <v>10.235384545741029</v>
      </c>
      <c r="I29" s="11">
        <f t="shared" ca="1" si="2"/>
        <v>-9.7443497520346103</v>
      </c>
      <c r="J29" s="11">
        <f ca="1">BSCall(E29,$B$3, $B$6 - D29,$B$8,$B$5) - BSPut(E29,$B$4, $B$7 - D29,$B$8, $B$5)</f>
        <v>0.43850351079087291</v>
      </c>
      <c r="K29" s="20">
        <f t="shared" ca="1" si="3"/>
        <v>5.2531282915545874E-2</v>
      </c>
      <c r="M29" s="26">
        <v>7.4999999999999997E-2</v>
      </c>
      <c r="N29" s="15">
        <f t="shared" ca="1" si="10"/>
        <v>73.897443374712836</v>
      </c>
      <c r="O29" s="15">
        <f t="shared" ca="1" si="11"/>
        <v>7.2976617678391662</v>
      </c>
      <c r="P29" s="15">
        <f t="shared" ca="1" si="4"/>
        <v>0.89370065285325373</v>
      </c>
      <c r="Q29" s="15">
        <f t="shared" ca="1" si="5"/>
        <v>66.042193388167206</v>
      </c>
      <c r="R29" s="15">
        <f t="shared" ca="1" si="6"/>
        <v>-58.74453162032804</v>
      </c>
      <c r="S29" s="15">
        <f ca="1">BSCall(N29,$B$3, $B$6 - M29,$B$8,$B$5) - BSPut(N29,$B$4, $B$7 - M29,$B$8, $B$5)</f>
        <v>7.4112945042801988</v>
      </c>
      <c r="T29" s="26">
        <f t="shared" ca="1" si="7"/>
        <v>-0.11363273644103256</v>
      </c>
    </row>
    <row r="30" spans="4:20" x14ac:dyDescent="0.25">
      <c r="D30" s="22">
        <v>7.7777777777777779E-2</v>
      </c>
      <c r="E30" s="11">
        <f t="shared" ca="1" si="8"/>
        <v>61.670503610851654</v>
      </c>
      <c r="F30" s="11">
        <f t="shared" ca="1" si="9"/>
        <v>0.53517205174328808</v>
      </c>
      <c r="G30" s="11">
        <f t="shared" ref="G30:G61" ca="1" si="12">BSGreeks(E30,$B$3,$B$6 - D30,$B$8, $B$5,$G$1)</f>
        <v>0.17775732668083485</v>
      </c>
      <c r="H30" s="11">
        <f t="shared" ca="1" si="1"/>
        <v>10.962383856925763</v>
      </c>
      <c r="I30" s="11">
        <f t="shared" ca="1" si="2"/>
        <v>-10.427211805182475</v>
      </c>
      <c r="J30" s="11">
        <f t="shared" ref="J30:J61" ca="1" si="13">BSCall(E30,$B$3, $B$6 - D30,$B$8, $B$5)</f>
        <v>0.47362415874270958</v>
      </c>
      <c r="K30" s="20">
        <f t="shared" ca="1" si="3"/>
        <v>6.1547893000578502E-2</v>
      </c>
      <c r="M30" s="26">
        <v>7.7777777777777779E-2</v>
      </c>
      <c r="N30" s="15">
        <f t="shared" ca="1" si="10"/>
        <v>74.9186274660794</v>
      </c>
      <c r="O30" s="15">
        <f t="shared" ca="1" si="11"/>
        <v>8.2076837308846606</v>
      </c>
      <c r="P30" s="15">
        <f t="shared" ref="P30:P61" ca="1" si="14">BSGreeks(N30,$B$3,$B$6 - M30,$B$8, $B$5,$G$1)</f>
        <v>0.92228536881326539</v>
      </c>
      <c r="Q30" s="15">
        <f t="shared" ca="1" si="5"/>
        <v>69.096353963536671</v>
      </c>
      <c r="R30" s="15">
        <f t="shared" ca="1" si="6"/>
        <v>-60.888670232652011</v>
      </c>
      <c r="S30" s="15">
        <f t="shared" ref="S30:S61" ca="1" si="15">BSCall(N30,$B$3, $B$6 - M30,$B$8, $B$5)</f>
        <v>8.3282839790114256</v>
      </c>
      <c r="T30" s="26">
        <f t="shared" ca="1" si="7"/>
        <v>-0.12060024812676495</v>
      </c>
    </row>
    <row r="31" spans="4:20" x14ac:dyDescent="0.25">
      <c r="D31" s="22">
        <v>8.0555555555555561E-2</v>
      </c>
      <c r="E31" s="11">
        <f t="shared" ca="1" si="8"/>
        <v>61.368243914127021</v>
      </c>
      <c r="F31" s="11">
        <f t="shared" ca="1" si="9"/>
        <v>0.48097973415573669</v>
      </c>
      <c r="G31" s="11">
        <f t="shared" ca="1" si="12"/>
        <v>0.16050552825185518</v>
      </c>
      <c r="H31" s="11">
        <f t="shared" ca="1" si="1"/>
        <v>9.8499424073256545</v>
      </c>
      <c r="I31" s="11">
        <f t="shared" ca="1" si="2"/>
        <v>-9.3689626731699178</v>
      </c>
      <c r="J31" s="11">
        <f t="shared" ca="1" si="13"/>
        <v>0.41165557925661411</v>
      </c>
      <c r="K31" s="20">
        <f t="shared" ca="1" si="3"/>
        <v>6.9324154899122581E-2</v>
      </c>
      <c r="M31" s="26">
        <v>8.0555555555555561E-2</v>
      </c>
      <c r="N31" s="15">
        <f t="shared" ca="1" si="10"/>
        <v>73.462192464654521</v>
      </c>
      <c r="O31" s="15">
        <f t="shared" ca="1" si="11"/>
        <v>6.8617288151836746</v>
      </c>
      <c r="P31" s="15">
        <f t="shared" ca="1" si="14"/>
        <v>0.88347453440630574</v>
      </c>
      <c r="Q31" s="15">
        <f t="shared" ca="1" si="5"/>
        <v>64.901976284177081</v>
      </c>
      <c r="R31" s="15">
        <f t="shared" ca="1" si="6"/>
        <v>-58.040247468993407</v>
      </c>
      <c r="S31" s="15">
        <f t="shared" ca="1" si="15"/>
        <v>7.0006129045445959</v>
      </c>
      <c r="T31" s="26">
        <f t="shared" ca="1" si="7"/>
        <v>-0.13888408936092134</v>
      </c>
    </row>
    <row r="32" spans="4:20" x14ac:dyDescent="0.25">
      <c r="D32" s="22">
        <v>8.3333333333333343E-2</v>
      </c>
      <c r="E32" s="11">
        <f t="shared" ca="1" si="8"/>
        <v>61.588688087902419</v>
      </c>
      <c r="F32" s="11">
        <f t="shared" ca="1" si="9"/>
        <v>0.51594583512313896</v>
      </c>
      <c r="G32" s="11">
        <f t="shared" ca="1" si="12"/>
        <v>0.1690498203604327</v>
      </c>
      <c r="H32" s="11">
        <f t="shared" ca="1" si="1"/>
        <v>10.411556657494625</v>
      </c>
      <c r="I32" s="11">
        <f t="shared" ca="1" si="2"/>
        <v>-9.895610822371486</v>
      </c>
      <c r="J32" s="11">
        <f t="shared" ca="1" si="13"/>
        <v>0.43721126472536653</v>
      </c>
      <c r="K32" s="20">
        <f t="shared" ca="1" si="3"/>
        <v>7.873457039777243E-2</v>
      </c>
      <c r="M32" s="26">
        <v>8.3333333333333343E-2</v>
      </c>
      <c r="N32" s="15">
        <f t="shared" ca="1" si="10"/>
        <v>74.998439847071012</v>
      </c>
      <c r="O32" s="15">
        <f t="shared" ca="1" si="11"/>
        <v>8.216384632218265</v>
      </c>
      <c r="P32" s="15">
        <f t="shared" ca="1" si="14"/>
        <v>0.92712202613755634</v>
      </c>
      <c r="Q32" s="15">
        <f t="shared" ca="1" si="5"/>
        <v>69.532705508172114</v>
      </c>
      <c r="R32" s="15">
        <f t="shared" ca="1" si="6"/>
        <v>-61.316320875953849</v>
      </c>
      <c r="S32" s="15">
        <f t="shared" ca="1" si="15"/>
        <v>8.3823061351022066</v>
      </c>
      <c r="T32" s="26">
        <f t="shared" ca="1" si="7"/>
        <v>-0.16592150288394159</v>
      </c>
    </row>
    <row r="33" spans="4:20" x14ac:dyDescent="0.25">
      <c r="D33" s="22">
        <v>8.611111111111111E-2</v>
      </c>
      <c r="E33" s="11">
        <f t="shared" ca="1" si="8"/>
        <v>60.471112319766242</v>
      </c>
      <c r="F33" s="11">
        <f t="shared" ca="1" si="9"/>
        <v>0.32658003758151999</v>
      </c>
      <c r="G33" s="11">
        <f t="shared" ca="1" si="12"/>
        <v>0.11635259088600443</v>
      </c>
      <c r="H33" s="11">
        <f t="shared" ca="1" si="1"/>
        <v>7.0359705921633839</v>
      </c>
      <c r="I33" s="11">
        <f t="shared" ca="1" si="2"/>
        <v>-6.709390554581864</v>
      </c>
      <c r="J33" s="11">
        <f t="shared" ca="1" si="13"/>
        <v>0.26909213341652866</v>
      </c>
      <c r="K33" s="20">
        <f t="shared" ca="1" si="3"/>
        <v>5.7487904164991332E-2</v>
      </c>
      <c r="M33" s="26">
        <v>8.611111111111111E-2</v>
      </c>
      <c r="N33" s="15">
        <f t="shared" ca="1" si="10"/>
        <v>75.03913981264958</v>
      </c>
      <c r="O33" s="15">
        <f t="shared" ca="1" si="11"/>
        <v>8.2513932363922677</v>
      </c>
      <c r="P33" s="15">
        <f t="shared" ca="1" si="14"/>
        <v>0.92954741392400742</v>
      </c>
      <c r="Q33" s="15">
        <f t="shared" ca="1" si="5"/>
        <v>69.752438355930437</v>
      </c>
      <c r="R33" s="15">
        <f t="shared" ca="1" si="6"/>
        <v>-61.501045119538169</v>
      </c>
      <c r="S33" s="15">
        <f t="shared" ca="1" si="15"/>
        <v>8.4103597855063477</v>
      </c>
      <c r="T33" s="26">
        <f t="shared" ca="1" si="7"/>
        <v>-0.15896654911407992</v>
      </c>
    </row>
    <row r="34" spans="4:20" x14ac:dyDescent="0.25">
      <c r="D34" s="22">
        <v>8.8888888888888892E-2</v>
      </c>
      <c r="E34" s="11">
        <f t="shared" ca="1" si="8"/>
        <v>59.945851890547104</v>
      </c>
      <c r="F34" s="11">
        <f t="shared" ca="1" si="9"/>
        <v>0.26516642398956236</v>
      </c>
      <c r="G34" s="11">
        <f t="shared" ca="1" si="12"/>
        <v>9.4493201929438039E-2</v>
      </c>
      <c r="H34" s="11">
        <f t="shared" ref="H34:H65" ca="1" si="16">E34*G34</f>
        <v>5.6644754875256522</v>
      </c>
      <c r="I34" s="11">
        <f t="shared" ref="I34:I65" ca="1" si="17">F34 - H34</f>
        <v>-5.3993090635360899</v>
      </c>
      <c r="J34" s="11">
        <f t="shared" ca="1" si="13"/>
        <v>0.20601625506577348</v>
      </c>
      <c r="K34" s="20">
        <f t="shared" ref="K34:K65" ca="1" si="18">F34 - J34</f>
        <v>5.9150168923788882E-2</v>
      </c>
      <c r="M34" s="26">
        <v>8.8888888888888892E-2</v>
      </c>
      <c r="N34" s="15">
        <f t="shared" ca="1" si="10"/>
        <v>76.348065632821076</v>
      </c>
      <c r="O34" s="15">
        <f t="shared" ca="1" si="11"/>
        <v>9.4653684070252879</v>
      </c>
      <c r="P34" s="15">
        <f t="shared" ca="1" si="14"/>
        <v>0.95536264065931431</v>
      </c>
      <c r="Q34" s="15">
        <f t="shared" ref="Q34:Q65" ca="1" si="19">N34*P34</f>
        <v>72.940089592202582</v>
      </c>
      <c r="R34" s="15">
        <f t="shared" ref="R34:R65" ca="1" si="20">O34 - Q34</f>
        <v>-63.474721185177295</v>
      </c>
      <c r="S34" s="15">
        <f t="shared" ca="1" si="15"/>
        <v>9.6362640073739314</v>
      </c>
      <c r="T34" s="26">
        <f t="shared" ref="T34:T65" ca="1" si="21">O34 - S34</f>
        <v>-0.17089560034864348</v>
      </c>
    </row>
    <row r="35" spans="4:20" x14ac:dyDescent="0.25">
      <c r="D35" s="22">
        <v>9.1666666666666674E-2</v>
      </c>
      <c r="E35" s="11">
        <f t="shared" ref="E35:E66" ca="1" si="22" xml:space="preserve"> IF(AND(E34 &lt; $B$12,E34 &gt; $B$11),E34*(1 + $B$8 * (D35-D34) + $B$5*SQRT((D35-D34))*_xlfn.NORM.S.INV(RAND())),IF(E34 &lt; $B$12, E34 + 1, E34 - 1))</f>
        <v>60.945851890547104</v>
      </c>
      <c r="F35" s="11">
        <f t="shared" ref="F35:F66" ca="1" si="23" xml:space="preserve"> G34*E35 + I34* EXP($B$8*(D35 - D34))</f>
        <v>0.35941965129455866</v>
      </c>
      <c r="G35" s="11">
        <f t="shared" ca="1" si="12"/>
        <v>0.13169261692460638</v>
      </c>
      <c r="H35" s="11">
        <f t="shared" ca="1" si="16"/>
        <v>8.0261187261656168</v>
      </c>
      <c r="I35" s="11">
        <f t="shared" ca="1" si="17"/>
        <v>-7.6666990748710582</v>
      </c>
      <c r="J35" s="11">
        <f t="shared" ca="1" si="13"/>
        <v>0.31007400763267512</v>
      </c>
      <c r="K35" s="20">
        <f t="shared" ca="1" si="18"/>
        <v>4.9345643661883543E-2</v>
      </c>
      <c r="M35" s="26">
        <v>9.1666666666666674E-2</v>
      </c>
      <c r="N35" s="15">
        <f t="shared" ref="N35:N66" ca="1" si="24">N34*(1 + $B$10*360*$B$6/$B$9) + $B$5*N34*SQRT(M35-M34)*_xlfn.NORM.S.INV(RAND())</f>
        <v>78.341829291312592</v>
      </c>
      <c r="O35" s="15">
        <f t="shared" ref="O35:O66" ca="1" si="25" xml:space="preserve"> P34*N35 + R34* EXP($B$8*(M35 - M34))</f>
        <v>11.367314559240974</v>
      </c>
      <c r="P35" s="15">
        <f t="shared" ca="1" si="14"/>
        <v>0.97916240322507009</v>
      </c>
      <c r="Q35" s="15">
        <f t="shared" ca="1" si="19"/>
        <v>76.709373841929832</v>
      </c>
      <c r="R35" s="15">
        <f t="shared" ca="1" si="20"/>
        <v>-65.342059282688865</v>
      </c>
      <c r="S35" s="15">
        <f t="shared" ca="1" si="15"/>
        <v>11.560609803140439</v>
      </c>
      <c r="T35" s="26">
        <f t="shared" ca="1" si="21"/>
        <v>-0.19329524389946506</v>
      </c>
    </row>
    <row r="36" spans="4:20" x14ac:dyDescent="0.25">
      <c r="D36" s="22">
        <v>9.4444444444444442E-2</v>
      </c>
      <c r="E36" s="11">
        <f t="shared" ca="1" si="22"/>
        <v>60.874803665178163</v>
      </c>
      <c r="F36" s="11">
        <f t="shared" ca="1" si="23"/>
        <v>0.34972237481460944</v>
      </c>
      <c r="G36" s="11">
        <f t="shared" ca="1" si="12"/>
        <v>0.1262242333746261</v>
      </c>
      <c r="H36" s="11">
        <f t="shared" ca="1" si="16"/>
        <v>7.6838754244679928</v>
      </c>
      <c r="I36" s="11">
        <f t="shared" ca="1" si="17"/>
        <v>-7.3341530496533833</v>
      </c>
      <c r="J36" s="11">
        <f t="shared" ca="1" si="13"/>
        <v>0.29159218580499963</v>
      </c>
      <c r="K36" s="20">
        <f t="shared" ca="1" si="18"/>
        <v>5.8130189009609812E-2</v>
      </c>
      <c r="M36" s="26">
        <v>9.4444444444444442E-2</v>
      </c>
      <c r="N36" s="15">
        <f t="shared" ca="1" si="24"/>
        <v>79.487509191766165</v>
      </c>
      <c r="O36" s="15">
        <f t="shared" ca="1" si="25"/>
        <v>12.48621708783574</v>
      </c>
      <c r="P36" s="15">
        <f t="shared" ca="1" si="14"/>
        <v>0.98737766722082898</v>
      </c>
      <c r="Q36" s="15">
        <f t="shared" ca="1" si="19"/>
        <v>78.484191398960277</v>
      </c>
      <c r="R36" s="15">
        <f t="shared" ca="1" si="20"/>
        <v>-65.997974311124537</v>
      </c>
      <c r="S36" s="15">
        <f t="shared" ca="1" si="15"/>
        <v>12.682281258209821</v>
      </c>
      <c r="T36" s="26">
        <f t="shared" ca="1" si="21"/>
        <v>-0.19606417037408086</v>
      </c>
    </row>
    <row r="37" spans="4:20" x14ac:dyDescent="0.25">
      <c r="D37" s="22">
        <v>9.7222222222222224E-2</v>
      </c>
      <c r="E37" s="11">
        <f t="shared" ca="1" si="22"/>
        <v>61.854015724332164</v>
      </c>
      <c r="F37" s="11">
        <f t="shared" ca="1" si="23"/>
        <v>0.47299669669103483</v>
      </c>
      <c r="G37" s="11">
        <f t="shared" ca="1" si="12"/>
        <v>0.17056687576447135</v>
      </c>
      <c r="H37" s="11">
        <f t="shared" ca="1" si="16"/>
        <v>10.550246215585823</v>
      </c>
      <c r="I37" s="11">
        <f t="shared" ca="1" si="17"/>
        <v>-10.077249518894789</v>
      </c>
      <c r="J37" s="11">
        <f t="shared" ca="1" si="13"/>
        <v>0.42577973826202664</v>
      </c>
      <c r="K37" s="20">
        <f t="shared" ca="1" si="18"/>
        <v>4.7216958429008193E-2</v>
      </c>
      <c r="M37" s="26">
        <v>9.7222222222222224E-2</v>
      </c>
      <c r="N37" s="15">
        <f t="shared" ca="1" si="24"/>
        <v>80.432369850332023</v>
      </c>
      <c r="O37" s="15">
        <f t="shared" ca="1" si="25"/>
        <v>13.416218092252379</v>
      </c>
      <c r="P37" s="15">
        <f t="shared" ca="1" si="14"/>
        <v>0.99197486856637973</v>
      </c>
      <c r="Q37" s="15">
        <f t="shared" ca="1" si="19"/>
        <v>79.786889510765548</v>
      </c>
      <c r="R37" s="15">
        <f t="shared" ca="1" si="20"/>
        <v>-66.370671418513169</v>
      </c>
      <c r="S37" s="15">
        <f t="shared" ca="1" si="15"/>
        <v>13.613065551403771</v>
      </c>
      <c r="T37" s="26">
        <f t="shared" ca="1" si="21"/>
        <v>-0.19684745915139246</v>
      </c>
    </row>
    <row r="38" spans="4:20" x14ac:dyDescent="0.25">
      <c r="D38" s="22">
        <v>0.1</v>
      </c>
      <c r="E38" s="11">
        <f t="shared" ca="1" si="22"/>
        <v>61.469811258345295</v>
      </c>
      <c r="F38" s="11">
        <f t="shared" ca="1" si="23"/>
        <v>0.40701625356351556</v>
      </c>
      <c r="G38" s="11">
        <f t="shared" ca="1" si="12"/>
        <v>0.14860570815229371</v>
      </c>
      <c r="H38" s="11">
        <f t="shared" ca="1" si="16"/>
        <v>9.1347648320342394</v>
      </c>
      <c r="I38" s="11">
        <f t="shared" ca="1" si="17"/>
        <v>-8.7277485784707238</v>
      </c>
      <c r="J38" s="11">
        <f t="shared" ca="1" si="13"/>
        <v>0.35340838401747166</v>
      </c>
      <c r="K38" s="20">
        <f t="shared" ca="1" si="18"/>
        <v>5.3607869546043907E-2</v>
      </c>
      <c r="M38" s="26">
        <v>0.1</v>
      </c>
      <c r="N38" s="15">
        <f t="shared" ca="1" si="24"/>
        <v>83.07812440414429</v>
      </c>
      <c r="O38" s="15">
        <f t="shared" ca="1" si="25"/>
        <v>16.037790244858357</v>
      </c>
      <c r="P38" s="15">
        <f t="shared" ca="1" si="14"/>
        <v>0.99778985114296648</v>
      </c>
      <c r="Q38" s="15">
        <f t="shared" ca="1" si="19"/>
        <v>82.894509382447978</v>
      </c>
      <c r="R38" s="15">
        <f t="shared" ca="1" si="20"/>
        <v>-66.856719137589621</v>
      </c>
      <c r="S38" s="15">
        <f t="shared" ca="1" si="15"/>
        <v>16.243008737087003</v>
      </c>
      <c r="T38" s="26">
        <f t="shared" ca="1" si="21"/>
        <v>-0.20521849222864574</v>
      </c>
    </row>
    <row r="39" spans="4:20" x14ac:dyDescent="0.25">
      <c r="D39" s="22">
        <v>0.10277777777777779</v>
      </c>
      <c r="E39" s="11">
        <f t="shared" ca="1" si="22"/>
        <v>61.601977446291933</v>
      </c>
      <c r="F39" s="11">
        <f t="shared" ca="1" si="23"/>
        <v>0.4262689949601679</v>
      </c>
      <c r="G39" s="11">
        <f t="shared" ca="1" si="12"/>
        <v>0.1525553516491075</v>
      </c>
      <c r="H39" s="11">
        <f t="shared" ca="1" si="16"/>
        <v>9.3977113315994547</v>
      </c>
      <c r="I39" s="11">
        <f t="shared" ca="1" si="17"/>
        <v>-8.9714423366392868</v>
      </c>
      <c r="J39" s="11">
        <f t="shared" ca="1" si="13"/>
        <v>0.36254816956317076</v>
      </c>
      <c r="K39" s="20">
        <f t="shared" ca="1" si="18"/>
        <v>6.3720825396997138E-2</v>
      </c>
      <c r="M39" s="26">
        <v>0.10277777777777779</v>
      </c>
      <c r="N39" s="15">
        <f t="shared" ca="1" si="24"/>
        <v>84.94570795467753</v>
      </c>
      <c r="O39" s="15">
        <f t="shared" ca="1" si="25"/>
        <v>17.898274681970236</v>
      </c>
      <c r="P39" s="15">
        <f t="shared" ca="1" si="14"/>
        <v>0.99921552364974797</v>
      </c>
      <c r="Q39" s="15">
        <f t="shared" ca="1" si="19"/>
        <v>84.879070055731674</v>
      </c>
      <c r="R39" s="15">
        <f t="shared" ca="1" si="20"/>
        <v>-66.980795373761438</v>
      </c>
      <c r="S39" s="15">
        <f t="shared" ca="1" si="15"/>
        <v>18.104763797299441</v>
      </c>
      <c r="T39" s="26">
        <f t="shared" ca="1" si="21"/>
        <v>-0.20648911532920522</v>
      </c>
    </row>
    <row r="40" spans="4:20" x14ac:dyDescent="0.25">
      <c r="D40" s="22">
        <v>0.10555555555555556</v>
      </c>
      <c r="E40" s="11">
        <f t="shared" ca="1" si="22"/>
        <v>59.638223720480013</v>
      </c>
      <c r="F40" s="11">
        <f t="shared" ca="1" si="23"/>
        <v>0.12628911513535357</v>
      </c>
      <c r="G40" s="11">
        <f t="shared" ca="1" si="12"/>
        <v>7.1750243946498149E-2</v>
      </c>
      <c r="H40" s="11">
        <f t="shared" ca="1" si="16"/>
        <v>4.2790571004802738</v>
      </c>
      <c r="I40" s="11">
        <f t="shared" ca="1" si="17"/>
        <v>-4.1527679853449202</v>
      </c>
      <c r="J40" s="11">
        <f t="shared" ca="1" si="13"/>
        <v>0.14029546204271792</v>
      </c>
      <c r="K40" s="20">
        <f t="shared" ca="1" si="18"/>
        <v>-1.4006346907364353E-2</v>
      </c>
      <c r="M40" s="26">
        <v>0.10555555555555556</v>
      </c>
      <c r="N40" s="15">
        <f t="shared" ca="1" si="24"/>
        <v>86.241067917738661</v>
      </c>
      <c r="O40" s="15">
        <f t="shared" ca="1" si="25"/>
        <v>19.189641475381606</v>
      </c>
      <c r="P40" s="15">
        <f t="shared" ca="1" si="14"/>
        <v>0.99965010436283797</v>
      </c>
      <c r="Q40" s="15">
        <f t="shared" ca="1" si="19"/>
        <v>86.210892544330051</v>
      </c>
      <c r="R40" s="15">
        <f t="shared" ca="1" si="20"/>
        <v>-67.021251068948445</v>
      </c>
      <c r="S40" s="15">
        <f t="shared" ca="1" si="15"/>
        <v>19.396336113033659</v>
      </c>
      <c r="T40" s="26">
        <f t="shared" ca="1" si="21"/>
        <v>-0.20669463765205265</v>
      </c>
    </row>
    <row r="41" spans="4:20" x14ac:dyDescent="0.25">
      <c r="D41" s="22">
        <v>0.10833333333333334</v>
      </c>
      <c r="E41" s="11">
        <f t="shared" ca="1" si="22"/>
        <v>60.638223720480013</v>
      </c>
      <c r="F41" s="11">
        <f t="shared" ca="1" si="23"/>
        <v>0.19785478751427554</v>
      </c>
      <c r="G41" s="11">
        <f t="shared" ca="1" si="12"/>
        <v>0.10427187527028459</v>
      </c>
      <c r="H41" s="11">
        <f t="shared" ca="1" si="16"/>
        <v>6.3228613003935044</v>
      </c>
      <c r="I41" s="11">
        <f t="shared" ca="1" si="17"/>
        <v>-6.1250065128792288</v>
      </c>
      <c r="J41" s="11">
        <f t="shared" ca="1" si="13"/>
        <v>0.22032283482091281</v>
      </c>
      <c r="K41" s="20">
        <f t="shared" ca="1" si="18"/>
        <v>-2.2468047306637262E-2</v>
      </c>
      <c r="M41" s="26">
        <v>0.10833333333333334</v>
      </c>
      <c r="N41" s="15">
        <f t="shared" ca="1" si="24"/>
        <v>86.818086867554342</v>
      </c>
      <c r="O41" s="15">
        <f t="shared" ca="1" si="25"/>
        <v>19.763479740319653</v>
      </c>
      <c r="P41" s="15">
        <f t="shared" ca="1" si="14"/>
        <v>0.99977593717762248</v>
      </c>
      <c r="Q41" s="15">
        <f t="shared" ca="1" si="19"/>
        <v>86.798634161977375</v>
      </c>
      <c r="R41" s="15">
        <f t="shared" ca="1" si="20"/>
        <v>-67.035154421657722</v>
      </c>
      <c r="S41" s="15">
        <f t="shared" ca="1" si="15"/>
        <v>19.970155549050308</v>
      </c>
      <c r="T41" s="26">
        <f t="shared" ca="1" si="21"/>
        <v>-0.20667580873065461</v>
      </c>
    </row>
    <row r="42" spans="4:20" x14ac:dyDescent="0.25">
      <c r="D42" s="22">
        <v>0.11111111111111112</v>
      </c>
      <c r="E42" s="11">
        <f t="shared" ca="1" si="22"/>
        <v>61.659723115254138</v>
      </c>
      <c r="F42" s="11">
        <f t="shared" ca="1" si="23"/>
        <v>0.30409621643367224</v>
      </c>
      <c r="G42" s="11">
        <f t="shared" ca="1" si="12"/>
        <v>0.14747890346397288</v>
      </c>
      <c r="H42" s="11">
        <f t="shared" ca="1" si="16"/>
        <v>9.093508352929863</v>
      </c>
      <c r="I42" s="11">
        <f t="shared" ca="1" si="17"/>
        <v>-8.7894121364961908</v>
      </c>
      <c r="J42" s="11">
        <f t="shared" ca="1" si="13"/>
        <v>0.33835821028491941</v>
      </c>
      <c r="K42" s="20">
        <f t="shared" ca="1" si="18"/>
        <v>-3.4261993851247174E-2</v>
      </c>
      <c r="M42" s="26">
        <v>0.11111111111111112</v>
      </c>
      <c r="N42" s="15">
        <f t="shared" ca="1" si="24"/>
        <v>87.767145238472409</v>
      </c>
      <c r="O42" s="15">
        <f t="shared" ca="1" si="25"/>
        <v>20.709346056135473</v>
      </c>
      <c r="P42" s="15">
        <f t="shared" ca="1" si="14"/>
        <v>0.99988762582810098</v>
      </c>
      <c r="Q42" s="15">
        <f t="shared" ca="1" si="19"/>
        <v>87.757282478206292</v>
      </c>
      <c r="R42" s="15">
        <f t="shared" ca="1" si="20"/>
        <v>-67.047936422070819</v>
      </c>
      <c r="S42" s="15">
        <f t="shared" ca="1" si="15"/>
        <v>20.916049078933955</v>
      </c>
      <c r="T42" s="26">
        <f t="shared" ca="1" si="21"/>
        <v>-0.20670302279848229</v>
      </c>
    </row>
    <row r="43" spans="4:20" x14ac:dyDescent="0.25">
      <c r="D43" s="22">
        <v>0.11388888888888889</v>
      </c>
      <c r="E43" s="11">
        <f t="shared" ca="1" si="22"/>
        <v>62.089644600410665</v>
      </c>
      <c r="F43" s="11">
        <f t="shared" ca="1" si="23"/>
        <v>0.36710991641972868</v>
      </c>
      <c r="G43" s="11">
        <f t="shared" ca="1" si="12"/>
        <v>0.16724034754859385</v>
      </c>
      <c r="H43" s="11">
        <f t="shared" ca="1" si="16"/>
        <v>10.383893742141353</v>
      </c>
      <c r="I43" s="11">
        <f t="shared" ca="1" si="17"/>
        <v>-10.016783825721625</v>
      </c>
      <c r="J43" s="11">
        <f t="shared" ca="1" si="13"/>
        <v>0.39438151224027573</v>
      </c>
      <c r="K43" s="20">
        <f t="shared" ca="1" si="18"/>
        <v>-2.7271595820547057E-2</v>
      </c>
      <c r="M43" s="26">
        <v>0.11388888888888889</v>
      </c>
      <c r="N43" s="15">
        <f t="shared" ca="1" si="24"/>
        <v>87.882454775584534</v>
      </c>
      <c r="O43" s="15">
        <f t="shared" ca="1" si="25"/>
        <v>20.821662660927274</v>
      </c>
      <c r="P43" s="15">
        <f t="shared" ca="1" si="14"/>
        <v>0.99990920332561362</v>
      </c>
      <c r="Q43" s="15">
        <f t="shared" ca="1" si="19"/>
        <v>87.874475340953992</v>
      </c>
      <c r="R43" s="15">
        <f t="shared" ca="1" si="20"/>
        <v>-67.052812680026719</v>
      </c>
      <c r="S43" s="15">
        <f t="shared" ca="1" si="15"/>
        <v>21.028349760074121</v>
      </c>
      <c r="T43" s="26">
        <f t="shared" ca="1" si="21"/>
        <v>-0.20668709914684769</v>
      </c>
    </row>
    <row r="44" spans="4:20" x14ac:dyDescent="0.25">
      <c r="D44" s="22">
        <v>0.11666666666666667</v>
      </c>
      <c r="E44" s="11">
        <f t="shared" ca="1" si="22"/>
        <v>61.735247022477793</v>
      </c>
      <c r="F44" s="11">
        <f t="shared" ca="1" si="23"/>
        <v>0.3073951420303338</v>
      </c>
      <c r="G44" s="11">
        <f t="shared" ca="1" si="12"/>
        <v>0.14573996681485554</v>
      </c>
      <c r="H44" s="11">
        <f t="shared" ca="1" si="16"/>
        <v>8.9972928523628237</v>
      </c>
      <c r="I44" s="11">
        <f t="shared" ca="1" si="17"/>
        <v>-8.6898977103324899</v>
      </c>
      <c r="J44" s="11">
        <f t="shared" ca="1" si="13"/>
        <v>0.3273218241390547</v>
      </c>
      <c r="K44" s="20">
        <f t="shared" ca="1" si="18"/>
        <v>-1.9926682108720895E-2</v>
      </c>
      <c r="M44" s="26">
        <v>0.11666666666666667</v>
      </c>
      <c r="N44" s="15">
        <f t="shared" ca="1" si="24"/>
        <v>89.525874007566131</v>
      </c>
      <c r="O44" s="15">
        <f t="shared" ca="1" si="25"/>
        <v>22.461952484674015</v>
      </c>
      <c r="P44" s="15">
        <f t="shared" ca="1" si="14"/>
        <v>0.99997263561002103</v>
      </c>
      <c r="Q44" s="15">
        <f t="shared" ca="1" si="19"/>
        <v>89.523424186636575</v>
      </c>
      <c r="R44" s="15">
        <f t="shared" ca="1" si="20"/>
        <v>-67.06147170196256</v>
      </c>
      <c r="S44" s="15">
        <f t="shared" ca="1" si="15"/>
        <v>22.668695702874228</v>
      </c>
      <c r="T44" s="26">
        <f t="shared" ca="1" si="21"/>
        <v>-0.20674321820021291</v>
      </c>
    </row>
    <row r="45" spans="4:20" x14ac:dyDescent="0.25">
      <c r="D45" s="22">
        <v>0.11944444444444445</v>
      </c>
      <c r="E45" s="11">
        <f t="shared" ca="1" si="22"/>
        <v>61.278987959939137</v>
      </c>
      <c r="F45" s="11">
        <f t="shared" ca="1" si="23"/>
        <v>0.24051373513821517</v>
      </c>
      <c r="G45" s="11">
        <f t="shared" ca="1" si="12"/>
        <v>0.12098482604109462</v>
      </c>
      <c r="H45" s="11">
        <f t="shared" ca="1" si="16"/>
        <v>7.4138276983075677</v>
      </c>
      <c r="I45" s="11">
        <f t="shared" ca="1" si="17"/>
        <v>-7.1733139631693525</v>
      </c>
      <c r="J45" s="11">
        <f t="shared" ca="1" si="13"/>
        <v>0.25610591964392981</v>
      </c>
      <c r="K45" s="20">
        <f t="shared" ca="1" si="18"/>
        <v>-1.5592184505714646E-2</v>
      </c>
      <c r="M45" s="26">
        <v>0.11944444444444445</v>
      </c>
      <c r="N45" s="15">
        <f t="shared" ca="1" si="24"/>
        <v>88.209419001218578</v>
      </c>
      <c r="O45" s="15">
        <f t="shared" ca="1" si="25"/>
        <v>21.142552926226699</v>
      </c>
      <c r="P45" s="15">
        <f t="shared" ca="1" si="14"/>
        <v>0.99994575440146094</v>
      </c>
      <c r="Q45" s="15">
        <f t="shared" ca="1" si="19"/>
        <v>88.204634028488073</v>
      </c>
      <c r="R45" s="15">
        <f t="shared" ca="1" si="20"/>
        <v>-67.062081102261374</v>
      </c>
      <c r="S45" s="15">
        <f t="shared" ca="1" si="15"/>
        <v>21.349309937125394</v>
      </c>
      <c r="T45" s="26">
        <f t="shared" ca="1" si="21"/>
        <v>-0.20675701089869492</v>
      </c>
    </row>
    <row r="46" spans="4:20" x14ac:dyDescent="0.25">
      <c r="D46" s="22">
        <v>0.12222222222222223</v>
      </c>
      <c r="E46" s="11">
        <f t="shared" ca="1" si="22"/>
        <v>60.553420234904777</v>
      </c>
      <c r="F46" s="11">
        <f t="shared" ca="1" si="23"/>
        <v>0.15241222910512331</v>
      </c>
      <c r="G46" s="11">
        <f t="shared" ca="1" si="12"/>
        <v>8.839045825556123E-2</v>
      </c>
      <c r="H46" s="11">
        <f t="shared" ca="1" si="16"/>
        <v>5.3523445635048077</v>
      </c>
      <c r="I46" s="11">
        <f t="shared" ca="1" si="17"/>
        <v>-5.1999323343996844</v>
      </c>
      <c r="J46" s="11">
        <f t="shared" ca="1" si="13"/>
        <v>0.17175740076965954</v>
      </c>
      <c r="K46" s="20">
        <f t="shared" ca="1" si="18"/>
        <v>-1.9345171664536226E-2</v>
      </c>
      <c r="M46" s="26">
        <v>0.12222222222222223</v>
      </c>
      <c r="N46" s="15">
        <f t="shared" ca="1" si="24"/>
        <v>89.963838875712</v>
      </c>
      <c r="O46" s="15">
        <f t="shared" ca="1" si="25"/>
        <v>22.893897027990931</v>
      </c>
      <c r="P46" s="15">
        <f t="shared" ca="1" si="14"/>
        <v>0.99998584756627984</v>
      </c>
      <c r="Q46" s="15">
        <f t="shared" ca="1" si="19"/>
        <v>89.962565668445095</v>
      </c>
      <c r="R46" s="15">
        <f t="shared" ca="1" si="20"/>
        <v>-67.068668640454163</v>
      </c>
      <c r="S46" s="15">
        <f t="shared" ca="1" si="15"/>
        <v>23.10069679644872</v>
      </c>
      <c r="T46" s="26">
        <f t="shared" ca="1" si="21"/>
        <v>-0.20679976845778825</v>
      </c>
    </row>
    <row r="47" spans="4:20" x14ac:dyDescent="0.25">
      <c r="D47" s="22">
        <v>0.125</v>
      </c>
      <c r="E47" s="11">
        <f t="shared" ca="1" si="22"/>
        <v>60.82474684522662</v>
      </c>
      <c r="F47" s="11">
        <f t="shared" ca="1" si="23"/>
        <v>0.17616379928883585</v>
      </c>
      <c r="G47" s="11">
        <f t="shared" ca="1" si="12"/>
        <v>9.6142907815948822E-2</v>
      </c>
      <c r="H47" s="11">
        <f t="shared" ca="1" si="16"/>
        <v>5.8478680288690468</v>
      </c>
      <c r="I47" s="11">
        <f t="shared" ca="1" si="17"/>
        <v>-5.6717042295802109</v>
      </c>
      <c r="J47" s="11">
        <f t="shared" ca="1" si="13"/>
        <v>0.18869714674415999</v>
      </c>
      <c r="K47" s="20">
        <f t="shared" ca="1" si="18"/>
        <v>-1.253334745532414E-2</v>
      </c>
      <c r="M47" s="26">
        <v>0.125</v>
      </c>
      <c r="N47" s="15">
        <f t="shared" ca="1" si="24"/>
        <v>89.959426945036881</v>
      </c>
      <c r="O47" s="15">
        <f t="shared" ca="1" si="25"/>
        <v>22.886504263796382</v>
      </c>
      <c r="P47" s="15">
        <f t="shared" ca="1" si="14"/>
        <v>0.99998835940680031</v>
      </c>
      <c r="Q47" s="15">
        <f t="shared" ca="1" si="19"/>
        <v>89.958379763943341</v>
      </c>
      <c r="R47" s="15">
        <f t="shared" ca="1" si="20"/>
        <v>-67.071875500146959</v>
      </c>
      <c r="S47" s="15">
        <f t="shared" ca="1" si="15"/>
        <v>23.093309212577413</v>
      </c>
      <c r="T47" s="26">
        <f t="shared" ca="1" si="21"/>
        <v>-0.20680494878103062</v>
      </c>
    </row>
    <row r="48" spans="4:20" x14ac:dyDescent="0.25">
      <c r="D48" s="22">
        <v>0.1277777777777778</v>
      </c>
      <c r="E48" s="11">
        <f t="shared" ca="1" si="22"/>
        <v>61.37619904004162</v>
      </c>
      <c r="F48" s="11">
        <f t="shared" ca="1" si="23"/>
        <v>0.22892993547453422</v>
      </c>
      <c r="G48" s="11">
        <f t="shared" ca="1" si="12"/>
        <v>0.11684061991786268</v>
      </c>
      <c r="H48" s="11">
        <f t="shared" ca="1" si="16"/>
        <v>7.171233144040591</v>
      </c>
      <c r="I48" s="11">
        <f t="shared" ca="1" si="17"/>
        <v>-6.9423032085660568</v>
      </c>
      <c r="J48" s="11">
        <f t="shared" ca="1" si="13"/>
        <v>0.2381492236149122</v>
      </c>
      <c r="K48" s="20">
        <f t="shared" ca="1" si="18"/>
        <v>-9.2192881403779792E-3</v>
      </c>
      <c r="M48" s="26">
        <v>0.1277777777777778</v>
      </c>
      <c r="N48" s="15">
        <f t="shared" ca="1" si="24"/>
        <v>89.35452225865366</v>
      </c>
      <c r="O48" s="15">
        <f t="shared" ca="1" si="25"/>
        <v>22.278625580373287</v>
      </c>
      <c r="P48" s="15">
        <f t="shared" ca="1" si="14"/>
        <v>0.99998547137871885</v>
      </c>
      <c r="Q48" s="15">
        <f t="shared" ca="1" si="19"/>
        <v>89.353224060640002</v>
      </c>
      <c r="R48" s="15">
        <f t="shared" ca="1" si="20"/>
        <v>-67.074598480266715</v>
      </c>
      <c r="S48" s="15">
        <f t="shared" ca="1" si="15"/>
        <v>22.48543648475415</v>
      </c>
      <c r="T48" s="26">
        <f t="shared" ca="1" si="21"/>
        <v>-0.20681090438086258</v>
      </c>
    </row>
    <row r="49" spans="4:20" x14ac:dyDescent="0.25">
      <c r="D49" s="22">
        <v>0.13055555555555556</v>
      </c>
      <c r="E49" s="11">
        <f t="shared" ca="1" si="22"/>
        <v>60.171982657898326</v>
      </c>
      <c r="F49" s="11">
        <f t="shared" ca="1" si="23"/>
        <v>8.7919993203699143E-2</v>
      </c>
      <c r="G49" s="11">
        <f t="shared" ca="1" si="12"/>
        <v>6.7742410671475392E-2</v>
      </c>
      <c r="H49" s="11">
        <f t="shared" ca="1" si="16"/>
        <v>4.0761951601282433</v>
      </c>
      <c r="I49" s="11">
        <f t="shared" ca="1" si="17"/>
        <v>-3.9882751669245442</v>
      </c>
      <c r="J49" s="11">
        <f t="shared" ca="1" si="13"/>
        <v>0.12063695368108714</v>
      </c>
      <c r="K49" s="20">
        <f t="shared" ca="1" si="18"/>
        <v>-3.2716960477387994E-2</v>
      </c>
      <c r="M49" s="26">
        <v>0.13055555555555556</v>
      </c>
      <c r="N49" s="15">
        <f t="shared" ca="1" si="24"/>
        <v>91.947113140935073</v>
      </c>
      <c r="O49" s="15">
        <f t="shared" ca="1" si="25"/>
        <v>24.868197636370354</v>
      </c>
      <c r="P49" s="15">
        <f t="shared" ca="1" si="14"/>
        <v>0.99999826978285722</v>
      </c>
      <c r="Q49" s="15">
        <f t="shared" ca="1" si="19"/>
        <v>91.946954052463681</v>
      </c>
      <c r="R49" s="15">
        <f t="shared" ca="1" si="20"/>
        <v>-67.078756416093327</v>
      </c>
      <c r="S49" s="15">
        <f t="shared" ca="1" si="15"/>
        <v>25.075037527080614</v>
      </c>
      <c r="T49" s="26">
        <f t="shared" ca="1" si="21"/>
        <v>-0.20683989071025977</v>
      </c>
    </row>
    <row r="50" spans="4:20" x14ac:dyDescent="0.25">
      <c r="D50" s="22">
        <v>0.13333333333333333</v>
      </c>
      <c r="E50" s="11">
        <f t="shared" ca="1" si="22"/>
        <v>60.290190596490596</v>
      </c>
      <c r="F50" s="11">
        <f t="shared" ca="1" si="23"/>
        <v>9.5750423311264932E-2</v>
      </c>
      <c r="G50" s="11">
        <f t="shared" ca="1" si="12"/>
        <v>6.9008003750634261E-2</v>
      </c>
      <c r="H50" s="11">
        <f t="shared" ca="1" si="16"/>
        <v>4.1605056988090778</v>
      </c>
      <c r="I50" s="11">
        <f t="shared" ca="1" si="17"/>
        <v>-4.0647552754978129</v>
      </c>
      <c r="J50" s="11">
        <f t="shared" ca="1" si="13"/>
        <v>0.12212076037618735</v>
      </c>
      <c r="K50" s="20">
        <f t="shared" ca="1" si="18"/>
        <v>-2.6370337064922422E-2</v>
      </c>
      <c r="M50" s="26">
        <v>0.13333333333333333</v>
      </c>
      <c r="N50" s="15">
        <f t="shared" ca="1" si="24"/>
        <v>93.36745227472808</v>
      </c>
      <c r="O50" s="15">
        <f t="shared" ca="1" si="25"/>
        <v>26.285552968353713</v>
      </c>
      <c r="P50" s="15">
        <f t="shared" ca="1" si="14"/>
        <v>0.99999956566445514</v>
      </c>
      <c r="Q50" s="15">
        <f t="shared" ca="1" si="19"/>
        <v>93.367411721924825</v>
      </c>
      <c r="R50" s="15">
        <f t="shared" ca="1" si="20"/>
        <v>-67.081858753571112</v>
      </c>
      <c r="S50" s="15">
        <f t="shared" ca="1" si="15"/>
        <v>26.492402815828925</v>
      </c>
      <c r="T50" s="26">
        <f t="shared" ca="1" si="21"/>
        <v>-0.20684984747521185</v>
      </c>
    </row>
    <row r="51" spans="4:20" x14ac:dyDescent="0.25">
      <c r="D51" s="22">
        <v>0.13611111111111113</v>
      </c>
      <c r="E51" s="11">
        <f t="shared" ca="1" si="22"/>
        <v>60.195302159752025</v>
      </c>
      <c r="F51" s="11">
        <f t="shared" ca="1" si="23"/>
        <v>8.9021701908262862E-2</v>
      </c>
      <c r="G51" s="11">
        <f t="shared" ca="1" si="12"/>
        <v>6.3502796931501876E-2</v>
      </c>
      <c r="H51" s="11">
        <f t="shared" ca="1" si="16"/>
        <v>3.8225700492811292</v>
      </c>
      <c r="I51" s="11">
        <f t="shared" ca="1" si="17"/>
        <v>-3.7335483473728663</v>
      </c>
      <c r="J51" s="11">
        <f t="shared" ca="1" si="13"/>
        <v>0.10932243245506236</v>
      </c>
      <c r="K51" s="20">
        <f t="shared" ca="1" si="18"/>
        <v>-2.0300730546799498E-2</v>
      </c>
      <c r="M51" s="26">
        <v>0.13611111111111113</v>
      </c>
      <c r="N51" s="15">
        <f t="shared" ca="1" si="24"/>
        <v>95.607717437273166</v>
      </c>
      <c r="O51" s="15">
        <f t="shared" ca="1" si="25"/>
        <v>28.522835675672738</v>
      </c>
      <c r="P51" s="15">
        <f t="shared" ca="1" si="14"/>
        <v>0.9999999505452648</v>
      </c>
      <c r="Q51" s="15">
        <f t="shared" ca="1" si="19"/>
        <v>95.607712709018813</v>
      </c>
      <c r="R51" s="15">
        <f t="shared" ca="1" si="20"/>
        <v>-67.084877033346075</v>
      </c>
      <c r="S51" s="15">
        <f t="shared" ca="1" si="15"/>
        <v>28.729695214079833</v>
      </c>
      <c r="T51" s="26">
        <f t="shared" ca="1" si="21"/>
        <v>-0.20685953840709459</v>
      </c>
    </row>
    <row r="52" spans="4:20" x14ac:dyDescent="0.25">
      <c r="D52" s="22">
        <v>0.1388888888888889</v>
      </c>
      <c r="E52" s="11">
        <f t="shared" ca="1" si="22"/>
        <v>60.282872489927712</v>
      </c>
      <c r="F52" s="11">
        <f t="shared" ca="1" si="23"/>
        <v>9.4416723633019117E-2</v>
      </c>
      <c r="G52" s="11">
        <f t="shared" ca="1" si="12"/>
        <v>6.3670849445540731E-2</v>
      </c>
      <c r="H52" s="11">
        <f t="shared" ca="1" si="16"/>
        <v>3.8382616984509164</v>
      </c>
      <c r="I52" s="11">
        <f t="shared" ca="1" si="17"/>
        <v>-3.7438449748178972</v>
      </c>
      <c r="J52" s="11">
        <f t="shared" ca="1" si="13"/>
        <v>0.10850681648588295</v>
      </c>
      <c r="K52" s="20">
        <f t="shared" ca="1" si="18"/>
        <v>-1.4090092852863834E-2</v>
      </c>
      <c r="M52" s="26">
        <v>0.1388888888888889</v>
      </c>
      <c r="N52" s="15">
        <f t="shared" ca="1" si="24"/>
        <v>96.334413746246966</v>
      </c>
      <c r="O52" s="15">
        <f t="shared" ca="1" si="25"/>
        <v>29.246550332359945</v>
      </c>
      <c r="P52" s="15">
        <f t="shared" ca="1" si="14"/>
        <v>0.99999998174946159</v>
      </c>
      <c r="Q52" s="15">
        <f t="shared" ca="1" si="19"/>
        <v>96.334411988092043</v>
      </c>
      <c r="R52" s="15">
        <f t="shared" ca="1" si="20"/>
        <v>-67.087861655732098</v>
      </c>
      <c r="S52" s="15">
        <f t="shared" ca="1" si="15"/>
        <v>29.453419063822491</v>
      </c>
      <c r="T52" s="26">
        <f t="shared" ca="1" si="21"/>
        <v>-0.2068687314625457</v>
      </c>
    </row>
    <row r="53" spans="4:20" x14ac:dyDescent="0.25">
      <c r="D53" s="22">
        <v>0.14166666666666666</v>
      </c>
      <c r="E53" s="11">
        <f t="shared" ca="1" si="22"/>
        <v>60.735493594730926</v>
      </c>
      <c r="F53" s="11">
        <f t="shared" ca="1" si="23"/>
        <v>0.12306909704514757</v>
      </c>
      <c r="G53" s="11">
        <f t="shared" ca="1" si="12"/>
        <v>7.6075010574262206E-2</v>
      </c>
      <c r="H53" s="11">
        <f t="shared" ca="1" si="16"/>
        <v>4.6204533174521893</v>
      </c>
      <c r="I53" s="11">
        <f t="shared" ca="1" si="17"/>
        <v>-4.4973842204070422</v>
      </c>
      <c r="J53" s="11">
        <f t="shared" ca="1" si="13"/>
        <v>0.13308894626954829</v>
      </c>
      <c r="K53" s="20">
        <f t="shared" ca="1" si="18"/>
        <v>-1.0019849224400718E-2</v>
      </c>
      <c r="M53" s="26">
        <v>0.14166666666666666</v>
      </c>
      <c r="N53" s="15">
        <f t="shared" ca="1" si="24"/>
        <v>95.75514726059383</v>
      </c>
      <c r="O53" s="15">
        <f t="shared" ca="1" si="25"/>
        <v>28.66430210827788</v>
      </c>
      <c r="P53" s="15">
        <f t="shared" ca="1" si="14"/>
        <v>0.99999997921049355</v>
      </c>
      <c r="Q53" s="15">
        <f t="shared" ca="1" si="19"/>
        <v>95.755145269891585</v>
      </c>
      <c r="R53" s="15">
        <f t="shared" ca="1" si="20"/>
        <v>-67.090843161613705</v>
      </c>
      <c r="S53" s="15">
        <f t="shared" ca="1" si="15"/>
        <v>28.871180025937463</v>
      </c>
      <c r="T53" s="26">
        <f t="shared" ca="1" si="21"/>
        <v>-0.20687791765958252</v>
      </c>
    </row>
    <row r="54" spans="4:20" x14ac:dyDescent="0.25">
      <c r="D54" s="22">
        <v>0.14444444444444446</v>
      </c>
      <c r="E54" s="11">
        <f t="shared" ca="1" si="22"/>
        <v>61.108771067598241</v>
      </c>
      <c r="F54" s="11">
        <f t="shared" ca="1" si="23"/>
        <v>0.15126629655560642</v>
      </c>
      <c r="G54" s="11">
        <f t="shared" ca="1" si="12"/>
        <v>8.7241040840754278E-2</v>
      </c>
      <c r="H54" s="11">
        <f t="shared" ca="1" si="16"/>
        <v>5.3311927924366413</v>
      </c>
      <c r="I54" s="11">
        <f t="shared" ca="1" si="17"/>
        <v>-5.1799264958810349</v>
      </c>
      <c r="J54" s="11">
        <f t="shared" ca="1" si="13"/>
        <v>0.15550951339482783</v>
      </c>
      <c r="K54" s="20">
        <f t="shared" ca="1" si="18"/>
        <v>-4.2432168392214087E-3</v>
      </c>
      <c r="M54" s="26">
        <v>0.14444444444444446</v>
      </c>
      <c r="N54" s="15">
        <f t="shared" ca="1" si="24"/>
        <v>96.444437733842463</v>
      </c>
      <c r="O54" s="15">
        <f t="shared" ca="1" si="25"/>
        <v>29.350610685681332</v>
      </c>
      <c r="P54" s="15">
        <f t="shared" ca="1" si="14"/>
        <v>0.99999999262929462</v>
      </c>
      <c r="Q54" s="15">
        <f t="shared" ca="1" si="19"/>
        <v>96.444437022978931</v>
      </c>
      <c r="R54" s="15">
        <f t="shared" ca="1" si="20"/>
        <v>-67.0938263372976</v>
      </c>
      <c r="S54" s="15">
        <f t="shared" ca="1" si="15"/>
        <v>29.557497797381725</v>
      </c>
      <c r="T54" s="26">
        <f t="shared" ca="1" si="21"/>
        <v>-0.20688711170039298</v>
      </c>
    </row>
    <row r="55" spans="4:20" x14ac:dyDescent="0.25">
      <c r="D55" s="22">
        <v>0.14722222222222223</v>
      </c>
      <c r="E55" s="11">
        <f t="shared" ca="1" si="22"/>
        <v>60.587662506667705</v>
      </c>
      <c r="F55" s="11">
        <f t="shared" ca="1" si="23"/>
        <v>0.10557401923757403</v>
      </c>
      <c r="G55" s="11">
        <f t="shared" ca="1" si="12"/>
        <v>6.5356249466747493E-2</v>
      </c>
      <c r="H55" s="11">
        <f t="shared" ca="1" si="16"/>
        <v>3.9597823853928782</v>
      </c>
      <c r="I55" s="11">
        <f t="shared" ca="1" si="17"/>
        <v>-3.8542083661553042</v>
      </c>
      <c r="J55" s="11">
        <f t="shared" ca="1" si="13"/>
        <v>0.10824697146400999</v>
      </c>
      <c r="K55" s="20">
        <f t="shared" ca="1" si="18"/>
        <v>-2.6729522264359595E-3</v>
      </c>
      <c r="M55" s="26">
        <v>0.14722222222222223</v>
      </c>
      <c r="N55" s="15">
        <f t="shared" ca="1" si="24"/>
        <v>95.994503257777893</v>
      </c>
      <c r="O55" s="15">
        <f t="shared" ca="1" si="25"/>
        <v>28.897694198829399</v>
      </c>
      <c r="P55" s="15">
        <f t="shared" ca="1" si="14"/>
        <v>0.99999999269552897</v>
      </c>
      <c r="Q55" s="15">
        <f t="shared" ca="1" si="19"/>
        <v>95.994502556588827</v>
      </c>
      <c r="R55" s="15">
        <f t="shared" ca="1" si="20"/>
        <v>-67.096808357759429</v>
      </c>
      <c r="S55" s="15">
        <f t="shared" ca="1" si="15"/>
        <v>29.104590502157745</v>
      </c>
      <c r="T55" s="26">
        <f t="shared" ca="1" si="21"/>
        <v>-0.20689630332834597</v>
      </c>
    </row>
    <row r="56" spans="4:20" x14ac:dyDescent="0.25">
      <c r="D56" s="22">
        <v>0.15</v>
      </c>
      <c r="E56" s="11">
        <f t="shared" ca="1" si="22"/>
        <v>60.911597660070349</v>
      </c>
      <c r="F56" s="11">
        <f t="shared" ca="1" si="23"/>
        <v>0.12657390397811774</v>
      </c>
      <c r="G56" s="11">
        <f t="shared" ca="1" si="12"/>
        <v>7.3610923882550652E-2</v>
      </c>
      <c r="H56" s="11">
        <f t="shared" ca="1" si="16"/>
        <v>4.4837589789199885</v>
      </c>
      <c r="I56" s="11">
        <f t="shared" ca="1" si="17"/>
        <v>-4.3571850749418708</v>
      </c>
      <c r="J56" s="11">
        <f t="shared" ca="1" si="13"/>
        <v>0.12347938281963747</v>
      </c>
      <c r="K56" s="20">
        <f t="shared" ca="1" si="18"/>
        <v>3.0945211584802734E-3</v>
      </c>
      <c r="M56" s="26">
        <v>0.15</v>
      </c>
      <c r="N56" s="15">
        <f t="shared" ca="1" si="24"/>
        <v>96.290013416863999</v>
      </c>
      <c r="O56" s="15">
        <f t="shared" ca="1" si="25"/>
        <v>29.190222209116072</v>
      </c>
      <c r="P56" s="15">
        <f t="shared" ca="1" si="14"/>
        <v>0.99999999650716387</v>
      </c>
      <c r="Q56" s="15">
        <f t="shared" ca="1" si="19"/>
        <v>96.290013080538756</v>
      </c>
      <c r="R56" s="15">
        <f t="shared" ca="1" si="20"/>
        <v>-67.099790871422684</v>
      </c>
      <c r="S56" s="15">
        <f t="shared" ca="1" si="15"/>
        <v>29.397127706100814</v>
      </c>
      <c r="T56" s="26">
        <f t="shared" ca="1" si="21"/>
        <v>-0.20690549698474214</v>
      </c>
    </row>
    <row r="57" spans="4:20" x14ac:dyDescent="0.25">
      <c r="D57" s="22">
        <v>0.15277777777777779</v>
      </c>
      <c r="E57" s="11">
        <f t="shared" ca="1" si="22"/>
        <v>60.985438899211701</v>
      </c>
      <c r="F57" s="11">
        <f t="shared" ca="1" si="23"/>
        <v>0.131815768838492</v>
      </c>
      <c r="G57" s="11">
        <f t="shared" ca="1" si="12"/>
        <v>7.3229889886281166E-2</v>
      </c>
      <c r="H57" s="11">
        <f t="shared" ca="1" si="16"/>
        <v>4.4659569752558008</v>
      </c>
      <c r="I57" s="11">
        <f t="shared" ca="1" si="17"/>
        <v>-4.3341412064173088</v>
      </c>
      <c r="J57" s="11">
        <f t="shared" ca="1" si="13"/>
        <v>0.12119852250308862</v>
      </c>
      <c r="K57" s="20">
        <f t="shared" ca="1" si="18"/>
        <v>1.0617246335403382E-2</v>
      </c>
      <c r="M57" s="26">
        <v>0.15277777777777779</v>
      </c>
      <c r="N57" s="15">
        <f t="shared" ca="1" si="24"/>
        <v>97.435727055489394</v>
      </c>
      <c r="O57" s="15">
        <f t="shared" ca="1" si="25"/>
        <v>30.332953564539679</v>
      </c>
      <c r="P57" s="15">
        <f t="shared" ca="1" si="14"/>
        <v>0.99999999932566985</v>
      </c>
      <c r="Q57" s="15">
        <f t="shared" ca="1" si="19"/>
        <v>97.43572698978555</v>
      </c>
      <c r="R57" s="15">
        <f t="shared" ca="1" si="20"/>
        <v>-67.102773425245871</v>
      </c>
      <c r="S57" s="15">
        <f t="shared" ca="1" si="15"/>
        <v>30.539868258648479</v>
      </c>
      <c r="T57" s="26">
        <f t="shared" ca="1" si="21"/>
        <v>-0.20691469410880003</v>
      </c>
    </row>
    <row r="58" spans="4:20" x14ac:dyDescent="0.25">
      <c r="D58" s="22">
        <v>0.15555555555555556</v>
      </c>
      <c r="E58" s="11">
        <f t="shared" ca="1" si="22"/>
        <v>60.808785848231452</v>
      </c>
      <c r="F58" s="11">
        <f t="shared" ca="1" si="23"/>
        <v>0.11868685258837353</v>
      </c>
      <c r="G58" s="11">
        <f t="shared" ca="1" si="12"/>
        <v>6.3982748732641356E-2</v>
      </c>
      <c r="H58" s="11">
        <f t="shared" ca="1" si="16"/>
        <v>3.8907132656643904</v>
      </c>
      <c r="I58" s="11">
        <f t="shared" ca="1" si="17"/>
        <v>-3.7720264130760168</v>
      </c>
      <c r="J58" s="11">
        <f t="shared" ca="1" si="13"/>
        <v>0.10169005441193492</v>
      </c>
      <c r="K58" s="20">
        <f t="shared" ca="1" si="18"/>
        <v>1.6996798176438607E-2</v>
      </c>
      <c r="M58" s="26">
        <v>0.15555555555555556</v>
      </c>
      <c r="N58" s="15">
        <f t="shared" ca="1" si="24"/>
        <v>99.185019536655432</v>
      </c>
      <c r="O58" s="15">
        <f t="shared" ca="1" si="25"/>
        <v>32.079263632765233</v>
      </c>
      <c r="P58" s="15">
        <f t="shared" ca="1" si="14"/>
        <v>0.99999999993941602</v>
      </c>
      <c r="Q58" s="15">
        <f t="shared" ca="1" si="19"/>
        <v>99.185019530646414</v>
      </c>
      <c r="R58" s="15">
        <f t="shared" ca="1" si="20"/>
        <v>-67.105755897881181</v>
      </c>
      <c r="S58" s="15">
        <f t="shared" ca="1" si="15"/>
        <v>32.286187523869465</v>
      </c>
      <c r="T58" s="26">
        <f t="shared" ca="1" si="21"/>
        <v>-0.20692389110423193</v>
      </c>
    </row>
    <row r="59" spans="4:20" x14ac:dyDescent="0.25">
      <c r="D59" s="22">
        <v>0.15833333333333333</v>
      </c>
      <c r="E59" s="11">
        <f t="shared" ca="1" si="22"/>
        <v>59.512655962424425</v>
      </c>
      <c r="F59" s="11">
        <f t="shared" ca="1" si="23"/>
        <v>3.5589250436043329E-2</v>
      </c>
      <c r="G59" s="11">
        <f t="shared" ca="1" si="12"/>
        <v>2.8551261310635775E-2</v>
      </c>
      <c r="H59" s="11">
        <f t="shared" ca="1" si="16"/>
        <v>1.6991613916731461</v>
      </c>
      <c r="I59" s="11">
        <f t="shared" ca="1" si="17"/>
        <v>-1.6635721412371027</v>
      </c>
      <c r="J59" s="11">
        <f t="shared" ca="1" si="13"/>
        <v>3.8756160109855387E-2</v>
      </c>
      <c r="K59" s="20">
        <f t="shared" ca="1" si="18"/>
        <v>-3.1669096738120572E-3</v>
      </c>
      <c r="M59" s="26">
        <v>0.15833333333333333</v>
      </c>
      <c r="N59" s="15">
        <f t="shared" ca="1" si="24"/>
        <v>101.41230245717313</v>
      </c>
      <c r="O59" s="15">
        <f t="shared" ca="1" si="25"/>
        <v>34.303564008829809</v>
      </c>
      <c r="P59" s="15">
        <f t="shared" ca="1" si="14"/>
        <v>0.99999999999739564</v>
      </c>
      <c r="Q59" s="15">
        <f t="shared" ca="1" si="19"/>
        <v>101.41230245690902</v>
      </c>
      <c r="R59" s="15">
        <f t="shared" ca="1" si="20"/>
        <v>-67.108738448079208</v>
      </c>
      <c r="S59" s="15">
        <f t="shared" ca="1" si="15"/>
        <v>34.510497096837327</v>
      </c>
      <c r="T59" s="26">
        <f t="shared" ca="1" si="21"/>
        <v>-0.20693308800751709</v>
      </c>
    </row>
    <row r="60" spans="4:20" x14ac:dyDescent="0.25">
      <c r="D60" s="22">
        <v>0.16111111111111112</v>
      </c>
      <c r="E60" s="11">
        <f t="shared" ca="1" si="22"/>
        <v>60.512655962424425</v>
      </c>
      <c r="F60" s="11">
        <f t="shared" ca="1" si="23"/>
        <v>6.4066573564010021E-2</v>
      </c>
      <c r="G60" s="11">
        <f t="shared" ca="1" si="12"/>
        <v>4.903891771895675E-2</v>
      </c>
      <c r="H60" s="11">
        <f t="shared" ca="1" si="16"/>
        <v>2.9674751566968691</v>
      </c>
      <c r="I60" s="11">
        <f t="shared" ca="1" si="17"/>
        <v>-2.9034085831328591</v>
      </c>
      <c r="J60" s="11">
        <f t="shared" ca="1" si="13"/>
        <v>7.2102332400703475E-2</v>
      </c>
      <c r="K60" s="20">
        <f t="shared" ca="1" si="18"/>
        <v>-8.0357588366934546E-3</v>
      </c>
      <c r="M60" s="26">
        <v>0.16111111111111112</v>
      </c>
      <c r="N60" s="15">
        <f t="shared" ca="1" si="24"/>
        <v>101.72545269856064</v>
      </c>
      <c r="O60" s="15">
        <f t="shared" ca="1" si="25"/>
        <v>34.613731573337603</v>
      </c>
      <c r="P60" s="15">
        <f t="shared" ca="1" si="14"/>
        <v>0.99999999999914801</v>
      </c>
      <c r="Q60" s="15">
        <f t="shared" ca="1" si="19"/>
        <v>101.72545269847397</v>
      </c>
      <c r="R60" s="15">
        <f t="shared" ca="1" si="20"/>
        <v>-67.11172112513637</v>
      </c>
      <c r="S60" s="15">
        <f t="shared" ca="1" si="15"/>
        <v>34.820673858574899</v>
      </c>
      <c r="T60" s="26">
        <f t="shared" ca="1" si="21"/>
        <v>-0.20694228523729663</v>
      </c>
    </row>
    <row r="61" spans="4:20" x14ac:dyDescent="0.25">
      <c r="D61" s="22">
        <v>0.16388888888888889</v>
      </c>
      <c r="E61" s="11">
        <f t="shared" ca="1" si="22"/>
        <v>59.846803634986102</v>
      </c>
      <c r="F61" s="11">
        <f t="shared" ca="1" si="23"/>
        <v>3.1284852816707343E-2</v>
      </c>
      <c r="G61" s="11">
        <f t="shared" ca="1" si="12"/>
        <v>3.0676381726662868E-2</v>
      </c>
      <c r="H61" s="11">
        <f t="shared" ca="1" si="16"/>
        <v>1.8358833934274685</v>
      </c>
      <c r="I61" s="11">
        <f t="shared" ca="1" si="17"/>
        <v>-1.8045985406107612</v>
      </c>
      <c r="J61" s="11">
        <f t="shared" ca="1" si="13"/>
        <v>4.1009097508260026E-2</v>
      </c>
      <c r="K61" s="20">
        <f t="shared" ca="1" si="18"/>
        <v>-9.7242446915526831E-3</v>
      </c>
      <c r="M61" s="26">
        <v>0.16388888888888889</v>
      </c>
      <c r="N61" s="15">
        <f t="shared" ca="1" si="24"/>
        <v>103.47380251615444</v>
      </c>
      <c r="O61" s="15">
        <f t="shared" ca="1" si="25"/>
        <v>36.359098581484631</v>
      </c>
      <c r="P61" s="15">
        <f t="shared" ca="1" si="14"/>
        <v>0.99999999999995615</v>
      </c>
      <c r="Q61" s="15">
        <f t="shared" ca="1" si="19"/>
        <v>103.4738025161499</v>
      </c>
      <c r="R61" s="15">
        <f t="shared" ca="1" si="20"/>
        <v>-67.114703934665272</v>
      </c>
      <c r="S61" s="15">
        <f t="shared" ca="1" si="15"/>
        <v>36.566050064362017</v>
      </c>
      <c r="T61" s="26">
        <f t="shared" ca="1" si="21"/>
        <v>-0.20695148287738618</v>
      </c>
    </row>
    <row r="62" spans="4:20" x14ac:dyDescent="0.25">
      <c r="D62" s="22">
        <v>0.16666666666666669</v>
      </c>
      <c r="E62" s="11">
        <f t="shared" ca="1" si="22"/>
        <v>60.846803634986102</v>
      </c>
      <c r="F62" s="11">
        <f t="shared" ca="1" si="23"/>
        <v>6.1881028381441716E-2</v>
      </c>
      <c r="G62" s="11">
        <f t="shared" ref="G62:G91" ca="1" si="26">BSGreeks(E62,$B$3,$B$6 - D62,$B$8, $B$5,$G$1)</f>
        <v>5.298441092585944E-2</v>
      </c>
      <c r="H62" s="11">
        <f t="shared" ca="1" si="16"/>
        <v>3.2239320473211817</v>
      </c>
      <c r="I62" s="11">
        <f t="shared" ca="1" si="17"/>
        <v>-3.1620510189397399</v>
      </c>
      <c r="J62" s="11">
        <f t="shared" ref="J62:J91" ca="1" si="27">BSCall(E62,$B$3, $B$6 - D62,$B$8, $B$5)</f>
        <v>7.6834006269419663E-2</v>
      </c>
      <c r="K62" s="20">
        <f t="shared" ca="1" si="18"/>
        <v>-1.4952977887977947E-2</v>
      </c>
      <c r="M62" s="26">
        <v>0.16666666666666669</v>
      </c>
      <c r="N62" s="15">
        <f t="shared" ca="1" si="24"/>
        <v>105.52925950728991</v>
      </c>
      <c r="O62" s="15">
        <f t="shared" ca="1" si="25"/>
        <v>38.411572630602464</v>
      </c>
      <c r="P62" s="15">
        <f t="shared" ref="P62:P91" ca="1" si="28">BSGreeks(N62,$B$3,$B$6 - M62,$B$8, $B$5,$G$1)</f>
        <v>0.99999999999999878</v>
      </c>
      <c r="Q62" s="15">
        <f t="shared" ca="1" si="19"/>
        <v>105.52925950728978</v>
      </c>
      <c r="R62" s="15">
        <f t="shared" ca="1" si="20"/>
        <v>-67.117686876687316</v>
      </c>
      <c r="S62" s="15">
        <f t="shared" ref="S62:S91" ca="1" si="29">BSCall(N62,$B$3, $B$6 - M62,$B$8, $B$5)</f>
        <v>38.618533311527997</v>
      </c>
      <c r="T62" s="26">
        <f t="shared" ca="1" si="21"/>
        <v>-0.20696068092553332</v>
      </c>
    </row>
    <row r="63" spans="4:20" x14ac:dyDescent="0.25">
      <c r="D63" s="22">
        <v>0.16944444444444445</v>
      </c>
      <c r="E63" s="11">
        <f t="shared" ca="1" si="22"/>
        <v>60.376934453283248</v>
      </c>
      <c r="F63" s="11">
        <f t="shared" ca="1" si="23"/>
        <v>3.684474785279912E-2</v>
      </c>
      <c r="G63" s="11">
        <f t="shared" ca="1" si="26"/>
        <v>3.7330234935725175E-2</v>
      </c>
      <c r="H63" s="11">
        <f t="shared" ca="1" si="16"/>
        <v>2.2538851478399433</v>
      </c>
      <c r="I63" s="11">
        <f t="shared" ca="1" si="17"/>
        <v>-2.2170403999871442</v>
      </c>
      <c r="J63" s="11">
        <f t="shared" ca="1" si="27"/>
        <v>5.0091736873433858E-2</v>
      </c>
      <c r="K63" s="20">
        <f t="shared" ca="1" si="18"/>
        <v>-1.3246989020634738E-2</v>
      </c>
      <c r="M63" s="26">
        <v>0.16944444444444445</v>
      </c>
      <c r="N63" s="15">
        <f t="shared" ca="1" si="24"/>
        <v>105.46598221240363</v>
      </c>
      <c r="O63" s="15">
        <f t="shared" ca="1" si="25"/>
        <v>38.345312261120512</v>
      </c>
      <c r="P63" s="15">
        <f t="shared" ca="1" si="28"/>
        <v>0.99999999999999956</v>
      </c>
      <c r="Q63" s="15">
        <f t="shared" ca="1" si="19"/>
        <v>105.46598221240359</v>
      </c>
      <c r="R63" s="15">
        <f t="shared" ca="1" si="20"/>
        <v>-67.120669951283077</v>
      </c>
      <c r="S63" s="15">
        <f t="shared" ca="1" si="29"/>
        <v>38.552282140502932</v>
      </c>
      <c r="T63" s="26">
        <f t="shared" ca="1" si="21"/>
        <v>-0.20696987938242017</v>
      </c>
    </row>
    <row r="64" spans="4:20" x14ac:dyDescent="0.25">
      <c r="D64" s="22">
        <v>0.17222222222222222</v>
      </c>
      <c r="E64" s="11">
        <f t="shared" ca="1" si="22"/>
        <v>60.870362660179509</v>
      </c>
      <c r="F64" s="11">
        <f t="shared" ca="1" si="23"/>
        <v>5.5166001421560029E-2</v>
      </c>
      <c r="G64" s="11">
        <f t="shared" ca="1" si="26"/>
        <v>4.7463106085709549E-2</v>
      </c>
      <c r="H64" s="11">
        <f t="shared" ca="1" si="16"/>
        <v>2.8890964804157133</v>
      </c>
      <c r="I64" s="11">
        <f t="shared" ca="1" si="17"/>
        <v>-2.8339304789941533</v>
      </c>
      <c r="J64" s="11">
        <f t="shared" ca="1" si="27"/>
        <v>6.5423334079101045E-2</v>
      </c>
      <c r="K64" s="20">
        <f t="shared" ca="1" si="18"/>
        <v>-1.0257332657541016E-2</v>
      </c>
      <c r="M64" s="26">
        <v>0.17222222222222222</v>
      </c>
      <c r="N64" s="15">
        <f t="shared" ca="1" si="24"/>
        <v>104.17638306156168</v>
      </c>
      <c r="O64" s="15">
        <f t="shared" ca="1" si="25"/>
        <v>37.052729903098836</v>
      </c>
      <c r="P64" s="15">
        <f t="shared" ca="1" si="28"/>
        <v>0.99999999999999911</v>
      </c>
      <c r="Q64" s="15">
        <f t="shared" ca="1" si="19"/>
        <v>104.17638306156158</v>
      </c>
      <c r="R64" s="15">
        <f t="shared" ca="1" si="20"/>
        <v>-67.123653158462744</v>
      </c>
      <c r="S64" s="15">
        <f t="shared" ca="1" si="29"/>
        <v>37.259708981346982</v>
      </c>
      <c r="T64" s="26">
        <f t="shared" ca="1" si="21"/>
        <v>-0.20697907824814621</v>
      </c>
    </row>
    <row r="65" spans="4:20" x14ac:dyDescent="0.25">
      <c r="D65" s="22">
        <v>0.17500000000000002</v>
      </c>
      <c r="E65" s="11">
        <f t="shared" ca="1" si="22"/>
        <v>60.755382016490771</v>
      </c>
      <c r="F65" s="11">
        <f t="shared" ca="1" si="23"/>
        <v>4.9582707667640058E-2</v>
      </c>
      <c r="G65" s="11">
        <f t="shared" ca="1" si="26"/>
        <v>4.1197549429262278E-2</v>
      </c>
      <c r="H65" s="11">
        <f t="shared" ca="1" si="16"/>
        <v>2.5029728537180911</v>
      </c>
      <c r="I65" s="11">
        <f t="shared" ca="1" si="17"/>
        <v>-2.453390146050451</v>
      </c>
      <c r="J65" s="11">
        <f t="shared" ca="1" si="27"/>
        <v>5.4494933495566812E-2</v>
      </c>
      <c r="K65" s="20">
        <f t="shared" ca="1" si="18"/>
        <v>-4.9122258279267542E-3</v>
      </c>
      <c r="M65" s="26">
        <v>0.17500000000000002</v>
      </c>
      <c r="N65" s="15">
        <f t="shared" ca="1" si="24"/>
        <v>104.33750295055894</v>
      </c>
      <c r="O65" s="15">
        <f t="shared" ca="1" si="25"/>
        <v>37.210866452326442</v>
      </c>
      <c r="P65" s="15">
        <f t="shared" ca="1" si="28"/>
        <v>0.99999999999999978</v>
      </c>
      <c r="Q65" s="15">
        <f t="shared" ca="1" si="19"/>
        <v>104.33750295055891</v>
      </c>
      <c r="R65" s="15">
        <f t="shared" ca="1" si="20"/>
        <v>-67.126636498232472</v>
      </c>
      <c r="S65" s="15">
        <f t="shared" ca="1" si="29"/>
        <v>37.417854729849154</v>
      </c>
      <c r="T65" s="26">
        <f t="shared" ca="1" si="21"/>
        <v>-0.20698827752271143</v>
      </c>
    </row>
    <row r="66" spans="4:20" x14ac:dyDescent="0.25">
      <c r="D66" s="22">
        <v>0.17777777777777778</v>
      </c>
      <c r="E66" s="11">
        <f t="shared" ca="1" si="22"/>
        <v>60.050092564645013</v>
      </c>
      <c r="F66" s="11">
        <f t="shared" ca="1" si="23"/>
        <v>2.0417468628103119E-2</v>
      </c>
      <c r="G66" s="11">
        <f t="shared" ca="1" si="26"/>
        <v>2.3342396893061154E-2</v>
      </c>
      <c r="H66" s="11">
        <f t="shared" ref="H66:H91" ca="1" si="30">E66*G66</f>
        <v>1.4017130941090044</v>
      </c>
      <c r="I66" s="11">
        <f t="shared" ref="I66:I91" ca="1" si="31">F66 - H66</f>
        <v>-1.3812956254809012</v>
      </c>
      <c r="J66" s="11">
        <f t="shared" ca="1" si="27"/>
        <v>2.7703708474091631E-2</v>
      </c>
      <c r="K66" s="20">
        <f t="shared" ref="K66:K91" ca="1" si="32">F66 - J66</f>
        <v>-7.2862398459885118E-3</v>
      </c>
      <c r="M66" s="26">
        <v>0.17777777777777778</v>
      </c>
      <c r="N66" s="15">
        <f t="shared" ca="1" si="24"/>
        <v>104.74742619534517</v>
      </c>
      <c r="O66" s="15">
        <f t="shared" ca="1" si="25"/>
        <v>37.617806224747184</v>
      </c>
      <c r="P66" s="15">
        <f t="shared" ca="1" si="28"/>
        <v>1</v>
      </c>
      <c r="Q66" s="15">
        <f t="shared" ref="Q66:Q91" ca="1" si="33">N66*P66</f>
        <v>104.74742619534517</v>
      </c>
      <c r="R66" s="15">
        <f t="shared" ref="R66:R91" ca="1" si="34">O66 - Q66</f>
        <v>-67.129619970597986</v>
      </c>
      <c r="S66" s="15">
        <f t="shared" ca="1" si="29"/>
        <v>37.824803701953336</v>
      </c>
      <c r="T66" s="26">
        <f t="shared" ref="T66:T91" ca="1" si="35">O66 - S66</f>
        <v>-0.20699747720615136</v>
      </c>
    </row>
    <row r="67" spans="4:20" x14ac:dyDescent="0.25">
      <c r="D67" s="22">
        <v>0.18055555555555555</v>
      </c>
      <c r="E67" s="11">
        <f t="shared" ref="E67:E92" ca="1" si="36" xml:space="preserve"> IF(AND(E66 &lt; $B$12,E66 &gt; $B$11),E66*(1 + $B$8 * (D67-D66) + $B$5*SQRT((D67-D66))*_xlfn.NORM.S.INV(RAND())),IF(E66 &lt; $B$12, E66 + 1, E66 - 1))</f>
        <v>60.227228371044298</v>
      </c>
      <c r="F67" s="11">
        <f t="shared" ref="F67:F92" ca="1" si="37" xml:space="preserve"> G66*E67 + I66* EXP($B$8*(D67 - D66))</f>
        <v>2.4490850644097062E-2</v>
      </c>
      <c r="G67" s="11">
        <f t="shared" ca="1" si="26"/>
        <v>2.4159459246206324E-2</v>
      </c>
      <c r="H67" s="11">
        <f t="shared" ca="1" si="30"/>
        <v>1.4550572693422059</v>
      </c>
      <c r="I67" s="11">
        <f t="shared" ca="1" si="31"/>
        <v>-1.4305664186981089</v>
      </c>
      <c r="J67" s="11">
        <f t="shared" ca="1" si="27"/>
        <v>2.8334330887074464E-2</v>
      </c>
      <c r="K67" s="20">
        <f t="shared" ca="1" si="32"/>
        <v>-3.8434802429774019E-3</v>
      </c>
      <c r="M67" s="26">
        <v>0.18055555555555555</v>
      </c>
      <c r="N67" s="15">
        <f t="shared" ref="N67:N92" ca="1" si="38">N66*(1 + $B$10*360*$B$6/$B$9) + $B$5*N66*SQRT(M67-M66)*_xlfn.NORM.S.INV(RAND())</f>
        <v>106.15856198404428</v>
      </c>
      <c r="O67" s="15">
        <f t="shared" ref="O67:O92" ca="1" si="39" xml:space="preserve"> P66*N67 + R66* EXP($B$8*(M67 - M66))</f>
        <v>39.025958408479099</v>
      </c>
      <c r="P67" s="15">
        <f t="shared" ca="1" si="28"/>
        <v>1</v>
      </c>
      <c r="Q67" s="15">
        <f t="shared" ca="1" si="33"/>
        <v>106.15856198404428</v>
      </c>
      <c r="R67" s="15">
        <f t="shared" ca="1" si="34"/>
        <v>-67.132603575565184</v>
      </c>
      <c r="S67" s="15">
        <f t="shared" ca="1" si="29"/>
        <v>39.232965085777572</v>
      </c>
      <c r="T67" s="26">
        <f t="shared" ca="1" si="35"/>
        <v>-0.20700667729847311</v>
      </c>
    </row>
    <row r="68" spans="4:20" x14ac:dyDescent="0.25">
      <c r="D68" s="22">
        <v>0.18333333333333335</v>
      </c>
      <c r="E68" s="11">
        <f t="shared" ca="1" si="36"/>
        <v>60.452947275528309</v>
      </c>
      <c r="F68" s="11">
        <f t="shared" ca="1" si="37"/>
        <v>2.988051517543111E-2</v>
      </c>
      <c r="G68" s="11">
        <f t="shared" ca="1" si="26"/>
        <v>2.5901569867576617E-2</v>
      </c>
      <c r="H68" s="11">
        <f t="shared" ca="1" si="30"/>
        <v>1.5658262375580221</v>
      </c>
      <c r="I68" s="11">
        <f t="shared" ca="1" si="31"/>
        <v>-1.535945722382591</v>
      </c>
      <c r="J68" s="11">
        <f t="shared" ca="1" si="27"/>
        <v>3.0158030535482407E-2</v>
      </c>
      <c r="K68" s="20">
        <f t="shared" ca="1" si="32"/>
        <v>-2.7751536005129682E-4</v>
      </c>
      <c r="M68" s="26">
        <v>0.18333333333333335</v>
      </c>
      <c r="N68" s="15">
        <f t="shared" ca="1" si="38"/>
        <v>105.753575852656</v>
      </c>
      <c r="O68" s="15">
        <f t="shared" ca="1" si="39"/>
        <v>38.617988539516006</v>
      </c>
      <c r="P68" s="15">
        <f t="shared" ca="1" si="28"/>
        <v>1</v>
      </c>
      <c r="Q68" s="15">
        <f t="shared" ca="1" si="33"/>
        <v>105.753575852656</v>
      </c>
      <c r="R68" s="15">
        <f t="shared" ca="1" si="34"/>
        <v>-67.135587313139993</v>
      </c>
      <c r="S68" s="15">
        <f t="shared" ca="1" si="29"/>
        <v>38.825004417315697</v>
      </c>
      <c r="T68" s="26">
        <f t="shared" ca="1" si="35"/>
        <v>-0.20701587779969088</v>
      </c>
    </row>
    <row r="69" spans="4:20" x14ac:dyDescent="0.25">
      <c r="D69" s="22">
        <v>0.18611111111111112</v>
      </c>
      <c r="E69" s="11">
        <f t="shared" ca="1" si="36"/>
        <v>59.868715605723949</v>
      </c>
      <c r="F69" s="11">
        <f t="shared" ca="1" si="37"/>
        <v>1.4679731989808431E-2</v>
      </c>
      <c r="G69" s="11">
        <f t="shared" ca="1" si="26"/>
        <v>1.4603769527585353E-2</v>
      </c>
      <c r="H69" s="11">
        <f t="shared" ca="1" si="30"/>
        <v>0.87430892461854504</v>
      </c>
      <c r="I69" s="11">
        <f t="shared" ca="1" si="31"/>
        <v>-0.8596291926287366</v>
      </c>
      <c r="J69" s="11">
        <f t="shared" ca="1" si="27"/>
        <v>1.537201912707415E-2</v>
      </c>
      <c r="K69" s="20">
        <f t="shared" ca="1" si="32"/>
        <v>-6.9228713726571939E-4</v>
      </c>
      <c r="M69" s="26">
        <v>0.18611111111111112</v>
      </c>
      <c r="N69" s="15">
        <f t="shared" ca="1" si="38"/>
        <v>107.43436351631892</v>
      </c>
      <c r="O69" s="15">
        <f t="shared" ca="1" si="39"/>
        <v>40.295792332990615</v>
      </c>
      <c r="P69" s="15">
        <f t="shared" ca="1" si="28"/>
        <v>1</v>
      </c>
      <c r="Q69" s="15">
        <f t="shared" ca="1" si="33"/>
        <v>107.43436351631892</v>
      </c>
      <c r="R69" s="15">
        <f t="shared" ca="1" si="34"/>
        <v>-67.13857118332831</v>
      </c>
      <c r="S69" s="15">
        <f t="shared" ca="1" si="29"/>
        <v>40.502817411700448</v>
      </c>
      <c r="T69" s="26">
        <f t="shared" ca="1" si="35"/>
        <v>-0.20702507870983311</v>
      </c>
    </row>
    <row r="70" spans="4:20" x14ac:dyDescent="0.25">
      <c r="D70" s="22">
        <v>0.18888888888888888</v>
      </c>
      <c r="E70" s="11">
        <f t="shared" ca="1" si="36"/>
        <v>60.868715605723949</v>
      </c>
      <c r="F70" s="11">
        <f t="shared" ca="1" si="37"/>
        <v>2.92452949264701E-2</v>
      </c>
      <c r="G70" s="11">
        <f t="shared" ca="1" si="26"/>
        <v>2.893654989035999E-2</v>
      </c>
      <c r="H70" s="11">
        <f t="shared" ca="1" si="30"/>
        <v>1.7613306258871648</v>
      </c>
      <c r="I70" s="11">
        <f t="shared" ca="1" si="31"/>
        <v>-1.7320853309606947</v>
      </c>
      <c r="J70" s="11">
        <f t="shared" ca="1" si="27"/>
        <v>3.2986968682571526E-2</v>
      </c>
      <c r="K70" s="20">
        <f t="shared" ca="1" si="32"/>
        <v>-3.7416737561014254E-3</v>
      </c>
      <c r="M70" s="26">
        <v>0.18888888888888888</v>
      </c>
      <c r="N70" s="15">
        <f t="shared" ca="1" si="38"/>
        <v>109.3219629123073</v>
      </c>
      <c r="O70" s="15">
        <f t="shared" ca="1" si="39"/>
        <v>42.180407726171268</v>
      </c>
      <c r="P70" s="15">
        <f t="shared" ca="1" si="28"/>
        <v>1</v>
      </c>
      <c r="Q70" s="15">
        <f t="shared" ca="1" si="33"/>
        <v>109.3219629123073</v>
      </c>
      <c r="R70" s="15">
        <f t="shared" ca="1" si="34"/>
        <v>-67.141555186136031</v>
      </c>
      <c r="S70" s="15">
        <f t="shared" ca="1" si="29"/>
        <v>42.387442006200182</v>
      </c>
      <c r="T70" s="26">
        <f t="shared" ca="1" si="35"/>
        <v>-0.207034280028914</v>
      </c>
    </row>
    <row r="71" spans="4:20" x14ac:dyDescent="0.25">
      <c r="D71" s="22">
        <v>0.19166666666666668</v>
      </c>
      <c r="E71" s="11">
        <f t="shared" ca="1" si="36"/>
        <v>60.953541960791114</v>
      </c>
      <c r="F71" s="11">
        <f t="shared" ca="1" si="37"/>
        <v>3.1622893700896659E-2</v>
      </c>
      <c r="G71" s="11">
        <f t="shared" ca="1" si="26"/>
        <v>2.7776145635191114E-2</v>
      </c>
      <c r="H71" s="11">
        <f t="shared" ca="1" si="30"/>
        <v>1.6930544584836664</v>
      </c>
      <c r="I71" s="11">
        <f t="shared" ca="1" si="31"/>
        <v>-1.6614315647827698</v>
      </c>
      <c r="J71" s="11">
        <f t="shared" ca="1" si="27"/>
        <v>3.0821234765510651E-2</v>
      </c>
      <c r="K71" s="20">
        <f t="shared" ca="1" si="32"/>
        <v>8.0165893538600846E-4</v>
      </c>
      <c r="M71" s="26">
        <v>0.19166666666666668</v>
      </c>
      <c r="N71" s="15">
        <f t="shared" ca="1" si="38"/>
        <v>108.7326995173638</v>
      </c>
      <c r="O71" s="15">
        <f t="shared" ca="1" si="39"/>
        <v>41.588160195794757</v>
      </c>
      <c r="P71" s="15">
        <f t="shared" ca="1" si="28"/>
        <v>1</v>
      </c>
      <c r="Q71" s="15">
        <f t="shared" ca="1" si="33"/>
        <v>108.7326995173638</v>
      </c>
      <c r="R71" s="15">
        <f t="shared" ca="1" si="34"/>
        <v>-67.144539321569042</v>
      </c>
      <c r="S71" s="15">
        <f t="shared" ca="1" si="29"/>
        <v>41.795203677551704</v>
      </c>
      <c r="T71" s="26">
        <f t="shared" ca="1" si="35"/>
        <v>-0.20704348175694776</v>
      </c>
    </row>
    <row r="72" spans="4:20" x14ac:dyDescent="0.25">
      <c r="D72" s="22">
        <v>0.19444444444444445</v>
      </c>
      <c r="E72" s="11">
        <f t="shared" ca="1" si="36"/>
        <v>60.313589970358741</v>
      </c>
      <c r="F72" s="11">
        <f t="shared" ca="1" si="37"/>
        <v>1.3773650971293128E-2</v>
      </c>
      <c r="G72" s="11">
        <f t="shared" ca="1" si="26"/>
        <v>1.4341091928863134E-2</v>
      </c>
      <c r="H72" s="11">
        <f t="shared" ca="1" si="30"/>
        <v>0.86496273832467219</v>
      </c>
      <c r="I72" s="11">
        <f t="shared" ca="1" si="31"/>
        <v>-0.85118908735337906</v>
      </c>
      <c r="J72" s="11">
        <f t="shared" ca="1" si="27"/>
        <v>1.4167248016110929E-2</v>
      </c>
      <c r="K72" s="20">
        <f t="shared" ca="1" si="32"/>
        <v>-3.9359704481780125E-4</v>
      </c>
      <c r="M72" s="26">
        <v>0.19444444444444445</v>
      </c>
      <c r="N72" s="15">
        <f t="shared" ca="1" si="38"/>
        <v>110.48814795903387</v>
      </c>
      <c r="O72" s="15">
        <f t="shared" ca="1" si="39"/>
        <v>43.340624369400629</v>
      </c>
      <c r="P72" s="15">
        <f t="shared" ca="1" si="28"/>
        <v>1</v>
      </c>
      <c r="Q72" s="15">
        <f t="shared" ca="1" si="33"/>
        <v>110.48814795903387</v>
      </c>
      <c r="R72" s="15">
        <f t="shared" ca="1" si="34"/>
        <v>-67.147523589633238</v>
      </c>
      <c r="S72" s="15">
        <f t="shared" ca="1" si="29"/>
        <v>43.547677053294585</v>
      </c>
      <c r="T72" s="26">
        <f t="shared" ca="1" si="35"/>
        <v>-0.2070526838939557</v>
      </c>
    </row>
    <row r="73" spans="4:20" x14ac:dyDescent="0.25">
      <c r="D73" s="22">
        <v>0.19722222222222224</v>
      </c>
      <c r="E73" s="11">
        <f t="shared" ca="1" si="36"/>
        <v>61.180468393146128</v>
      </c>
      <c r="F73" s="11">
        <f t="shared" ca="1" si="37"/>
        <v>2.616780265683738E-2</v>
      </c>
      <c r="G73" s="11">
        <f t="shared" ca="1" si="26"/>
        <v>2.6418442465541012E-2</v>
      </c>
      <c r="H73" s="11">
        <f t="shared" ca="1" si="30"/>
        <v>1.6162926842591814</v>
      </c>
      <c r="I73" s="11">
        <f t="shared" ca="1" si="31"/>
        <v>-1.5901248816023439</v>
      </c>
      <c r="J73" s="11">
        <f t="shared" ca="1" si="27"/>
        <v>2.7824165617013757E-2</v>
      </c>
      <c r="K73" s="20">
        <f t="shared" ca="1" si="32"/>
        <v>-1.6563629601763774E-3</v>
      </c>
      <c r="M73" s="26">
        <v>0.19722222222222224</v>
      </c>
      <c r="N73" s="15">
        <f t="shared" ca="1" si="38"/>
        <v>111.71319514016612</v>
      </c>
      <c r="O73" s="15">
        <f t="shared" ca="1" si="39"/>
        <v>44.562687149831604</v>
      </c>
      <c r="P73" s="15">
        <f t="shared" ca="1" si="28"/>
        <v>1</v>
      </c>
      <c r="Q73" s="15">
        <f t="shared" ca="1" si="33"/>
        <v>111.71319514016612</v>
      </c>
      <c r="R73" s="15">
        <f t="shared" ca="1" si="34"/>
        <v>-67.150507990334518</v>
      </c>
      <c r="S73" s="15">
        <f t="shared" ca="1" si="29"/>
        <v>44.769749036271556</v>
      </c>
      <c r="T73" s="26">
        <f t="shared" ca="1" si="35"/>
        <v>-0.20706188643995205</v>
      </c>
    </row>
    <row r="74" spans="4:20" x14ac:dyDescent="0.25">
      <c r="D74" s="22">
        <v>0.2</v>
      </c>
      <c r="E74" s="11">
        <f t="shared" ca="1" si="36"/>
        <v>60.63031434504785</v>
      </c>
      <c r="F74" s="11">
        <f t="shared" ca="1" si="37"/>
        <v>1.1562915802491691E-2</v>
      </c>
      <c r="G74" s="11">
        <f t="shared" ca="1" si="26"/>
        <v>1.4134631231410783E-2</v>
      </c>
      <c r="H74" s="11">
        <f t="shared" ca="1" si="30"/>
        <v>0.85698713471176657</v>
      </c>
      <c r="I74" s="11">
        <f t="shared" ca="1" si="31"/>
        <v>-0.84542421890927488</v>
      </c>
      <c r="J74" s="11">
        <f t="shared" ca="1" si="27"/>
        <v>1.3304546800260188E-2</v>
      </c>
      <c r="K74" s="20">
        <f t="shared" ca="1" si="32"/>
        <v>-1.7416309977684973E-3</v>
      </c>
      <c r="M74" s="26">
        <v>0.2</v>
      </c>
      <c r="N74" s="15">
        <f t="shared" ca="1" si="38"/>
        <v>113.07533458891929</v>
      </c>
      <c r="O74" s="15">
        <f t="shared" ca="1" si="39"/>
        <v>45.921842065240511</v>
      </c>
      <c r="P74" s="15">
        <f t="shared" ca="1" si="28"/>
        <v>1</v>
      </c>
      <c r="Q74" s="15">
        <f t="shared" ca="1" si="33"/>
        <v>113.07533458891929</v>
      </c>
      <c r="R74" s="15">
        <f t="shared" ca="1" si="34"/>
        <v>-67.153492523678779</v>
      </c>
      <c r="S74" s="15">
        <f t="shared" ca="1" si="29"/>
        <v>46.128913154635484</v>
      </c>
      <c r="T74" s="26">
        <f t="shared" ca="1" si="35"/>
        <v>-0.20707108939497232</v>
      </c>
    </row>
    <row r="75" spans="4:20" x14ac:dyDescent="0.25">
      <c r="D75" s="22">
        <v>0.20277777777777778</v>
      </c>
      <c r="E75" s="11">
        <f t="shared" ca="1" si="36"/>
        <v>61.365916387458789</v>
      </c>
      <c r="F75" s="11">
        <f t="shared" ca="1" si="37"/>
        <v>2.1922804160314446E-2</v>
      </c>
      <c r="G75" s="11">
        <f t="shared" ca="1" si="26"/>
        <v>2.3742644273716529E-2</v>
      </c>
      <c r="H75" s="11">
        <f t="shared" ca="1" si="30"/>
        <v>1.4569891233180656</v>
      </c>
      <c r="I75" s="11">
        <f t="shared" ca="1" si="31"/>
        <v>-1.4350663191577513</v>
      </c>
      <c r="J75" s="11">
        <f t="shared" ca="1" si="27"/>
        <v>2.3416520494122253E-2</v>
      </c>
      <c r="K75" s="20">
        <f t="shared" ca="1" si="32"/>
        <v>-1.4937163338078069E-3</v>
      </c>
      <c r="M75" s="26">
        <v>0.20277777777777778</v>
      </c>
      <c r="N75" s="15">
        <f t="shared" ca="1" si="38"/>
        <v>113.46395430915915</v>
      </c>
      <c r="O75" s="15">
        <f t="shared" ca="1" si="39"/>
        <v>46.307477119487231</v>
      </c>
      <c r="P75" s="15">
        <f t="shared" ca="1" si="28"/>
        <v>1</v>
      </c>
      <c r="Q75" s="15">
        <f t="shared" ca="1" si="33"/>
        <v>113.46395430915915</v>
      </c>
      <c r="R75" s="15">
        <f t="shared" ca="1" si="34"/>
        <v>-67.156477189671918</v>
      </c>
      <c r="S75" s="15">
        <f t="shared" ca="1" si="29"/>
        <v>46.514557412246248</v>
      </c>
      <c r="T75" s="26">
        <f t="shared" ca="1" si="35"/>
        <v>-0.20708029275901652</v>
      </c>
    </row>
    <row r="76" spans="4:20" x14ac:dyDescent="0.25">
      <c r="D76" s="22">
        <v>0.20555555555555557</v>
      </c>
      <c r="E76" s="11">
        <f t="shared" ca="1" si="36"/>
        <v>61.988117526475797</v>
      </c>
      <c r="F76" s="11">
        <f t="shared" ca="1" si="37"/>
        <v>3.6631722328030136E-2</v>
      </c>
      <c r="G76" s="11">
        <f t="shared" ca="1" si="26"/>
        <v>3.5454984750880103E-2</v>
      </c>
      <c r="H76" s="11">
        <f t="shared" ca="1" si="30"/>
        <v>2.1977877616369632</v>
      </c>
      <c r="I76" s="11">
        <f t="shared" ca="1" si="31"/>
        <v>-2.1611560393089331</v>
      </c>
      <c r="J76" s="11">
        <f t="shared" ca="1" si="27"/>
        <v>3.6199778725736299E-2</v>
      </c>
      <c r="K76" s="20">
        <f t="shared" ca="1" si="32"/>
        <v>4.3194360229383694E-4</v>
      </c>
      <c r="M76" s="26">
        <v>0.20555555555555557</v>
      </c>
      <c r="N76" s="15">
        <f t="shared" ca="1" si="38"/>
        <v>116.16948818271717</v>
      </c>
      <c r="O76" s="15">
        <f t="shared" ca="1" si="39"/>
        <v>49.010026194397355</v>
      </c>
      <c r="P76" s="15">
        <f t="shared" ca="1" si="28"/>
        <v>1</v>
      </c>
      <c r="Q76" s="15">
        <f t="shared" ca="1" si="33"/>
        <v>116.16948818271717</v>
      </c>
      <c r="R76" s="15">
        <f t="shared" ca="1" si="34"/>
        <v>-67.159461988319819</v>
      </c>
      <c r="S76" s="15">
        <f t="shared" ca="1" si="29"/>
        <v>49.217115690929461</v>
      </c>
      <c r="T76" s="26">
        <f t="shared" ca="1" si="35"/>
        <v>-0.20708949653210595</v>
      </c>
    </row>
    <row r="77" spans="4:20" x14ac:dyDescent="0.25">
      <c r="D77" s="22">
        <v>0.20833333333333334</v>
      </c>
      <c r="E77" s="11">
        <f t="shared" ca="1" si="36"/>
        <v>60.905428811338261</v>
      </c>
      <c r="F77" s="11">
        <f t="shared" ca="1" si="37"/>
        <v>-1.8510430711526915E-3</v>
      </c>
      <c r="G77" s="11">
        <f t="shared" ca="1" si="26"/>
        <v>1.0742720560380494E-2</v>
      </c>
      <c r="H77" s="11">
        <f t="shared" ca="1" si="30"/>
        <v>0.65429000233035406</v>
      </c>
      <c r="I77" s="11">
        <f t="shared" ca="1" si="31"/>
        <v>-0.65614104540150675</v>
      </c>
      <c r="J77" s="11">
        <f t="shared" ca="1" si="27"/>
        <v>9.0061644739903891E-3</v>
      </c>
      <c r="K77" s="20">
        <f t="shared" ca="1" si="32"/>
        <v>-1.0857207545143081E-2</v>
      </c>
      <c r="M77" s="26">
        <v>0.20833333333333334</v>
      </c>
      <c r="N77" s="15">
        <f t="shared" ca="1" si="38"/>
        <v>120.57531415316389</v>
      </c>
      <c r="O77" s="15">
        <f t="shared" ca="1" si="39"/>
        <v>53.412867233535493</v>
      </c>
      <c r="P77" s="15">
        <f t="shared" ca="1" si="28"/>
        <v>1</v>
      </c>
      <c r="Q77" s="15">
        <f t="shared" ca="1" si="33"/>
        <v>120.57531415316389</v>
      </c>
      <c r="R77" s="15">
        <f t="shared" ca="1" si="34"/>
        <v>-67.162446919628394</v>
      </c>
      <c r="S77" s="15">
        <f t="shared" ca="1" si="29"/>
        <v>53.619965934249755</v>
      </c>
      <c r="T77" s="26">
        <f t="shared" ca="1" si="35"/>
        <v>-0.20709870071426195</v>
      </c>
    </row>
    <row r="78" spans="4:20" x14ac:dyDescent="0.25">
      <c r="D78" s="22">
        <v>0.21111111111111111</v>
      </c>
      <c r="E78" s="11">
        <f t="shared" ca="1" si="36"/>
        <v>59.729848715795818</v>
      </c>
      <c r="F78" s="11">
        <f t="shared" ca="1" si="37"/>
        <v>-1.4509134006200686E-2</v>
      </c>
      <c r="G78" s="11">
        <f t="shared" ca="1" si="26"/>
        <v>2.0089373748499307E-3</v>
      </c>
      <c r="H78" s="11">
        <f t="shared" ca="1" si="30"/>
        <v>0.11999352547929436</v>
      </c>
      <c r="I78" s="11">
        <f t="shared" ca="1" si="31"/>
        <v>-0.13450265948549506</v>
      </c>
      <c r="J78" s="11">
        <f t="shared" ca="1" si="27"/>
        <v>1.3673400984703203E-3</v>
      </c>
      <c r="K78" s="20">
        <f t="shared" ca="1" si="32"/>
        <v>-1.5876474104671006E-2</v>
      </c>
      <c r="M78" s="26">
        <v>0.21111111111111111</v>
      </c>
      <c r="N78" s="15">
        <f t="shared" ca="1" si="38"/>
        <v>120.52502603950289</v>
      </c>
      <c r="O78" s="15">
        <f t="shared" ca="1" si="39"/>
        <v>53.359594055899365</v>
      </c>
      <c r="P78" s="15">
        <f t="shared" ca="1" si="28"/>
        <v>1</v>
      </c>
      <c r="Q78" s="15">
        <f t="shared" ca="1" si="33"/>
        <v>120.52502603950289</v>
      </c>
      <c r="R78" s="15">
        <f t="shared" ca="1" si="34"/>
        <v>-67.165431983603526</v>
      </c>
      <c r="S78" s="15">
        <f t="shared" ca="1" si="29"/>
        <v>53.566701961204863</v>
      </c>
      <c r="T78" s="26">
        <f t="shared" ca="1" si="35"/>
        <v>-0.20710790530549872</v>
      </c>
    </row>
    <row r="79" spans="4:20" x14ac:dyDescent="0.25">
      <c r="D79" s="22">
        <v>0.21388888888888891</v>
      </c>
      <c r="E79" s="11">
        <f t="shared" ca="1" si="36"/>
        <v>60.729848715795818</v>
      </c>
      <c r="F79" s="11">
        <f t="shared" ca="1" si="37"/>
        <v>-1.2506174660172009E-2</v>
      </c>
      <c r="G79" s="11">
        <f t="shared" ca="1" si="26"/>
        <v>5.368939161729239E-3</v>
      </c>
      <c r="H79" s="11">
        <f t="shared" ca="1" si="30"/>
        <v>0.3260548630561283</v>
      </c>
      <c r="I79" s="11">
        <f t="shared" ca="1" si="31"/>
        <v>-0.33856103771630031</v>
      </c>
      <c r="J79" s="11">
        <f t="shared" ca="1" si="27"/>
        <v>3.8999473084479889E-3</v>
      </c>
      <c r="K79" s="20">
        <f t="shared" ca="1" si="32"/>
        <v>-1.6406121968619999E-2</v>
      </c>
      <c r="M79" s="26">
        <v>0.21388888888888891</v>
      </c>
      <c r="N79" s="15">
        <f t="shared" ca="1" si="38"/>
        <v>121.312230638456</v>
      </c>
      <c r="O79" s="15">
        <f t="shared" ca="1" si="39"/>
        <v>54.143813458204889</v>
      </c>
      <c r="P79" s="15">
        <f t="shared" ca="1" si="28"/>
        <v>1</v>
      </c>
      <c r="Q79" s="15">
        <f t="shared" ca="1" si="33"/>
        <v>121.312230638456</v>
      </c>
      <c r="R79" s="15">
        <f t="shared" ca="1" si="34"/>
        <v>-67.168417180251112</v>
      </c>
      <c r="S79" s="15">
        <f t="shared" ca="1" si="29"/>
        <v>54.350930568510726</v>
      </c>
      <c r="T79" s="26">
        <f t="shared" ca="1" si="35"/>
        <v>-0.20711711030583757</v>
      </c>
    </row>
    <row r="80" spans="4:20" x14ac:dyDescent="0.25">
      <c r="D80" s="22">
        <v>0.21666666666666667</v>
      </c>
      <c r="E80" s="11">
        <f t="shared" ca="1" si="36"/>
        <v>60.595807626662619</v>
      </c>
      <c r="F80" s="11">
        <f t="shared" ca="1" si="37"/>
        <v>-1.3240880604518168E-2</v>
      </c>
      <c r="G80" s="11">
        <f t="shared" ca="1" si="26"/>
        <v>3.2785731647893782E-3</v>
      </c>
      <c r="H80" s="11">
        <f t="shared" ca="1" si="30"/>
        <v>0.1986677887835156</v>
      </c>
      <c r="I80" s="11">
        <f t="shared" ca="1" si="31"/>
        <v>-0.21190866938803377</v>
      </c>
      <c r="J80" s="11">
        <f t="shared" ca="1" si="27"/>
        <v>2.18467327677289E-3</v>
      </c>
      <c r="K80" s="20">
        <f t="shared" ca="1" si="32"/>
        <v>-1.5425553881291059E-2</v>
      </c>
      <c r="M80" s="26">
        <v>0.21666666666666667</v>
      </c>
      <c r="N80" s="15">
        <f t="shared" ca="1" si="38"/>
        <v>122.81956970992289</v>
      </c>
      <c r="O80" s="15">
        <f t="shared" ca="1" si="39"/>
        <v>55.648167200345824</v>
      </c>
      <c r="P80" s="15">
        <f t="shared" ca="1" si="28"/>
        <v>1</v>
      </c>
      <c r="Q80" s="15">
        <f t="shared" ca="1" si="33"/>
        <v>122.81956970992289</v>
      </c>
      <c r="R80" s="15">
        <f t="shared" ca="1" si="34"/>
        <v>-67.171402509577064</v>
      </c>
      <c r="S80" s="15">
        <f t="shared" ca="1" si="29"/>
        <v>55.855293516061131</v>
      </c>
      <c r="T80" s="26">
        <f t="shared" ca="1" si="35"/>
        <v>-0.20712631571530693</v>
      </c>
    </row>
    <row r="81" spans="4:20" x14ac:dyDescent="0.25">
      <c r="D81" s="22">
        <v>0.21944444444444444</v>
      </c>
      <c r="E81" s="11">
        <f t="shared" ca="1" si="36"/>
        <v>61.137967029177872</v>
      </c>
      <c r="F81" s="11">
        <f t="shared" ca="1" si="37"/>
        <v>-1.147278970877294E-2</v>
      </c>
      <c r="G81" s="11">
        <f t="shared" ca="1" si="26"/>
        <v>4.8338434998049847E-3</v>
      </c>
      <c r="H81" s="11">
        <f t="shared" ca="1" si="30"/>
        <v>0.29553136451528295</v>
      </c>
      <c r="I81" s="11">
        <f t="shared" ca="1" si="31"/>
        <v>-0.30700415422405591</v>
      </c>
      <c r="J81" s="11">
        <f t="shared" ca="1" si="27"/>
        <v>3.2227640541567749E-3</v>
      </c>
      <c r="K81" s="20">
        <f t="shared" ca="1" si="32"/>
        <v>-1.4695553762929716E-2</v>
      </c>
      <c r="M81" s="26">
        <v>0.21944444444444444</v>
      </c>
      <c r="N81" s="15">
        <f t="shared" ca="1" si="38"/>
        <v>125.50111735690179</v>
      </c>
      <c r="O81" s="15">
        <f t="shared" ca="1" si="39"/>
        <v>58.326729385314522</v>
      </c>
      <c r="P81" s="15">
        <f t="shared" ca="1" si="28"/>
        <v>1</v>
      </c>
      <c r="Q81" s="15">
        <f t="shared" ca="1" si="33"/>
        <v>125.50111735690179</v>
      </c>
      <c r="R81" s="15">
        <f t="shared" ca="1" si="34"/>
        <v>-67.174387971587265</v>
      </c>
      <c r="S81" s="15">
        <f t="shared" ca="1" si="29"/>
        <v>58.533864906848436</v>
      </c>
      <c r="T81" s="26">
        <f t="shared" ca="1" si="35"/>
        <v>-0.2071355215339139</v>
      </c>
    </row>
    <row r="82" spans="4:20" x14ac:dyDescent="0.25">
      <c r="D82" s="22">
        <v>0.22222222222222224</v>
      </c>
      <c r="E82" s="11">
        <f t="shared" ca="1" si="36"/>
        <v>60.825337802538812</v>
      </c>
      <c r="F82" s="11">
        <f t="shared" ca="1" si="37"/>
        <v>-1.2997635396106322E-2</v>
      </c>
      <c r="G82" s="11">
        <f t="shared" ca="1" si="26"/>
        <v>2.0485631152834228E-3</v>
      </c>
      <c r="H82" s="11">
        <f t="shared" ca="1" si="30"/>
        <v>0.12460454349693545</v>
      </c>
      <c r="I82" s="11">
        <f t="shared" ca="1" si="31"/>
        <v>-0.13760217889304177</v>
      </c>
      <c r="J82" s="11">
        <f t="shared" ca="1" si="27"/>
        <v>1.2038915391101813E-3</v>
      </c>
      <c r="K82" s="20">
        <f t="shared" ca="1" si="32"/>
        <v>-1.4201526935216504E-2</v>
      </c>
      <c r="M82" s="26">
        <v>0.22222222222222224</v>
      </c>
      <c r="N82" s="15">
        <f t="shared" ca="1" si="38"/>
        <v>126.40949428047905</v>
      </c>
      <c r="O82" s="15">
        <f t="shared" ca="1" si="39"/>
        <v>59.232120714191439</v>
      </c>
      <c r="P82" s="15">
        <f t="shared" ca="1" si="28"/>
        <v>1</v>
      </c>
      <c r="Q82" s="15">
        <f t="shared" ca="1" si="33"/>
        <v>126.40949428047905</v>
      </c>
      <c r="R82" s="15">
        <f t="shared" ca="1" si="34"/>
        <v>-67.177373566287613</v>
      </c>
      <c r="S82" s="15">
        <f t="shared" ca="1" si="29"/>
        <v>59.439265441953104</v>
      </c>
      <c r="T82" s="26">
        <f t="shared" ca="1" si="35"/>
        <v>-0.20714472776166559</v>
      </c>
    </row>
    <row r="83" spans="4:20" x14ac:dyDescent="0.25">
      <c r="D83" s="22">
        <v>0.22500000000000001</v>
      </c>
      <c r="E83" s="11">
        <f t="shared" ca="1" si="36"/>
        <v>61.19119585048238</v>
      </c>
      <c r="F83" s="11">
        <f t="shared" ca="1" si="37"/>
        <v>-1.2254267881960185E-2</v>
      </c>
      <c r="G83" s="11">
        <f t="shared" ca="1" si="26"/>
        <v>2.2600154823802262E-3</v>
      </c>
      <c r="H83" s="11">
        <f t="shared" ca="1" si="30"/>
        <v>0.13829305000745085</v>
      </c>
      <c r="I83" s="11">
        <f t="shared" ca="1" si="31"/>
        <v>-0.15054731788941103</v>
      </c>
      <c r="J83" s="11">
        <f t="shared" ca="1" si="27"/>
        <v>1.2782791370713599E-3</v>
      </c>
      <c r="K83" s="20">
        <f t="shared" ca="1" si="32"/>
        <v>-1.3532547019031544E-2</v>
      </c>
      <c r="M83" s="26">
        <v>0.22500000000000001</v>
      </c>
      <c r="N83" s="15">
        <f t="shared" ca="1" si="38"/>
        <v>124.60367924000674</v>
      </c>
      <c r="O83" s="15">
        <f t="shared" ca="1" si="39"/>
        <v>57.423319946322735</v>
      </c>
      <c r="P83" s="15">
        <f t="shared" ca="1" si="28"/>
        <v>1</v>
      </c>
      <c r="Q83" s="15">
        <f t="shared" ca="1" si="33"/>
        <v>124.60367924000674</v>
      </c>
      <c r="R83" s="15">
        <f t="shared" ca="1" si="34"/>
        <v>-67.180359293684006</v>
      </c>
      <c r="S83" s="15">
        <f t="shared" ca="1" si="29"/>
        <v>57.630473880721333</v>
      </c>
      <c r="T83" s="26">
        <f t="shared" ca="1" si="35"/>
        <v>-0.20715393439859753</v>
      </c>
    </row>
    <row r="84" spans="4:20" x14ac:dyDescent="0.25">
      <c r="D84" s="22">
        <v>0.22777777777777777</v>
      </c>
      <c r="E84" s="11">
        <f t="shared" ca="1" si="36"/>
        <v>60.574471360367077</v>
      </c>
      <c r="F84" s="11">
        <f t="shared" ca="1" si="37"/>
        <v>-1.3654765918580919E-2</v>
      </c>
      <c r="G84" s="11">
        <f t="shared" ca="1" si="26"/>
        <v>3.9719529327646847E-4</v>
      </c>
      <c r="H84" s="11">
        <f t="shared" ca="1" si="30"/>
        <v>2.405989491704804E-2</v>
      </c>
      <c r="I84" s="11">
        <f t="shared" ca="1" si="31"/>
        <v>-3.7714660835628959E-2</v>
      </c>
      <c r="J84" s="11">
        <f t="shared" ca="1" si="27"/>
        <v>1.8508526704207406E-4</v>
      </c>
      <c r="K84" s="20">
        <f t="shared" ca="1" si="32"/>
        <v>-1.3839851185622993E-2</v>
      </c>
      <c r="M84" s="26">
        <v>0.22777777777777777</v>
      </c>
      <c r="N84" s="15">
        <f t="shared" ca="1" si="38"/>
        <v>128.11022733102732</v>
      </c>
      <c r="O84" s="15">
        <f t="shared" ca="1" si="39"/>
        <v>60.926882177244977</v>
      </c>
      <c r="P84" s="15">
        <f t="shared" ca="1" si="28"/>
        <v>1</v>
      </c>
      <c r="Q84" s="15">
        <f t="shared" ca="1" si="33"/>
        <v>128.11022733102732</v>
      </c>
      <c r="R84" s="15">
        <f t="shared" ca="1" si="34"/>
        <v>-67.183345153782341</v>
      </c>
      <c r="S84" s="15">
        <f t="shared" ca="1" si="29"/>
        <v>61.134045318689701</v>
      </c>
      <c r="T84" s="26">
        <f t="shared" ca="1" si="35"/>
        <v>-0.20716314144472392</v>
      </c>
    </row>
    <row r="85" spans="4:20" x14ac:dyDescent="0.25">
      <c r="D85" s="22">
        <v>0.23055555555555557</v>
      </c>
      <c r="E85" s="11">
        <f t="shared" ca="1" si="36"/>
        <v>60.639175212141716</v>
      </c>
      <c r="F85" s="11">
        <f t="shared" ca="1" si="37"/>
        <v>-1.3630742097597022E-2</v>
      </c>
      <c r="G85" s="11">
        <f t="shared" ca="1" si="26"/>
        <v>1.9139377360264222E-4</v>
      </c>
      <c r="H85" s="11">
        <f t="shared" ca="1" si="30"/>
        <v>1.1605960572003606E-2</v>
      </c>
      <c r="I85" s="11">
        <f t="shared" ca="1" si="31"/>
        <v>-2.5236702669600628E-2</v>
      </c>
      <c r="J85" s="11">
        <f t="shared" ca="1" si="27"/>
        <v>7.9899909110765918E-5</v>
      </c>
      <c r="K85" s="20">
        <f t="shared" ca="1" si="32"/>
        <v>-1.3710642006707787E-2</v>
      </c>
      <c r="M85" s="26">
        <v>0.23055555555555557</v>
      </c>
      <c r="N85" s="15">
        <f t="shared" ca="1" si="38"/>
        <v>130.61828426808364</v>
      </c>
      <c r="O85" s="15">
        <f t="shared" ca="1" si="39"/>
        <v>63.431953121495127</v>
      </c>
      <c r="P85" s="15">
        <f t="shared" ca="1" si="28"/>
        <v>1</v>
      </c>
      <c r="Q85" s="15">
        <f t="shared" ca="1" si="33"/>
        <v>130.61828426808364</v>
      </c>
      <c r="R85" s="15">
        <f t="shared" ca="1" si="34"/>
        <v>-67.186331146588515</v>
      </c>
      <c r="S85" s="15">
        <f t="shared" ca="1" si="29"/>
        <v>63.639125470395179</v>
      </c>
      <c r="T85" s="26">
        <f t="shared" ca="1" si="35"/>
        <v>-0.20717234890005187</v>
      </c>
    </row>
    <row r="86" spans="4:20" x14ac:dyDescent="0.25">
      <c r="D86" s="22">
        <v>0.23333333333333334</v>
      </c>
      <c r="E86" s="11">
        <f t="shared" ca="1" si="36"/>
        <v>60.753334310946713</v>
      </c>
      <c r="F86" s="11">
        <f t="shared" ca="1" si="37"/>
        <v>-1.3610014413040923E-2</v>
      </c>
      <c r="G86" s="11">
        <f t="shared" ca="1" si="26"/>
        <v>8.2519193003361544E-5</v>
      </c>
      <c r="H86" s="11">
        <f t="shared" ca="1" si="30"/>
        <v>5.0133161196027586E-3</v>
      </c>
      <c r="I86" s="11">
        <f t="shared" ca="1" si="31"/>
        <v>-1.862333053264368E-2</v>
      </c>
      <c r="J86" s="11">
        <f t="shared" ca="1" si="27"/>
        <v>3.0496366817756868E-5</v>
      </c>
      <c r="K86" s="20">
        <f t="shared" ca="1" si="32"/>
        <v>-1.3640510779858679E-2</v>
      </c>
      <c r="M86" s="26">
        <v>0.23333333333333334</v>
      </c>
      <c r="N86" s="15">
        <f t="shared" ca="1" si="38"/>
        <v>129.23177029714583</v>
      </c>
      <c r="O86" s="15">
        <f t="shared" ca="1" si="39"/>
        <v>62.042453025037389</v>
      </c>
      <c r="P86" s="15">
        <f t="shared" ca="1" si="28"/>
        <v>1</v>
      </c>
      <c r="Q86" s="15">
        <f t="shared" ca="1" si="33"/>
        <v>129.23177029714583</v>
      </c>
      <c r="R86" s="15">
        <f t="shared" ca="1" si="34"/>
        <v>-67.18931727210844</v>
      </c>
      <c r="S86" s="15">
        <f t="shared" ca="1" si="29"/>
        <v>62.249634581802013</v>
      </c>
      <c r="T86" s="26">
        <f t="shared" ca="1" si="35"/>
        <v>-0.20718155676462402</v>
      </c>
    </row>
    <row r="87" spans="4:20" x14ac:dyDescent="0.25">
      <c r="D87" s="22">
        <v>0.23611111111111113</v>
      </c>
      <c r="E87" s="11">
        <f t="shared" ca="1" si="36"/>
        <v>61.126892868996663</v>
      </c>
      <c r="F87" s="11">
        <f t="shared" ca="1" si="37"/>
        <v>-1.3580016384264053E-2</v>
      </c>
      <c r="G87" s="11">
        <f t="shared" ca="1" si="26"/>
        <v>5.4191501059065749E-5</v>
      </c>
      <c r="H87" s="11">
        <f t="shared" ca="1" si="30"/>
        <v>3.3125580796476311E-3</v>
      </c>
      <c r="I87" s="11">
        <f t="shared" ca="1" si="31"/>
        <v>-1.6892574463911684E-2</v>
      </c>
      <c r="J87" s="11">
        <f t="shared" ca="1" si="27"/>
        <v>1.8002699918120049E-5</v>
      </c>
      <c r="K87" s="20">
        <f t="shared" ca="1" si="32"/>
        <v>-1.3598019084182173E-2</v>
      </c>
      <c r="M87" s="26">
        <v>0.23611111111111113</v>
      </c>
      <c r="N87" s="15">
        <f t="shared" ca="1" si="38"/>
        <v>128.78042577971053</v>
      </c>
      <c r="O87" s="15">
        <f t="shared" ca="1" si="39"/>
        <v>61.588122249362527</v>
      </c>
      <c r="P87" s="15">
        <f t="shared" ca="1" si="28"/>
        <v>1</v>
      </c>
      <c r="Q87" s="15">
        <f t="shared" ca="1" si="33"/>
        <v>128.78042577971053</v>
      </c>
      <c r="R87" s="15">
        <f t="shared" ca="1" si="34"/>
        <v>-67.192303530347999</v>
      </c>
      <c r="S87" s="15">
        <f t="shared" ca="1" si="29"/>
        <v>61.795313014400961</v>
      </c>
      <c r="T87" s="26">
        <f t="shared" ca="1" si="35"/>
        <v>-0.20719076503843326</v>
      </c>
    </row>
    <row r="88" spans="4:20" x14ac:dyDescent="0.25">
      <c r="D88" s="22">
        <v>0.2388888888888889</v>
      </c>
      <c r="E88" s="11">
        <f t="shared" ca="1" si="36"/>
        <v>60.956924786260501</v>
      </c>
      <c r="F88" s="11">
        <f t="shared" ca="1" si="37"/>
        <v>-1.358997800757121E-2</v>
      </c>
      <c r="G88" s="11">
        <f t="shared" ca="1" si="26"/>
        <v>4.0081493978192589E-6</v>
      </c>
      <c r="H88" s="11">
        <f t="shared" ca="1" si="30"/>
        <v>2.4432446137496387E-4</v>
      </c>
      <c r="I88" s="11">
        <f t="shared" ca="1" si="31"/>
        <v>-1.3834302468946173E-2</v>
      </c>
      <c r="J88" s="11">
        <f t="shared" ca="1" si="27"/>
        <v>1.0550917786145308E-6</v>
      </c>
      <c r="K88" s="20">
        <f t="shared" ca="1" si="32"/>
        <v>-1.3591033099349824E-2</v>
      </c>
      <c r="M88" s="26">
        <v>0.2388888888888889</v>
      </c>
      <c r="N88" s="15">
        <f t="shared" ca="1" si="38"/>
        <v>130.40667135018384</v>
      </c>
      <c r="O88" s="15">
        <f t="shared" ca="1" si="39"/>
        <v>63.211381428870752</v>
      </c>
      <c r="P88" s="15">
        <f t="shared" ca="1" si="28"/>
        <v>1</v>
      </c>
      <c r="Q88" s="15">
        <f t="shared" ca="1" si="33"/>
        <v>130.40667135018384</v>
      </c>
      <c r="R88" s="15">
        <f t="shared" ca="1" si="34"/>
        <v>-67.195289921313091</v>
      </c>
      <c r="S88" s="15">
        <f t="shared" ca="1" si="29"/>
        <v>63.41858140259226</v>
      </c>
      <c r="T88" s="26">
        <f t="shared" ca="1" si="35"/>
        <v>-0.207199973721508</v>
      </c>
    </row>
    <row r="89" spans="4:20" x14ac:dyDescent="0.25">
      <c r="D89" s="22">
        <v>0.24166666666666667</v>
      </c>
      <c r="E89" s="11">
        <f t="shared" ca="1" si="36"/>
        <v>60.666604871715663</v>
      </c>
      <c r="F89" s="11">
        <f t="shared" ca="1" si="37"/>
        <v>-1.3591756524713087E-2</v>
      </c>
      <c r="G89" s="11">
        <f t="shared" ca="1" si="26"/>
        <v>2.9400136230586729E-8</v>
      </c>
      <c r="H89" s="11">
        <f t="shared" ca="1" si="30"/>
        <v>1.7836064478756171E-6</v>
      </c>
      <c r="I89" s="11">
        <f t="shared" ca="1" si="31"/>
        <v>-1.3593540131160963E-2</v>
      </c>
      <c r="J89" s="11">
        <f t="shared" ca="1" si="27"/>
        <v>5.6356729266849946E-9</v>
      </c>
      <c r="K89" s="20">
        <f t="shared" ca="1" si="32"/>
        <v>-1.3591762160386014E-2</v>
      </c>
      <c r="M89" s="26">
        <v>0.24166666666666667</v>
      </c>
      <c r="N89" s="15">
        <f t="shared" ca="1" si="38"/>
        <v>133.92933693881062</v>
      </c>
      <c r="O89" s="15">
        <f t="shared" ca="1" si="39"/>
        <v>66.731060493800996</v>
      </c>
      <c r="P89" s="15">
        <f t="shared" ca="1" si="28"/>
        <v>1</v>
      </c>
      <c r="Q89" s="15">
        <f t="shared" ca="1" si="33"/>
        <v>133.92933693881062</v>
      </c>
      <c r="R89" s="15">
        <f t="shared" ca="1" si="34"/>
        <v>-67.198276445009625</v>
      </c>
      <c r="S89" s="15">
        <f t="shared" ca="1" si="29"/>
        <v>66.938269676614865</v>
      </c>
      <c r="T89" s="26">
        <f t="shared" ca="1" si="35"/>
        <v>-0.20720918281386957</v>
      </c>
    </row>
    <row r="90" spans="4:20" x14ac:dyDescent="0.25">
      <c r="D90" s="22">
        <v>0.24444444444444446</v>
      </c>
      <c r="E90" s="11">
        <f t="shared" ca="1" si="36"/>
        <v>60.086698191430486</v>
      </c>
      <c r="F90" s="11">
        <f t="shared" ca="1" si="37"/>
        <v>-1.3592377744813569E-2</v>
      </c>
      <c r="G90" s="11">
        <f t="shared" ca="1" si="26"/>
        <v>1.5258621358151744E-13</v>
      </c>
      <c r="H90" s="11">
        <f t="shared" ca="1" si="30"/>
        <v>9.1684017636457891E-12</v>
      </c>
      <c r="I90" s="11">
        <f t="shared" ca="1" si="31"/>
        <v>-1.3592377753981972E-2</v>
      </c>
      <c r="J90" s="11">
        <f t="shared" ca="1" si="27"/>
        <v>1.8061228225038925E-14</v>
      </c>
      <c r="K90" s="20">
        <f t="shared" ca="1" si="32"/>
        <v>-1.3592377744831631E-2</v>
      </c>
      <c r="M90" s="26">
        <v>0.24444444444444446</v>
      </c>
      <c r="N90" s="15">
        <f t="shared" ca="1" si="38"/>
        <v>134.20928244926961</v>
      </c>
      <c r="O90" s="15">
        <f t="shared" ca="1" si="39"/>
        <v>67.008019347826107</v>
      </c>
      <c r="P90" s="15">
        <f t="shared" ca="1" si="28"/>
        <v>1</v>
      </c>
      <c r="Q90" s="15">
        <f t="shared" ca="1" si="33"/>
        <v>134.20928244926961</v>
      </c>
      <c r="R90" s="15">
        <f t="shared" ca="1" si="34"/>
        <v>-67.201263101443502</v>
      </c>
      <c r="S90" s="15">
        <f t="shared" ca="1" si="29"/>
        <v>67.215237740141646</v>
      </c>
      <c r="T90" s="26">
        <f t="shared" ca="1" si="35"/>
        <v>-0.20721839231553929</v>
      </c>
    </row>
    <row r="91" spans="4:20" x14ac:dyDescent="0.25">
      <c r="D91" s="23">
        <v>0.24722222222222223</v>
      </c>
      <c r="E91" s="13">
        <f t="shared" ca="1" si="36"/>
        <v>59.378403918760242</v>
      </c>
      <c r="F91" s="13">
        <f t="shared" ca="1" si="37"/>
        <v>-1.359298186402437E-2</v>
      </c>
      <c r="G91" s="13">
        <f t="shared" ca="1" si="26"/>
        <v>1.2170510346673215E-30</v>
      </c>
      <c r="H91" s="13">
        <f t="shared" ca="1" si="30"/>
        <v>7.2266547926221286E-29</v>
      </c>
      <c r="I91" s="13">
        <f t="shared" ca="1" si="31"/>
        <v>-1.359298186402437E-2</v>
      </c>
      <c r="J91" s="13">
        <f t="shared" ca="1" si="27"/>
        <v>6.5508332706630785E-32</v>
      </c>
      <c r="K91" s="21">
        <f t="shared" ca="1" si="32"/>
        <v>-1.359298186402437E-2</v>
      </c>
      <c r="M91" s="26">
        <v>0.24722222222222223</v>
      </c>
      <c r="N91" s="15">
        <f t="shared" ca="1" si="38"/>
        <v>135.33464327711147</v>
      </c>
      <c r="O91" s="15">
        <f t="shared" ca="1" si="39"/>
        <v>68.130393386490866</v>
      </c>
      <c r="P91" s="15">
        <f t="shared" ca="1" si="28"/>
        <v>1</v>
      </c>
      <c r="Q91" s="15">
        <f t="shared" ca="1" si="33"/>
        <v>135.33464327711147</v>
      </c>
      <c r="R91" s="15">
        <f t="shared" ca="1" si="34"/>
        <v>-67.204249890620602</v>
      </c>
      <c r="S91" s="15">
        <f t="shared" ca="1" si="29"/>
        <v>68.33762098871739</v>
      </c>
      <c r="T91" s="26">
        <f t="shared" ca="1" si="35"/>
        <v>-0.20722760222652425</v>
      </c>
    </row>
    <row r="92" spans="4:20" x14ac:dyDescent="0.25">
      <c r="E92">
        <f t="shared" ca="1" si="36"/>
        <v>60.378403918760242</v>
      </c>
      <c r="F92">
        <f t="shared" ca="1" si="37"/>
        <v>-1.3539320269771829E-2</v>
      </c>
      <c r="N92" t="e">
        <f t="shared" ca="1" si="38"/>
        <v>#NUM!</v>
      </c>
      <c r="O92" t="e">
        <f t="shared" ca="1" si="39"/>
        <v>#NUM!</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ynamics">
                <anchor moveWithCells="1" sizeWithCells="1">
                  <from>
                    <xdr:col>0</xdr:col>
                    <xdr:colOff>0</xdr:colOff>
                    <xdr:row>13</xdr:row>
                    <xdr:rowOff>19050</xdr:rowOff>
                  </from>
                  <to>
                    <xdr:col>1</xdr:col>
                    <xdr:colOff>704850</xdr:colOff>
                    <xdr:row>15</xdr:row>
                    <xdr:rowOff>76200</xdr:rowOff>
                  </to>
                </anchor>
              </controlPr>
            </control>
          </mc:Choice>
        </mc:AlternateContent>
        <mc:AlternateContent xmlns:mc="http://schemas.openxmlformats.org/markup-compatibility/2006">
          <mc:Choice Requires="x14">
            <control shapeId="9218" r:id="rId4" name="Button 2">
              <controlPr defaultSize="0" print="0" autoFill="0" autoPict="0" macro="[0]!Dynamics_bis">
                <anchor moveWithCells="1" sizeWithCells="1">
                  <from>
                    <xdr:col>28</xdr:col>
                    <xdr:colOff>28575</xdr:colOff>
                    <xdr:row>5</xdr:row>
                    <xdr:rowOff>104775</xdr:rowOff>
                  </from>
                  <to>
                    <xdr:col>31</xdr:col>
                    <xdr:colOff>28575</xdr:colOff>
                    <xdr:row>8</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6AB9D-A235-4677-897A-0BA12343A32F}">
  <sheetPr codeName="Feuil10"/>
  <dimension ref="A1:P92"/>
  <sheetViews>
    <sheetView showGridLines="0" zoomScale="55" zoomScaleNormal="55" workbookViewId="0">
      <selection activeCell="A12" sqref="A12"/>
    </sheetView>
  </sheetViews>
  <sheetFormatPr baseColWidth="10" defaultRowHeight="15" x14ac:dyDescent="0.25"/>
  <cols>
    <col min="1" max="1" width="16.28515625" customWidth="1"/>
    <col min="2" max="2" width="11" bestFit="1" customWidth="1"/>
    <col min="4" max="11" width="11" bestFit="1" customWidth="1"/>
    <col min="12" max="12" width="13.7109375" bestFit="1" customWidth="1"/>
    <col min="13" max="14" width="11" bestFit="1" customWidth="1"/>
    <col min="15" max="16" width="16.42578125" bestFit="1" customWidth="1"/>
  </cols>
  <sheetData>
    <row r="1" spans="1:16" ht="32.1" customHeight="1" x14ac:dyDescent="0.25">
      <c r="A1" s="61" t="s">
        <v>11</v>
      </c>
      <c r="B1" s="61"/>
      <c r="D1" s="7" t="s">
        <v>74</v>
      </c>
      <c r="E1" s="8" t="s">
        <v>0</v>
      </c>
      <c r="F1" s="8" t="s">
        <v>26</v>
      </c>
      <c r="G1" s="8" t="s">
        <v>8</v>
      </c>
      <c r="H1" s="8" t="s">
        <v>32</v>
      </c>
      <c r="I1" s="8" t="s">
        <v>33</v>
      </c>
      <c r="J1" s="8" t="s">
        <v>42</v>
      </c>
      <c r="K1" s="8" t="s">
        <v>7</v>
      </c>
      <c r="L1" s="8" t="s">
        <v>34</v>
      </c>
      <c r="M1" s="8" t="s">
        <v>36</v>
      </c>
      <c r="N1" s="8" t="s">
        <v>35</v>
      </c>
      <c r="O1" s="8" t="s">
        <v>62</v>
      </c>
      <c r="P1" s="9" t="s">
        <v>63</v>
      </c>
    </row>
    <row r="2" spans="1:16" x14ac:dyDescent="0.25">
      <c r="A2" s="1" t="s">
        <v>0</v>
      </c>
      <c r="B2" s="1">
        <v>60.57</v>
      </c>
      <c r="D2" s="22">
        <f t="array" ref="D2:E91">BSPath($B$2, $B$8, $B$5, $B$6, $B$9)</f>
        <v>0</v>
      </c>
      <c r="E2" s="11">
        <v>60.57</v>
      </c>
      <c r="F2" s="11">
        <f>BSCall(E2,$B$3, $B$6 - D2,$B$8,$B$5) - BSPut(E2,$B$4, $B$7 - D2,$B$8, $B$5)</f>
        <v>0.53420437876534088</v>
      </c>
      <c r="G2" s="11">
        <f t="shared" ref="G2:G30" si="0">BSGreeksRR(E2,$B$3,$B$4,$B$6 - D2,$B$7 - D2,$B$8, $B$5,$G$1)</f>
        <v>2.8957864510743867E-2</v>
      </c>
      <c r="H2" s="11">
        <f t="shared" ref="H2:H33" si="1">BSGreeks(E2,$B$13,$B$14 - D2,$B$8, $B$5,$G$1)</f>
        <v>3.1178683841236805E-2</v>
      </c>
      <c r="I2" s="11">
        <f t="shared" ref="I2:I33" si="2">G2/H2</f>
        <v>0.92877122902937648</v>
      </c>
      <c r="J2" s="11">
        <f t="shared" ref="J2:J33" si="3">I2*BSCall(E2,$B$13,$B$14 - D2,$B$8,$B$5)</f>
        <v>0.75486614683378916</v>
      </c>
      <c r="K2" s="11">
        <f t="shared" ref="K2:K30" si="4">BSGreeksRR(E2,$B$3, $B$4, $B$6 - D2,$B$7 - D2,$B$8, $B$5,$K$1) - I2 *BSGreeks(E2,$B$13,$B$14 - D2,$B$8, $B$5,$K$1)</f>
        <v>2.7738648969239638E-2</v>
      </c>
      <c r="L2" s="11">
        <f t="shared" ref="L2:L33" si="5">K2 * E2</f>
        <v>1.6801299680668449</v>
      </c>
      <c r="M2" s="11">
        <f t="shared" ref="M2:M33" si="6">F2 - L2 - J2</f>
        <v>-1.9007917361352933</v>
      </c>
      <c r="N2" s="11">
        <f>BSCall(E2,$B$3, $B$6 - D2,$B$8,$B$5) - BSPut(E2,$B$4, $B$7 - D2,$B$8, $B$5)</f>
        <v>0.53420437876534088</v>
      </c>
      <c r="O2" s="11">
        <f t="shared" ref="O2:O33" si="7">F2 - N2</f>
        <v>0</v>
      </c>
      <c r="P2" s="20">
        <f>F2 - N2</f>
        <v>0</v>
      </c>
    </row>
    <row r="3" spans="1:16" x14ac:dyDescent="0.25">
      <c r="A3" s="1" t="s">
        <v>1</v>
      </c>
      <c r="B3" s="1">
        <v>67</v>
      </c>
      <c r="D3" s="22">
        <v>2.7777777777777779E-3</v>
      </c>
      <c r="E3" s="11">
        <v>60.460507914668419</v>
      </c>
      <c r="F3" s="11">
        <f t="shared" ref="F3:F34" si="8">E3 * K2 + I2*BSCall(E3,$B$13,$B$14-D3,$B$8,$B$5) +  M2 * EXP($B$8*(D3 - D2))</f>
        <v>0.50618286684255143</v>
      </c>
      <c r="G3" s="11">
        <f t="shared" si="0"/>
        <v>2.8070870147056632E-2</v>
      </c>
      <c r="H3" s="11">
        <f t="shared" si="1"/>
        <v>3.0871494108074049E-2</v>
      </c>
      <c r="I3" s="11">
        <f t="shared" si="2"/>
        <v>0.90928123040585362</v>
      </c>
      <c r="J3" s="11">
        <f t="shared" si="3"/>
        <v>0.71464814533919441</v>
      </c>
      <c r="K3" s="11">
        <f t="shared" si="4"/>
        <v>2.8855184994396155E-2</v>
      </c>
      <c r="L3" s="11">
        <f t="shared" si="5"/>
        <v>1.74459914073291</v>
      </c>
      <c r="M3" s="11">
        <f t="shared" si="6"/>
        <v>-1.953064419229553</v>
      </c>
      <c r="N3" s="11">
        <f>BSCall(E3,$B$3, $B$6 - D3,$B$8,$B$5) - BSPut(E3,$B$4, $B$7 - D3,$B$8, $B$5)</f>
        <v>0.50637894605657374</v>
      </c>
      <c r="O3" s="11">
        <f t="shared" si="7"/>
        <v>-1.9607921402231554E-4</v>
      </c>
      <c r="P3" s="20">
        <f t="shared" ref="P3:P34" si="9">F3 - N3 - $B$17*(ABS(K3-K2) + ABS(M3-M2))</f>
        <v>-1.2638635964106399E-3</v>
      </c>
    </row>
    <row r="4" spans="1:16" x14ac:dyDescent="0.25">
      <c r="A4" s="1" t="s">
        <v>2</v>
      </c>
      <c r="B4" s="1">
        <v>54</v>
      </c>
      <c r="D4" s="22">
        <v>5.5555555555555558E-3</v>
      </c>
      <c r="E4" s="11">
        <v>60.757611446610987</v>
      </c>
      <c r="F4" s="11">
        <f t="shared" si="8"/>
        <v>0.55844961460220222</v>
      </c>
      <c r="G4" s="11">
        <f t="shared" si="0"/>
        <v>3.2966447963133555E-2</v>
      </c>
      <c r="H4" s="11">
        <f t="shared" si="1"/>
        <v>3.1691178085461576E-2</v>
      </c>
      <c r="I4" s="11">
        <f t="shared" si="2"/>
        <v>1.040240532372541</v>
      </c>
      <c r="J4" s="11">
        <f t="shared" si="3"/>
        <v>0.86766147767306845</v>
      </c>
      <c r="K4" s="11">
        <f t="shared" si="4"/>
        <v>2.3108156572312077E-3</v>
      </c>
      <c r="L4" s="11">
        <f t="shared" si="5"/>
        <v>0.14039963982679871</v>
      </c>
      <c r="M4" s="11">
        <f t="shared" si="6"/>
        <v>-0.44961150289766494</v>
      </c>
      <c r="N4" s="11">
        <f>BSCall(E4,$B$3, $B$6 - D4,$B$8,$B$5) - BSPut(E4,$B$4, $B$7 - D4,$B$8, $B$5)</f>
        <v>0.55792055556782449</v>
      </c>
      <c r="O4" s="11">
        <f t="shared" si="7"/>
        <v>5.2905903437772128E-4</v>
      </c>
      <c r="P4" s="20">
        <f t="shared" si="9"/>
        <v>-3.0070886679003338E-2</v>
      </c>
    </row>
    <row r="5" spans="1:16" x14ac:dyDescent="0.25">
      <c r="A5" s="1" t="s">
        <v>3</v>
      </c>
      <c r="B5" s="1">
        <v>0.2</v>
      </c>
      <c r="D5" s="22">
        <v>8.3333333333333332E-3</v>
      </c>
      <c r="E5" s="11">
        <v>60.764251212117244</v>
      </c>
      <c r="F5" s="11">
        <f t="shared" si="8"/>
        <v>0.5524944132244034</v>
      </c>
      <c r="G5" s="11">
        <f t="shared" si="0"/>
        <v>3.3767372361719943E-2</v>
      </c>
      <c r="H5" s="11">
        <f t="shared" si="1"/>
        <v>3.1709464484414439E-2</v>
      </c>
      <c r="I5" s="11">
        <f t="shared" si="2"/>
        <v>1.0648988530953272</v>
      </c>
      <c r="J5" s="11">
        <f t="shared" si="3"/>
        <v>0.88213729209995273</v>
      </c>
      <c r="K5" s="11">
        <f t="shared" si="4"/>
        <v>-4.4714605065936941E-3</v>
      </c>
      <c r="L5" s="11">
        <f t="shared" si="5"/>
        <v>-0.27170494950772028</v>
      </c>
      <c r="M5" s="11">
        <f t="shared" si="6"/>
        <v>-5.7937929367829044E-2</v>
      </c>
      <c r="N5" s="11">
        <f>BSCall(E5,$B$3, $B$6 - D5,$B$8,$B$5) - BSPut(E5,$B$4, $B$7 - D5,$B$8, $B$5)</f>
        <v>0.55188108010587766</v>
      </c>
      <c r="O5" s="11">
        <f t="shared" si="7"/>
        <v>6.1333311852573846E-4</v>
      </c>
      <c r="P5" s="20">
        <f t="shared" si="9"/>
        <v>-7.3557838753474762E-3</v>
      </c>
    </row>
    <row r="6" spans="1:16" x14ac:dyDescent="0.25">
      <c r="A6" s="1" t="s">
        <v>4</v>
      </c>
      <c r="B6" s="1">
        <v>0.25</v>
      </c>
      <c r="D6" s="22">
        <v>1.1111111111111112E-2</v>
      </c>
      <c r="E6" s="11">
        <v>60.78901209304491</v>
      </c>
      <c r="F6" s="11">
        <f t="shared" si="8"/>
        <v>0.54991494270312713</v>
      </c>
      <c r="G6" s="11">
        <f t="shared" si="0"/>
        <v>3.480961380004876E-2</v>
      </c>
      <c r="H6" s="11">
        <f t="shared" si="1"/>
        <v>3.1777882372008487E-2</v>
      </c>
      <c r="I6" s="11">
        <f t="shared" si="2"/>
        <v>1.0954038218327213</v>
      </c>
      <c r="J6" s="11">
        <f t="shared" si="3"/>
        <v>0.90487007041331247</v>
      </c>
      <c r="K6" s="11">
        <f t="shared" si="4"/>
        <v>-1.2284851861927543E-2</v>
      </c>
      <c r="L6" s="11">
        <f t="shared" si="5"/>
        <v>-0.74678400839597869</v>
      </c>
      <c r="M6" s="11">
        <f t="shared" si="6"/>
        <v>0.39182888068579336</v>
      </c>
      <c r="N6" s="11">
        <f>BSCall(E6,$B$3, $B$6 - D6,$B$8,$B$5) - BSPut(E6,$B$4, $B$7 - D6,$B$8, $B$5)</f>
        <v>0.54917919610699673</v>
      </c>
      <c r="O6" s="11">
        <f t="shared" si="7"/>
        <v>7.3574659613040438E-4</v>
      </c>
      <c r="P6" s="20">
        <f t="shared" si="9"/>
        <v>-8.415857432048722E-3</v>
      </c>
    </row>
    <row r="7" spans="1:16" x14ac:dyDescent="0.25">
      <c r="A7" s="1" t="s">
        <v>5</v>
      </c>
      <c r="B7" s="1">
        <v>8.3333333333333329E-2</v>
      </c>
      <c r="D7" s="22">
        <v>1.388888888888889E-2</v>
      </c>
      <c r="E7" s="11">
        <v>60.732167562309677</v>
      </c>
      <c r="F7" s="11">
        <f t="shared" si="8"/>
        <v>0.53133411905508665</v>
      </c>
      <c r="G7" s="11">
        <f t="shared" si="0"/>
        <v>3.4803814797739759E-2</v>
      </c>
      <c r="H7" s="11">
        <f t="shared" si="1"/>
        <v>3.1617890396385601E-2</v>
      </c>
      <c r="I7" s="11">
        <f t="shared" si="2"/>
        <v>1.1007633451002903</v>
      </c>
      <c r="J7" s="11">
        <f t="shared" si="3"/>
        <v>0.88990638374755249</v>
      </c>
      <c r="K7" s="11">
        <f t="shared" si="4"/>
        <v>-1.5311008114034852E-2</v>
      </c>
      <c r="L7" s="11">
        <f t="shared" si="5"/>
        <v>-0.92987071032944768</v>
      </c>
      <c r="M7" s="11">
        <f t="shared" si="6"/>
        <v>0.57129844563698184</v>
      </c>
      <c r="N7" s="11">
        <f>BSCall(E7,$B$3, $B$6 - D7,$B$8,$B$5) - BSPut(E7,$B$4, $B$7 - D7,$B$8, $B$5)</f>
        <v>0.53064157217160368</v>
      </c>
      <c r="O7" s="11">
        <f t="shared" si="7"/>
        <v>6.9254688348296956E-4</v>
      </c>
      <c r="P7" s="20">
        <f t="shared" si="9"/>
        <v>-2.9573675405829463E-3</v>
      </c>
    </row>
    <row r="8" spans="1:16" x14ac:dyDescent="0.25">
      <c r="A8" s="1" t="s">
        <v>6</v>
      </c>
      <c r="B8" s="1">
        <v>1.6E-2</v>
      </c>
      <c r="D8" s="22">
        <v>1.6666666666666666E-2</v>
      </c>
      <c r="E8" s="11">
        <v>60.494186084346644</v>
      </c>
      <c r="F8" s="11">
        <f t="shared" si="8"/>
        <v>0.47986167060492391</v>
      </c>
      <c r="G8" s="11">
        <f t="shared" si="0"/>
        <v>3.2369047241130745E-2</v>
      </c>
      <c r="H8" s="11">
        <f t="shared" si="1"/>
        <v>3.0934493513677355E-2</v>
      </c>
      <c r="I8" s="11">
        <f t="shared" si="2"/>
        <v>1.0463739200003104</v>
      </c>
      <c r="J8" s="11">
        <f t="shared" si="3"/>
        <v>0.79351854114166065</v>
      </c>
      <c r="K8" s="11">
        <f t="shared" si="4"/>
        <v>-7.5481358760158268E-3</v>
      </c>
      <c r="L8" s="11">
        <f t="shared" si="5"/>
        <v>-0.4566183362736343</v>
      </c>
      <c r="M8" s="11">
        <f t="shared" si="6"/>
        <v>0.1429614657368975</v>
      </c>
      <c r="N8" s="11">
        <f>BSCall(E8,$B$3, $B$6 - D8,$B$8,$B$5) - BSPut(E8,$B$4, $B$7 - D8,$B$8, $B$5)</f>
        <v>0.47957156372693793</v>
      </c>
      <c r="O8" s="11">
        <f t="shared" si="7"/>
        <v>2.901068779859739E-4</v>
      </c>
      <c r="P8" s="20">
        <f t="shared" si="9"/>
        <v>-8.431890164776093E-3</v>
      </c>
    </row>
    <row r="9" spans="1:16" x14ac:dyDescent="0.25">
      <c r="A9" s="25" t="s">
        <v>30</v>
      </c>
      <c r="B9" s="1">
        <f>360*B6</f>
        <v>90</v>
      </c>
      <c r="D9" s="22">
        <v>1.9444444444444445E-2</v>
      </c>
      <c r="E9" s="11">
        <v>60.343290640964263</v>
      </c>
      <c r="F9" s="11">
        <f t="shared" si="8"/>
        <v>0.44642589718292169</v>
      </c>
      <c r="G9" s="11">
        <f t="shared" si="0"/>
        <v>3.1040059297654951E-2</v>
      </c>
      <c r="H9" s="11">
        <f t="shared" si="1"/>
        <v>3.0484999739236782E-2</v>
      </c>
      <c r="I9" s="11">
        <f t="shared" si="2"/>
        <v>1.0182076287736936</v>
      </c>
      <c r="J9" s="11">
        <f t="shared" si="3"/>
        <v>0.73850835798169723</v>
      </c>
      <c r="K9" s="11">
        <f t="shared" si="4"/>
        <v>-4.892054622889136E-3</v>
      </c>
      <c r="L9" s="11">
        <f t="shared" si="5"/>
        <v>-0.29520267394047195</v>
      </c>
      <c r="M9" s="11">
        <f t="shared" si="6"/>
        <v>3.1202131416964152E-3</v>
      </c>
      <c r="N9" s="11">
        <f>BSCall(E9,$B$3, $B$6 - D9,$B$8,$B$5) - BSPut(E9,$B$4, $B$7 - D9,$B$8, $B$5)</f>
        <v>0.44639119528941495</v>
      </c>
      <c r="O9" s="11">
        <f t="shared" si="7"/>
        <v>3.4701893506738912E-5</v>
      </c>
      <c r="P9" s="20">
        <f t="shared" si="9"/>
        <v>-2.8152447834598167E-3</v>
      </c>
    </row>
    <row r="10" spans="1:16" x14ac:dyDescent="0.25">
      <c r="D10" s="22">
        <v>2.2222222222222223E-2</v>
      </c>
      <c r="E10" s="11">
        <v>59.955661577992885</v>
      </c>
      <c r="F10" s="11">
        <f t="shared" si="8"/>
        <v>0.37633431275955276</v>
      </c>
      <c r="G10" s="11">
        <f t="shared" si="0"/>
        <v>2.5952479283946301E-2</v>
      </c>
      <c r="H10" s="11">
        <f t="shared" si="1"/>
        <v>2.9310518253022375E-2</v>
      </c>
      <c r="I10" s="11">
        <f t="shared" si="2"/>
        <v>0.88543228952528652</v>
      </c>
      <c r="J10" s="11">
        <f t="shared" si="3"/>
        <v>0.57960538419905017</v>
      </c>
      <c r="K10" s="11">
        <f t="shared" si="4"/>
        <v>1.4567654930273372E-2</v>
      </c>
      <c r="L10" s="11">
        <f t="shared" si="5"/>
        <v>0.87341338898444976</v>
      </c>
      <c r="M10" s="11">
        <f t="shared" si="6"/>
        <v>-1.0766844604239472</v>
      </c>
      <c r="N10" s="11">
        <f>BSCall(E10,$B$3, $B$6 - D10,$B$8,$B$5) - BSPut(E10,$B$4, $B$7 - D10,$B$8, $B$5)</f>
        <v>0.37705756042857153</v>
      </c>
      <c r="O10" s="11">
        <f t="shared" si="7"/>
        <v>-7.2324766901876725E-4</v>
      </c>
      <c r="P10" s="20">
        <f t="shared" si="9"/>
        <v>-2.2708535331394889E-2</v>
      </c>
    </row>
    <row r="11" spans="1:16" ht="15.75" x14ac:dyDescent="0.25">
      <c r="A11" s="60" t="s">
        <v>70</v>
      </c>
      <c r="B11" s="60"/>
      <c r="D11" s="22">
        <v>2.5000000000000001E-2</v>
      </c>
      <c r="E11" s="11">
        <v>58.951644593887863</v>
      </c>
      <c r="F11" s="11">
        <f t="shared" si="8"/>
        <v>0.2276175349575329</v>
      </c>
      <c r="G11" s="11">
        <f t="shared" si="0"/>
        <v>7.2512584963696633E-3</v>
      </c>
      <c r="H11" s="11">
        <f t="shared" si="1"/>
        <v>2.6157787401742849E-2</v>
      </c>
      <c r="I11" s="11">
        <f t="shared" si="2"/>
        <v>0.27721222689830882</v>
      </c>
      <c r="J11" s="11">
        <f t="shared" si="3"/>
        <v>0.13949729549924259</v>
      </c>
      <c r="K11" s="11">
        <f t="shared" si="4"/>
        <v>9.8362814549498356E-2</v>
      </c>
      <c r="L11" s="11">
        <f t="shared" si="5"/>
        <v>5.798649684576529</v>
      </c>
      <c r="M11" s="11">
        <f t="shared" si="6"/>
        <v>-5.7105294451182385</v>
      </c>
      <c r="N11" s="11">
        <f>BSCall(E11,$B$3, $B$6 - D11,$B$8,$B$5) - BSPut(E11,$B$4, $B$7 - D11,$B$8, $B$5)</f>
        <v>0.22892868513269002</v>
      </c>
      <c r="O11" s="11">
        <f t="shared" si="7"/>
        <v>-1.311150175157122E-3</v>
      </c>
      <c r="P11" s="20">
        <f t="shared" si="9"/>
        <v>-9.5663953061427442E-2</v>
      </c>
    </row>
    <row r="12" spans="1:16" x14ac:dyDescent="0.25">
      <c r="A12" s="1" t="s">
        <v>0</v>
      </c>
      <c r="B12" s="1">
        <v>60.57</v>
      </c>
      <c r="D12" s="22">
        <v>2.777777777777778E-2</v>
      </c>
      <c r="E12" s="11">
        <v>58.523017715845349</v>
      </c>
      <c r="F12" s="11">
        <f t="shared" si="8"/>
        <v>0.16891655101664682</v>
      </c>
      <c r="G12" s="11">
        <f t="shared" si="0"/>
        <v>-2.2724551358495096E-3</v>
      </c>
      <c r="H12" s="11">
        <f t="shared" si="1"/>
        <v>2.4745631136667522E-2</v>
      </c>
      <c r="I12" s="11">
        <f t="shared" si="2"/>
        <v>-9.1832579387406951E-2</v>
      </c>
      <c r="J12" s="11">
        <f t="shared" si="3"/>
        <v>-4.0816344935413466E-2</v>
      </c>
      <c r="K12" s="11">
        <f t="shared" si="4"/>
        <v>0.13962942893409852</v>
      </c>
      <c r="L12" s="11">
        <f t="shared" si="5"/>
        <v>8.1715355431636176</v>
      </c>
      <c r="M12" s="11">
        <f t="shared" si="6"/>
        <v>-7.9618026472115577</v>
      </c>
      <c r="N12" s="11">
        <f>BSCall(E12,$B$3, $B$6 - D12,$B$8,$B$5) - BSPut(E12,$B$4, $B$7 - D12,$B$8, $B$5)</f>
        <v>0.17178147009788231</v>
      </c>
      <c r="O12" s="11">
        <f t="shared" si="7"/>
        <v>-2.8649190812354841E-3</v>
      </c>
      <c r="P12" s="20">
        <f t="shared" si="9"/>
        <v>-4.8715715410793878E-2</v>
      </c>
    </row>
    <row r="13" spans="1:16" x14ac:dyDescent="0.25">
      <c r="A13" s="1" t="s">
        <v>1</v>
      </c>
      <c r="B13" s="1">
        <v>70</v>
      </c>
      <c r="D13" s="22">
        <v>3.0555555555555558E-2</v>
      </c>
      <c r="E13" s="11">
        <v>59.781024665121173</v>
      </c>
      <c r="F13" s="11">
        <f t="shared" si="8"/>
        <v>0.32911592050660676</v>
      </c>
      <c r="G13" s="11">
        <f t="shared" si="0"/>
        <v>2.6080821212487268E-2</v>
      </c>
      <c r="H13" s="11">
        <f t="shared" si="1"/>
        <v>2.8702717059153858E-2</v>
      </c>
      <c r="I13" s="11">
        <f t="shared" si="2"/>
        <v>0.90865339189794869</v>
      </c>
      <c r="J13" s="11">
        <f t="shared" si="3"/>
        <v>0.55328938056286125</v>
      </c>
      <c r="K13" s="11">
        <f t="shared" si="4"/>
        <v>2.7481521390465558E-3</v>
      </c>
      <c r="L13" s="11">
        <f t="shared" si="5"/>
        <v>0.16428735080784765</v>
      </c>
      <c r="M13" s="11">
        <f t="shared" si="6"/>
        <v>-0.38846081086410211</v>
      </c>
      <c r="N13" s="11">
        <f>BSCall(E13,$B$3, $B$6 - D13,$B$8,$B$5) - BSPut(E13,$B$4, $B$7 - D13,$B$8, $B$5)</f>
        <v>0.33448831766810366</v>
      </c>
      <c r="O13" s="11">
        <f t="shared" si="7"/>
        <v>-5.3723971614969002E-3</v>
      </c>
      <c r="P13" s="20">
        <f>F13 - N13 - $B$17*(ABS(K13-K12) + ABS(M13-M12))</f>
        <v>-0.15957685942434705</v>
      </c>
    </row>
    <row r="14" spans="1:16" x14ac:dyDescent="0.25">
      <c r="A14" s="1" t="s">
        <v>31</v>
      </c>
      <c r="B14" s="1">
        <v>0.5</v>
      </c>
      <c r="D14" s="22">
        <v>3.3333333333333333E-2</v>
      </c>
      <c r="E14" s="11">
        <v>58.808763300891826</v>
      </c>
      <c r="F14" s="11">
        <f t="shared" si="8"/>
        <v>0.19936455367408029</v>
      </c>
      <c r="G14" s="11">
        <f t="shared" si="0"/>
        <v>7.8563178252171115E-3</v>
      </c>
      <c r="H14" s="11">
        <f t="shared" si="1"/>
        <v>2.5569171203904933E-2</v>
      </c>
      <c r="I14" s="11">
        <f t="shared" si="2"/>
        <v>0.3072574297604645</v>
      </c>
      <c r="J14" s="11">
        <f t="shared" si="3"/>
        <v>0.14412698560128873</v>
      </c>
      <c r="K14" s="11">
        <f t="shared" si="4"/>
        <v>8.1350694699260165E-2</v>
      </c>
      <c r="L14" s="11">
        <f t="shared" si="5"/>
        <v>4.7841337489319065</v>
      </c>
      <c r="M14" s="11">
        <f t="shared" si="6"/>
        <v>-4.728896180859115</v>
      </c>
      <c r="N14" s="11">
        <f>BSCall(E14,$B$3, $B$6 - D14,$B$8,$B$5) - BSPut(E14,$B$4, $B$7 - D14,$B$8, $B$5)</f>
        <v>0.2054575335022002</v>
      </c>
      <c r="O14" s="11">
        <f t="shared" si="7"/>
        <v>-6.0929798281199044E-3</v>
      </c>
      <c r="P14" s="20">
        <f t="shared" si="9"/>
        <v>-9.4473738079224434E-2</v>
      </c>
    </row>
    <row r="15" spans="1:16" x14ac:dyDescent="0.25">
      <c r="D15" s="22">
        <v>3.6111111111111115E-2</v>
      </c>
      <c r="E15" s="11">
        <v>58.638698331600999</v>
      </c>
      <c r="F15" s="11">
        <f t="shared" si="8"/>
        <v>0.17736220866796071</v>
      </c>
      <c r="G15" s="11">
        <f t="shared" si="0"/>
        <v>5.1951965105955433E-3</v>
      </c>
      <c r="H15" s="11">
        <f t="shared" si="1"/>
        <v>2.4969069291246124E-2</v>
      </c>
      <c r="I15" s="11">
        <f t="shared" si="2"/>
        <v>0.20806528469272664</v>
      </c>
      <c r="J15" s="11">
        <f t="shared" si="3"/>
        <v>9.2209949032541205E-2</v>
      </c>
      <c r="K15" s="11">
        <f t="shared" si="4"/>
        <v>8.8866787011635917E-2</v>
      </c>
      <c r="L15" s="11">
        <f t="shared" si="5"/>
        <v>5.211032715273956</v>
      </c>
      <c r="M15" s="11">
        <f t="shared" si="6"/>
        <v>-5.1258804556385362</v>
      </c>
      <c r="N15" s="11">
        <f>BSCall(E15,$B$3, $B$6 - D15,$B$8,$B$5) - BSPut(E15,$B$4, $B$7 - D15,$B$8, $B$5)</f>
        <v>0.1840683951270041</v>
      </c>
      <c r="O15" s="11">
        <f t="shared" si="7"/>
        <v>-6.7061864590433895E-3</v>
      </c>
      <c r="P15" s="20">
        <f t="shared" si="9"/>
        <v>-1.4796193800879329E-2</v>
      </c>
    </row>
    <row r="16" spans="1:16" ht="15.75" x14ac:dyDescent="0.25">
      <c r="A16" s="60" t="s">
        <v>60</v>
      </c>
      <c r="B16" s="60"/>
      <c r="D16" s="22">
        <v>3.888888888888889E-2</v>
      </c>
      <c r="E16" s="11">
        <v>58.427972749997636</v>
      </c>
      <c r="F16" s="11">
        <f t="shared" si="8"/>
        <v>0.15226816355592288</v>
      </c>
      <c r="G16" s="11">
        <f t="shared" si="0"/>
        <v>1.3356278298035011E-3</v>
      </c>
      <c r="H16" s="11">
        <f t="shared" si="1"/>
        <v>2.4228166814174834E-2</v>
      </c>
      <c r="I16" s="11">
        <f t="shared" si="2"/>
        <v>5.5127069251565665E-2</v>
      </c>
      <c r="J16" s="11">
        <f t="shared" si="3"/>
        <v>2.2804378956142703E-2</v>
      </c>
      <c r="K16" s="11">
        <f t="shared" si="4"/>
        <v>0.10170643184483831</v>
      </c>
      <c r="L16" s="11">
        <f t="shared" si="5"/>
        <v>5.9425006283297046</v>
      </c>
      <c r="M16" s="11">
        <f t="shared" si="6"/>
        <v>-5.8130368437299245</v>
      </c>
      <c r="N16" s="11">
        <f>BSCall(E16,$B$3, $B$6 - D16,$B$8,$B$5) - BSPut(E16,$B$4, $B$7 - D16,$B$8, $B$5)</f>
        <v>0.1598127595275034</v>
      </c>
      <c r="O16" s="11">
        <f t="shared" si="7"/>
        <v>-7.5445959715805255E-3</v>
      </c>
      <c r="P16" s="20">
        <f t="shared" si="9"/>
        <v>-2.1544516630072341E-2</v>
      </c>
    </row>
    <row r="17" spans="1:16" ht="24" customHeight="1" x14ac:dyDescent="0.25">
      <c r="A17" s="29" t="s">
        <v>61</v>
      </c>
      <c r="B17" s="30">
        <v>0.02</v>
      </c>
      <c r="D17" s="22">
        <v>4.1666666666666671E-2</v>
      </c>
      <c r="E17" s="11">
        <v>58.414967447005807</v>
      </c>
      <c r="F17" s="11">
        <f t="shared" si="8"/>
        <v>0.1503382500458148</v>
      </c>
      <c r="G17" s="11">
        <f t="shared" si="0"/>
        <v>2.8785818669759952E-3</v>
      </c>
      <c r="H17" s="11">
        <f t="shared" si="1"/>
        <v>2.4129734405865116E-2</v>
      </c>
      <c r="I17" s="11">
        <f t="shared" si="2"/>
        <v>0.11929604439725247</v>
      </c>
      <c r="J17" s="11">
        <f t="shared" si="3"/>
        <v>4.859424755071666E-2</v>
      </c>
      <c r="K17" s="11">
        <f t="shared" si="4"/>
        <v>8.9313231618007416E-2</v>
      </c>
      <c r="L17" s="11">
        <f t="shared" si="5"/>
        <v>5.2172295175527932</v>
      </c>
      <c r="M17" s="11">
        <f t="shared" si="6"/>
        <v>-5.1154855150576948</v>
      </c>
      <c r="N17" s="11">
        <f>BSCall(E17,$B$3, $B$6 - D17,$B$8,$B$5) - BSPut(E17,$B$4, $B$7 - D17,$B$8, $B$5)</f>
        <v>0.15777925811322818</v>
      </c>
      <c r="O17" s="11">
        <f t="shared" si="7"/>
        <v>-7.4410080674133794E-3</v>
      </c>
      <c r="P17" s="20">
        <f t="shared" si="9"/>
        <v>-2.163989864539459E-2</v>
      </c>
    </row>
    <row r="18" spans="1:16" x14ac:dyDescent="0.25">
      <c r="D18" s="22">
        <v>4.4444444444444446E-2</v>
      </c>
      <c r="E18" s="11">
        <v>57.794153913754961</v>
      </c>
      <c r="F18" s="11">
        <f t="shared" si="8"/>
        <v>8.6369102645279305E-2</v>
      </c>
      <c r="G18" s="11">
        <f t="shared" si="0"/>
        <v>-1.4421448358460993E-2</v>
      </c>
      <c r="H18" s="11">
        <f t="shared" si="1"/>
        <v>2.2024834685845519E-2</v>
      </c>
      <c r="I18" s="11">
        <f t="shared" si="2"/>
        <v>-0.65478123055920512</v>
      </c>
      <c r="J18" s="11">
        <f t="shared" si="3"/>
        <v>-0.22119124266648851</v>
      </c>
      <c r="K18" s="11">
        <f t="shared" si="4"/>
        <v>0.16382105456857371</v>
      </c>
      <c r="L18" s="11">
        <f t="shared" si="5"/>
        <v>9.4678992420497998</v>
      </c>
      <c r="M18" s="11">
        <f t="shared" si="6"/>
        <v>-9.1603388967380326</v>
      </c>
      <c r="N18" s="11">
        <f>BSCall(E18,$B$3, $B$6 - D18,$B$8,$B$5) - BSPut(E18,$B$4, $B$7 - D18,$B$8, $B$5)</f>
        <v>9.6024778429677271E-2</v>
      </c>
      <c r="O18" s="11">
        <f t="shared" si="7"/>
        <v>-9.6556757843979657E-3</v>
      </c>
      <c r="P18" s="20">
        <f t="shared" si="9"/>
        <v>-9.2042899877016041E-2</v>
      </c>
    </row>
    <row r="19" spans="1:16" x14ac:dyDescent="0.25">
      <c r="D19" s="22">
        <v>4.7222222222222221E-2</v>
      </c>
      <c r="E19" s="11">
        <v>57.757693798830459</v>
      </c>
      <c r="F19" s="11">
        <f t="shared" si="8"/>
        <v>8.5104589953838072E-2</v>
      </c>
      <c r="G19" s="11">
        <f t="shared" si="0"/>
        <v>-1.3226862781006102E-2</v>
      </c>
      <c r="H19" s="11">
        <f t="shared" si="1"/>
        <v>2.1836987297343503E-2</v>
      </c>
      <c r="I19" s="11">
        <f t="shared" si="2"/>
        <v>-0.60570913931040149</v>
      </c>
      <c r="J19" s="11">
        <f t="shared" si="3"/>
        <v>-0.19988205446221119</v>
      </c>
      <c r="K19" s="11">
        <f t="shared" si="4"/>
        <v>0.15201490904507189</v>
      </c>
      <c r="L19" s="11">
        <f t="shared" si="5"/>
        <v>8.7800305694823244</v>
      </c>
      <c r="M19" s="11">
        <f t="shared" si="6"/>
        <v>-8.495043925066275</v>
      </c>
      <c r="N19" s="11">
        <f>BSCall(E19,$B$3, $B$6 - D19,$B$8,$B$5) - BSPut(E19,$B$4, $B$7 - D19,$B$8, $B$5)</f>
        <v>9.4804142532545765E-2</v>
      </c>
      <c r="O19" s="11">
        <f t="shared" si="7"/>
        <v>-9.6995525787076931E-3</v>
      </c>
      <c r="P19" s="20">
        <f t="shared" si="9"/>
        <v>-2.3241574922612879E-2</v>
      </c>
    </row>
    <row r="20" spans="1:16" x14ac:dyDescent="0.25">
      <c r="D20" s="22">
        <v>0.05</v>
      </c>
      <c r="E20" s="11">
        <v>57.363437043560651</v>
      </c>
      <c r="F20" s="11">
        <f t="shared" si="8"/>
        <v>4.9000935592808048E-2</v>
      </c>
      <c r="G20" s="11">
        <f t="shared" si="0"/>
        <v>-2.6105409539105864E-2</v>
      </c>
      <c r="H20" s="11">
        <f t="shared" si="1"/>
        <v>2.0470573568102484E-2</v>
      </c>
      <c r="I20" s="11">
        <f t="shared" si="2"/>
        <v>-1.2752651728226929</v>
      </c>
      <c r="J20" s="11">
        <f t="shared" si="3"/>
        <v>-0.36986814029697052</v>
      </c>
      <c r="K20" s="11">
        <f t="shared" si="4"/>
        <v>0.20484094456424651</v>
      </c>
      <c r="L20" s="11">
        <f t="shared" si="5"/>
        <v>11.750380627454652</v>
      </c>
      <c r="M20" s="11">
        <f t="shared" si="6"/>
        <v>-11.331511551564873</v>
      </c>
      <c r="N20" s="11">
        <f>BSCall(E20,$B$3, $B$6 - D20,$B$8,$B$5) - BSPut(E20,$B$4, $B$7 - D20,$B$8, $B$5)</f>
        <v>6.1060075708515259E-2</v>
      </c>
      <c r="O20" s="11">
        <f t="shared" si="7"/>
        <v>-1.2059140115707211E-2</v>
      </c>
      <c r="P20" s="20">
        <f t="shared" si="9"/>
        <v>-6.9845013356062663E-2</v>
      </c>
    </row>
    <row r="21" spans="1:16" x14ac:dyDescent="0.25">
      <c r="D21" s="22">
        <v>5.2777777777777778E-2</v>
      </c>
      <c r="E21" s="11">
        <v>57.56464846938249</v>
      </c>
      <c r="F21" s="11">
        <f t="shared" si="8"/>
        <v>7.2234876171643592E-2</v>
      </c>
      <c r="G21" s="11">
        <f t="shared" si="0"/>
        <v>-1.4450587000493894E-2</v>
      </c>
      <c r="H21" s="11">
        <f t="shared" si="1"/>
        <v>2.1057657414952934E-2</v>
      </c>
      <c r="I21" s="11">
        <f t="shared" si="2"/>
        <v>-0.68623905858742895</v>
      </c>
      <c r="J21" s="11">
        <f t="shared" si="3"/>
        <v>-0.2084371004771407</v>
      </c>
      <c r="K21" s="11">
        <f t="shared" si="4"/>
        <v>0.14473289251342097</v>
      </c>
      <c r="L21" s="11">
        <f t="shared" si="5"/>
        <v>8.3314980794919986</v>
      </c>
      <c r="M21" s="11">
        <f t="shared" si="6"/>
        <v>-8.0508261028432138</v>
      </c>
      <c r="N21" s="11">
        <f>BSCall(E21,$B$3, $B$6 - D21,$B$8,$B$5) - BSPut(E21,$B$4, $B$7 - D21,$B$8, $B$5)</f>
        <v>8.2380322429767019E-2</v>
      </c>
      <c r="O21" s="11">
        <f t="shared" si="7"/>
        <v>-1.0145446258123428E-2</v>
      </c>
      <c r="P21" s="20">
        <f t="shared" si="9"/>
        <v>-7.6961316273573124E-2</v>
      </c>
    </row>
    <row r="22" spans="1:16" x14ac:dyDescent="0.25">
      <c r="D22" s="22">
        <v>5.5555555555555559E-2</v>
      </c>
      <c r="E22" s="11">
        <v>57.631314060167952</v>
      </c>
      <c r="F22" s="11">
        <f t="shared" si="8"/>
        <v>8.0225104265092995E-2</v>
      </c>
      <c r="G22" s="11">
        <f t="shared" si="0"/>
        <v>-8.2640215098717384E-3</v>
      </c>
      <c r="H22" s="11">
        <f t="shared" si="1"/>
        <v>2.1205040279870958E-2</v>
      </c>
      <c r="I22" s="11">
        <f t="shared" si="2"/>
        <v>-0.38971967988744743</v>
      </c>
      <c r="J22" s="11">
        <f t="shared" si="3"/>
        <v>-0.11911145135042581</v>
      </c>
      <c r="K22" s="11">
        <f t="shared" si="4"/>
        <v>0.11065123446824805</v>
      </c>
      <c r="L22" s="11">
        <f t="shared" si="5"/>
        <v>6.3769760447848851</v>
      </c>
      <c r="M22" s="11">
        <f t="shared" si="6"/>
        <v>-6.1776394891693664</v>
      </c>
      <c r="N22" s="11">
        <f>BSCall(E22,$B$3, $B$6 - D22,$B$8,$B$5) - BSPut(E22,$B$4, $B$7 - D22,$B$8, $B$5)</f>
        <v>8.9556701606584521E-2</v>
      </c>
      <c r="O22" s="11">
        <f t="shared" si="7"/>
        <v>-9.3315973414915265E-3</v>
      </c>
      <c r="P22" s="20">
        <f t="shared" si="9"/>
        <v>-4.7476962775871927E-2</v>
      </c>
    </row>
    <row r="23" spans="1:16" x14ac:dyDescent="0.25">
      <c r="D23" s="22">
        <v>5.8333333333333334E-2</v>
      </c>
      <c r="E23" s="11">
        <v>57.020451555017409</v>
      </c>
      <c r="F23" s="11">
        <f t="shared" si="8"/>
        <v>3.3809883571089827E-2</v>
      </c>
      <c r="G23" s="11">
        <f t="shared" si="0"/>
        <v>-3.0999610315278051E-2</v>
      </c>
      <c r="H23" s="11">
        <f t="shared" si="1"/>
        <v>1.9115321557538523E-2</v>
      </c>
      <c r="I23" s="11">
        <f t="shared" si="2"/>
        <v>-1.6217153460885785</v>
      </c>
      <c r="J23" s="11">
        <f t="shared" si="3"/>
        <v>-0.40638381480152719</v>
      </c>
      <c r="K23" s="11">
        <f t="shared" si="4"/>
        <v>0.20442080667731705</v>
      </c>
      <c r="L23" s="11">
        <f t="shared" si="5"/>
        <v>11.656166703981537</v>
      </c>
      <c r="M23" s="11">
        <f t="shared" si="6"/>
        <v>-11.21597300560892</v>
      </c>
      <c r="N23" s="11">
        <f>BSCall(E23,$B$3, $B$6 - D23,$B$8,$B$5) - BSPut(E23,$B$4, $B$7 - D23,$B$8, $B$5)</f>
        <v>4.6210888978606729E-2</v>
      </c>
      <c r="O23" s="11">
        <f t="shared" si="7"/>
        <v>-1.2401005407516902E-2</v>
      </c>
      <c r="P23" s="20">
        <f t="shared" si="9"/>
        <v>-0.11504306718048933</v>
      </c>
    </row>
    <row r="24" spans="1:16" x14ac:dyDescent="0.25">
      <c r="D24" s="22">
        <v>6.1111111111111116E-2</v>
      </c>
      <c r="E24" s="11">
        <v>57.950207999613717</v>
      </c>
      <c r="F24" s="11">
        <f t="shared" si="8"/>
        <v>9.9763285638388766E-2</v>
      </c>
      <c r="G24" s="11">
        <f t="shared" si="0"/>
        <v>9.2096502178365784E-3</v>
      </c>
      <c r="H24" s="11">
        <f t="shared" si="1"/>
        <v>2.2129725712513957E-2</v>
      </c>
      <c r="I24" s="11">
        <f t="shared" si="2"/>
        <v>0.41616648744221391</v>
      </c>
      <c r="J24" s="11">
        <f t="shared" si="3"/>
        <v>0.13600754532323611</v>
      </c>
      <c r="K24" s="11">
        <f t="shared" si="4"/>
        <v>2.4278296872038661E-2</v>
      </c>
      <c r="L24" s="11">
        <f t="shared" si="5"/>
        <v>1.4069323536110114</v>
      </c>
      <c r="M24" s="11">
        <f t="shared" si="6"/>
        <v>-1.4431766132958588</v>
      </c>
      <c r="N24" s="11">
        <f>BSCall(E24,$B$3, $B$6 - D24,$B$8,$B$5) - BSPut(E24,$B$4, $B$7 - D24,$B$8, $B$5)</f>
        <v>0.11088580993423415</v>
      </c>
      <c r="O24" s="11">
        <f t="shared" si="7"/>
        <v>-1.1122524295845385E-2</v>
      </c>
      <c r="P24" s="20">
        <f t="shared" si="9"/>
        <v>-0.21018130233821219</v>
      </c>
    </row>
    <row r="25" spans="1:16" x14ac:dyDescent="0.25">
      <c r="D25" s="22">
        <v>6.3888888888888898E-2</v>
      </c>
      <c r="E25" s="11">
        <v>58.195593992816647</v>
      </c>
      <c r="F25" s="11">
        <f t="shared" si="8"/>
        <v>0.11381175752146944</v>
      </c>
      <c r="G25" s="11">
        <f t="shared" si="0"/>
        <v>1.7427498339034016E-2</v>
      </c>
      <c r="H25" s="11">
        <f t="shared" si="1"/>
        <v>2.2894261414740935E-2</v>
      </c>
      <c r="I25" s="11">
        <f t="shared" si="2"/>
        <v>0.76121688414953481</v>
      </c>
      <c r="J25" s="11">
        <f t="shared" si="3"/>
        <v>0.26369016469861645</v>
      </c>
      <c r="K25" s="11">
        <f t="shared" si="4"/>
        <v>-1.306897004169473E-2</v>
      </c>
      <c r="L25" s="11">
        <f t="shared" si="5"/>
        <v>-0.76055647445075059</v>
      </c>
      <c r="M25" s="11">
        <f t="shared" si="6"/>
        <v>0.61067806727360363</v>
      </c>
      <c r="N25" s="11">
        <f>BSCall(E25,$B$3, $B$6 - D25,$B$8,$B$5) - BSPut(E25,$B$4, $B$7 - D25,$B$8, $B$5)</f>
        <v>0.12375341154214621</v>
      </c>
      <c r="O25" s="11">
        <f t="shared" si="7"/>
        <v>-9.941654020676774E-3</v>
      </c>
      <c r="P25" s="20">
        <f t="shared" si="9"/>
        <v>-5.1765692970340692E-2</v>
      </c>
    </row>
    <row r="26" spans="1:16" x14ac:dyDescent="0.25">
      <c r="D26" s="22">
        <v>6.6666666666666666E-2</v>
      </c>
      <c r="E26" s="11">
        <v>58.207541088122852</v>
      </c>
      <c r="F26" s="11">
        <f t="shared" si="8"/>
        <v>0.11112985834508654</v>
      </c>
      <c r="G26" s="11">
        <f t="shared" si="0"/>
        <v>1.9856778159778852E-2</v>
      </c>
      <c r="H26" s="11">
        <f t="shared" si="1"/>
        <v>2.2866093550240111E-2</v>
      </c>
      <c r="I26" s="11">
        <f t="shared" si="2"/>
        <v>0.86839398763722542</v>
      </c>
      <c r="J26" s="11">
        <f t="shared" si="3"/>
        <v>0.29790461978594784</v>
      </c>
      <c r="K26" s="11">
        <f t="shared" si="4"/>
        <v>-2.6248786271082757E-2</v>
      </c>
      <c r="L26" s="11">
        <f t="shared" si="5"/>
        <v>-1.5278773053874046</v>
      </c>
      <c r="M26" s="11">
        <f t="shared" si="6"/>
        <v>1.3411025439465434</v>
      </c>
      <c r="N26" s="11">
        <f>BSCall(E26,$B$3, $B$6 - D26,$B$8,$B$5) - BSPut(E26,$B$4, $B$7 - D26,$B$8, $B$5)</f>
        <v>0.12082022941078721</v>
      </c>
      <c r="O26" s="11">
        <f t="shared" si="7"/>
        <v>-9.6903710657006703E-3</v>
      </c>
      <c r="P26" s="20">
        <f t="shared" si="9"/>
        <v>-2.4562456923747228E-2</v>
      </c>
    </row>
    <row r="27" spans="1:16" x14ac:dyDescent="0.25">
      <c r="D27" s="22">
        <v>6.9444444444444448E-2</v>
      </c>
      <c r="E27" s="11">
        <v>58.03950252861366</v>
      </c>
      <c r="F27" s="11">
        <f t="shared" si="8"/>
        <v>9.7498145677504144E-2</v>
      </c>
      <c r="G27" s="11">
        <f t="shared" si="0"/>
        <v>1.9501665091150824E-2</v>
      </c>
      <c r="H27" s="11">
        <f t="shared" si="1"/>
        <v>2.2217137350275664E-2</v>
      </c>
      <c r="I27" s="11">
        <f t="shared" si="2"/>
        <v>0.87777578108679488</v>
      </c>
      <c r="J27" s="11">
        <f t="shared" si="3"/>
        <v>0.28282537113539491</v>
      </c>
      <c r="K27" s="11">
        <f t="shared" si="4"/>
        <v>-2.9111465233685775E-2</v>
      </c>
      <c r="L27" s="11">
        <f t="shared" si="5"/>
        <v>-1.6896149600421542</v>
      </c>
      <c r="M27" s="11">
        <f t="shared" si="6"/>
        <v>1.5042877345842633</v>
      </c>
      <c r="N27" s="11">
        <f>BSCall(E27,$B$3, $B$6 - D27,$B$8,$B$5) - BSPut(E27,$B$4, $B$7 - D27,$B$8, $B$5)</f>
        <v>0.10734308588254776</v>
      </c>
      <c r="O27" s="11">
        <f t="shared" si="7"/>
        <v>-9.8449402050436174E-3</v>
      </c>
      <c r="P27" s="20">
        <f t="shared" si="9"/>
        <v>-1.3165897597050077E-2</v>
      </c>
    </row>
    <row r="28" spans="1:16" x14ac:dyDescent="0.25">
      <c r="D28" s="22">
        <v>7.2222222222222229E-2</v>
      </c>
      <c r="E28" s="11">
        <v>57.283090488391949</v>
      </c>
      <c r="F28" s="11">
        <f t="shared" si="8"/>
        <v>5.846459562362627E-2</v>
      </c>
      <c r="G28" s="11">
        <f t="shared" si="0"/>
        <v>1.0653146564589556E-2</v>
      </c>
      <c r="H28" s="11">
        <f t="shared" si="1"/>
        <v>1.9565600789864558E-2</v>
      </c>
      <c r="I28" s="11">
        <f t="shared" si="2"/>
        <v>0.54448348808732405</v>
      </c>
      <c r="J28" s="11">
        <f t="shared" si="3"/>
        <v>0.1375232157668986</v>
      </c>
      <c r="K28" s="11">
        <f t="shared" si="4"/>
        <v>-2.9929541585374947E-3</v>
      </c>
      <c r="L28" s="11">
        <f t="shared" si="5"/>
        <v>-0.17144566389111229</v>
      </c>
      <c r="M28" s="11">
        <f t="shared" si="6"/>
        <v>9.2387043747839959E-2</v>
      </c>
      <c r="N28" s="11">
        <f>BSCall(E28,$B$3, $B$6 - D28,$B$8,$B$5) - BSPut(E28,$B$4, $B$7 - D28,$B$8, $B$5)</f>
        <v>6.9112504838036326E-2</v>
      </c>
      <c r="O28" s="11">
        <f t="shared" si="7"/>
        <v>-1.0647909214410056E-2</v>
      </c>
      <c r="P28" s="20">
        <f t="shared" si="9"/>
        <v>-3.9408293252641488E-2</v>
      </c>
    </row>
    <row r="29" spans="1:16" x14ac:dyDescent="0.25">
      <c r="D29" s="22">
        <v>7.4999999999999997E-2</v>
      </c>
      <c r="E29" s="11">
        <v>57.760090090276314</v>
      </c>
      <c r="F29" s="11">
        <f t="shared" si="8"/>
        <v>7.6435190627744343E-2</v>
      </c>
      <c r="G29" s="11">
        <f t="shared" si="0"/>
        <v>1.91182270195304E-2</v>
      </c>
      <c r="H29" s="11">
        <f t="shared" si="1"/>
        <v>2.1103072135223652E-2</v>
      </c>
      <c r="I29" s="11">
        <f t="shared" si="2"/>
        <v>0.90594520537224066</v>
      </c>
      <c r="J29" s="11">
        <f t="shared" si="3"/>
        <v>0.2610887514791419</v>
      </c>
      <c r="K29" s="11">
        <f t="shared" si="4"/>
        <v>-3.4381824021978931E-2</v>
      </c>
      <c r="L29" s="11">
        <f t="shared" si="5"/>
        <v>-1.9858972529775294</v>
      </c>
      <c r="M29" s="11">
        <f t="shared" si="6"/>
        <v>1.8012436921261319</v>
      </c>
      <c r="N29" s="11">
        <f>BSCall(E29,$B$3, $B$6 - D29,$B$8,$B$5) - BSPut(E29,$B$4, $B$7 - D29,$B$8, $B$5)</f>
        <v>8.6043506248243223E-2</v>
      </c>
      <c r="O29" s="11">
        <f t="shared" si="7"/>
        <v>-9.6083156204988807E-3</v>
      </c>
      <c r="P29" s="20">
        <f t="shared" si="9"/>
        <v>-4.4413225985333551E-2</v>
      </c>
    </row>
    <row r="30" spans="1:16" x14ac:dyDescent="0.25">
      <c r="D30" s="22">
        <v>7.7777777777777779E-2</v>
      </c>
      <c r="E30" s="11">
        <v>57.700957668415228</v>
      </c>
      <c r="F30" s="11">
        <f t="shared" si="8"/>
        <v>7.0214453575652591E-2</v>
      </c>
      <c r="G30" s="11">
        <f t="shared" si="0"/>
        <v>1.8775181689984256E-2</v>
      </c>
      <c r="H30" s="11">
        <f t="shared" si="1"/>
        <v>2.0818732346919163E-2</v>
      </c>
      <c r="I30" s="11">
        <f t="shared" si="2"/>
        <v>0.90184077383379591</v>
      </c>
      <c r="J30" s="11">
        <f t="shared" si="3"/>
        <v>0.25160975782786194</v>
      </c>
      <c r="K30" s="11">
        <f t="shared" si="4"/>
        <v>-3.4768843557343027E-2</v>
      </c>
      <c r="L30" s="11">
        <f t="shared" si="5"/>
        <v>-2.0061955702820016</v>
      </c>
      <c r="M30" s="11">
        <f t="shared" si="6"/>
        <v>1.8248002660297922</v>
      </c>
      <c r="N30" s="11">
        <f>BSCall(E30,$B$3, $B$6 - D30,$B$8,$B$5) - BSPut(E30,$B$4, $B$7 - D30,$B$8, $B$5)</f>
        <v>7.9844936194932034E-2</v>
      </c>
      <c r="O30" s="11">
        <f t="shared" si="7"/>
        <v>-9.6304826192794429E-3</v>
      </c>
      <c r="P30" s="20">
        <f t="shared" si="9"/>
        <v>-1.010935448805993E-2</v>
      </c>
    </row>
    <row r="31" spans="1:16" x14ac:dyDescent="0.25">
      <c r="D31" s="22">
        <v>8.0555555555555561E-2</v>
      </c>
      <c r="E31" s="11">
        <v>58.120848241021889</v>
      </c>
      <c r="F31" s="11">
        <f t="shared" si="8"/>
        <v>8.574657538712982E-2</v>
      </c>
      <c r="G31" s="11">
        <f t="shared" ref="G31:G62" si="10">BSGreeks(E31,$B$3,$B$6 - D31,$B$8, $B$5,$G$1)</f>
        <v>2.1274682592653225E-2</v>
      </c>
      <c r="H31" s="11">
        <f t="shared" si="1"/>
        <v>2.2198795232471608E-2</v>
      </c>
      <c r="I31" s="11">
        <f t="shared" si="2"/>
        <v>0.95837104535895601</v>
      </c>
      <c r="J31" s="11">
        <f t="shared" si="3"/>
        <v>0.29931523000348814</v>
      </c>
      <c r="K31" s="11">
        <f t="shared" ref="K31:K62" si="11">BSGreeks(E31,$B$3,$B$6 - D31,$B$8, $B$5,$K$1) - I31 *BSGreeks(E31,$B$13,$B$14 - D31,$B$8, $B$5,$K$1)</f>
        <v>-4.0472908973899123E-2</v>
      </c>
      <c r="L31" s="11">
        <f t="shared" si="5"/>
        <v>-2.3523198003446839</v>
      </c>
      <c r="M31" s="11">
        <f t="shared" si="6"/>
        <v>2.1387511457283255</v>
      </c>
      <c r="N31" s="11">
        <f t="shared" ref="N31:N62" si="12">BSCall(E31,$B$3, $B$6 - D31,$B$8,$B$5)</f>
        <v>9.516020844787404E-2</v>
      </c>
      <c r="O31" s="11">
        <f t="shared" si="7"/>
        <v>-9.4136330607442198E-3</v>
      </c>
      <c r="P31" s="20">
        <f t="shared" si="9"/>
        <v>-1.5806731963046008E-2</v>
      </c>
    </row>
    <row r="32" spans="1:16" x14ac:dyDescent="0.25">
      <c r="D32" s="22">
        <v>8.3333333333333343E-2</v>
      </c>
      <c r="E32" s="11">
        <v>58.272458560956949</v>
      </c>
      <c r="F32" s="11">
        <f t="shared" si="8"/>
        <v>8.9216814426028801E-2</v>
      </c>
      <c r="G32" s="11">
        <f t="shared" si="10"/>
        <v>2.2000677856851406E-2</v>
      </c>
      <c r="H32" s="11">
        <f t="shared" si="1"/>
        <v>2.265656140963556E-2</v>
      </c>
      <c r="I32" s="11">
        <f t="shared" si="2"/>
        <v>0.9710510548831468</v>
      </c>
      <c r="J32" s="11">
        <f t="shared" si="3"/>
        <v>0.31291254198251339</v>
      </c>
      <c r="K32" s="11">
        <f t="shared" si="11"/>
        <v>-4.2368638019687509E-2</v>
      </c>
      <c r="L32" s="11">
        <f t="shared" si="5"/>
        <v>-2.4689247032864254</v>
      </c>
      <c r="M32" s="11">
        <f t="shared" si="6"/>
        <v>2.2452289757299408</v>
      </c>
      <c r="N32" s="11">
        <f t="shared" si="12"/>
        <v>9.8553582689470037E-2</v>
      </c>
      <c r="O32" s="11">
        <f t="shared" si="7"/>
        <v>-9.3367682634412363E-3</v>
      </c>
      <c r="P32" s="20">
        <f t="shared" si="9"/>
        <v>-1.1504239444389311E-2</v>
      </c>
    </row>
    <row r="33" spans="4:16" x14ac:dyDescent="0.25">
      <c r="D33" s="22">
        <v>8.611111111111111E-2</v>
      </c>
      <c r="E33" s="11">
        <v>58.867801824646556</v>
      </c>
      <c r="F33" s="11">
        <f t="shared" si="8"/>
        <v>0.11877544266005025</v>
      </c>
      <c r="G33" s="11">
        <f t="shared" si="10"/>
        <v>2.6153101916022527E-2</v>
      </c>
      <c r="H33" s="11">
        <f t="shared" si="1"/>
        <v>2.4710245432292645E-2</v>
      </c>
      <c r="I33" s="11">
        <f t="shared" si="2"/>
        <v>1.0583910219622619</v>
      </c>
      <c r="J33" s="11">
        <f t="shared" si="3"/>
        <v>0.40065815738137023</v>
      </c>
      <c r="K33" s="11">
        <f t="shared" si="11"/>
        <v>-5.2082057647007227E-2</v>
      </c>
      <c r="L33" s="11">
        <f t="shared" si="5"/>
        <v>-3.0659562481838392</v>
      </c>
      <c r="M33" s="11">
        <f t="shared" si="6"/>
        <v>2.7840735334625193</v>
      </c>
      <c r="N33" s="11">
        <f t="shared" si="12"/>
        <v>0.12780773517213193</v>
      </c>
      <c r="O33" s="11">
        <f t="shared" si="7"/>
        <v>-9.0322925120816799E-3</v>
      </c>
      <c r="P33" s="20">
        <f t="shared" si="9"/>
        <v>-2.0003452059279642E-2</v>
      </c>
    </row>
    <row r="34" spans="4:16" x14ac:dyDescent="0.25">
      <c r="D34" s="22">
        <v>8.8888888888888892E-2</v>
      </c>
      <c r="E34" s="11">
        <v>57.579674577988953</v>
      </c>
      <c r="F34" s="11">
        <f t="shared" si="8"/>
        <v>5.321131945906421E-2</v>
      </c>
      <c r="G34" s="11">
        <f t="shared" si="10"/>
        <v>1.6615862278093613E-2</v>
      </c>
      <c r="H34" s="11">
        <f t="shared" ref="H34:H65" si="13">BSGreeks(E34,$B$13,$B$14 - D34,$B$8, $B$5,$G$1)</f>
        <v>2.0058120533566495E-2</v>
      </c>
      <c r="I34" s="11">
        <f t="shared" ref="I34:I65" si="14">G34/H34</f>
        <v>0.82838580266219886</v>
      </c>
      <c r="J34" s="11">
        <f t="shared" ref="J34:J65" si="15">I34*BSCall(E34,$B$13,$B$14 - D34,$B$8,$B$5)</f>
        <v>0.20966695879842209</v>
      </c>
      <c r="K34" s="11">
        <f t="shared" si="11"/>
        <v>-3.1197052681318199E-2</v>
      </c>
      <c r="L34" s="11">
        <f t="shared" ref="L34:L65" si="16">K34 * E34</f>
        <v>-1.7963161411826796</v>
      </c>
      <c r="M34" s="11">
        <f t="shared" ref="M34:M65" si="17">F34 - L34 - J34</f>
        <v>1.6398605018433217</v>
      </c>
      <c r="N34" s="11">
        <f t="shared" si="12"/>
        <v>6.1723938423215878E-2</v>
      </c>
      <c r="O34" s="11">
        <f t="shared" ref="O34:O65" si="18">F34 - N34</f>
        <v>-8.5126189641516678E-3</v>
      </c>
      <c r="P34" s="20">
        <f t="shared" si="9"/>
        <v>-3.1814579695849401E-2</v>
      </c>
    </row>
    <row r="35" spans="4:16" x14ac:dyDescent="0.25">
      <c r="D35" s="22">
        <v>9.1666666666666674E-2</v>
      </c>
      <c r="E35" s="11">
        <v>57.093557824180529</v>
      </c>
      <c r="F35" s="11">
        <f t="shared" ref="F35:F66" si="19">E35 * K34 + I34*BSCall(E35,$B$13,$B$14-D35,$B$8,$B$5) +  M34 * EXP($B$8*(D35 - D34))</f>
        <v>3.5412692957018876E-2</v>
      </c>
      <c r="G35" s="11">
        <f t="shared" si="10"/>
        <v>1.3402478789497916E-2</v>
      </c>
      <c r="H35" s="11">
        <f t="shared" si="13"/>
        <v>1.8296245240542405E-2</v>
      </c>
      <c r="I35" s="11">
        <f t="shared" si="14"/>
        <v>0.73252618847716044</v>
      </c>
      <c r="J35" s="11">
        <f t="shared" si="15"/>
        <v>0.15619066393724093</v>
      </c>
      <c r="K35" s="11">
        <f t="shared" si="11"/>
        <v>-2.4639688300302696E-2</v>
      </c>
      <c r="L35" s="11">
        <f t="shared" si="16"/>
        <v>-1.4067674687431164</v>
      </c>
      <c r="M35" s="11">
        <f t="shared" si="17"/>
        <v>1.2859894977628943</v>
      </c>
      <c r="N35" s="11">
        <f t="shared" si="12"/>
        <v>4.4156671001848481E-2</v>
      </c>
      <c r="O35" s="11">
        <f t="shared" si="18"/>
        <v>-8.7439780448296048E-3</v>
      </c>
      <c r="P35" s="20">
        <f t="shared" ref="P35:P66" si="20">F35 - N35 - $B$17*(ABS(K35-K34) + ABS(M35-M34))</f>
        <v>-1.5952545414058463E-2</v>
      </c>
    </row>
    <row r="36" spans="4:16" x14ac:dyDescent="0.25">
      <c r="D36" s="22">
        <v>9.4444444444444442E-2</v>
      </c>
      <c r="E36" s="11">
        <v>56.225284230382982</v>
      </c>
      <c r="F36" s="11">
        <f t="shared" si="19"/>
        <v>1.5381320823992572E-2</v>
      </c>
      <c r="G36" s="11">
        <f t="shared" si="10"/>
        <v>8.8855030352675037E-3</v>
      </c>
      <c r="H36" s="11">
        <f t="shared" si="13"/>
        <v>1.5345078724554916E-2</v>
      </c>
      <c r="I36" s="11">
        <f t="shared" si="14"/>
        <v>0.57904577713564176</v>
      </c>
      <c r="J36" s="11">
        <f t="shared" si="15"/>
        <v>9.0674255550912838E-2</v>
      </c>
      <c r="K36" s="11">
        <f t="shared" si="11"/>
        <v>-1.5647056530130217E-2</v>
      </c>
      <c r="L36" s="11">
        <f t="shared" si="16"/>
        <v>-0.87976020077544159</v>
      </c>
      <c r="M36" s="11">
        <f t="shared" si="17"/>
        <v>0.80446726604852137</v>
      </c>
      <c r="N36" s="11">
        <f t="shared" si="12"/>
        <v>2.4220044304461692E-2</v>
      </c>
      <c r="O36" s="11">
        <f t="shared" si="18"/>
        <v>-8.8387234804691191E-3</v>
      </c>
      <c r="P36" s="20">
        <f t="shared" si="20"/>
        <v>-1.8649020750160027E-2</v>
      </c>
    </row>
    <row r="37" spans="4:16" x14ac:dyDescent="0.25">
      <c r="D37" s="22">
        <v>9.7222222222222224E-2</v>
      </c>
      <c r="E37" s="11">
        <v>55.486309919921183</v>
      </c>
      <c r="F37" s="11">
        <f t="shared" si="19"/>
        <v>4.7614287616624118E-3</v>
      </c>
      <c r="G37" s="11">
        <f t="shared" si="10"/>
        <v>5.9287213414317497E-3</v>
      </c>
      <c r="H37" s="11">
        <f t="shared" si="13"/>
        <v>1.2985444349981641E-2</v>
      </c>
      <c r="I37" s="11">
        <f t="shared" si="14"/>
        <v>0.45656668972133646</v>
      </c>
      <c r="J37" s="11">
        <f t="shared" si="15"/>
        <v>5.3976137241265543E-2</v>
      </c>
      <c r="K37" s="11">
        <f t="shared" si="11"/>
        <v>-1.0054632613157193E-2</v>
      </c>
      <c r="L37" s="11">
        <f t="shared" si="16"/>
        <v>-0.55789446130458697</v>
      </c>
      <c r="M37" s="11">
        <f t="shared" si="17"/>
        <v>0.50867975282498379</v>
      </c>
      <c r="N37" s="11">
        <f t="shared" si="12"/>
        <v>1.3713524135887951E-2</v>
      </c>
      <c r="O37" s="11">
        <f t="shared" si="18"/>
        <v>-8.9520953742255396E-3</v>
      </c>
      <c r="P37" s="20">
        <f t="shared" si="20"/>
        <v>-1.4979694117035751E-2</v>
      </c>
    </row>
    <row r="38" spans="4:16" x14ac:dyDescent="0.25">
      <c r="D38" s="22">
        <v>0.1</v>
      </c>
      <c r="E38" s="11">
        <v>55.234214583458105</v>
      </c>
      <c r="F38" s="11">
        <f t="shared" si="19"/>
        <v>1.5623343967463565E-3</v>
      </c>
      <c r="G38" s="11">
        <f t="shared" si="10"/>
        <v>4.9479704713129638E-3</v>
      </c>
      <c r="H38" s="11">
        <f t="shared" si="13"/>
        <v>1.2152940814489087E-2</v>
      </c>
      <c r="I38" s="11">
        <f t="shared" si="14"/>
        <v>0.40714182244793379</v>
      </c>
      <c r="J38" s="11">
        <f t="shared" si="15"/>
        <v>4.2999764098294452E-2</v>
      </c>
      <c r="K38" s="11">
        <f t="shared" si="11"/>
        <v>-8.3024928317456375E-3</v>
      </c>
      <c r="L38" s="11">
        <f t="shared" si="16"/>
        <v>-0.45858167064626126</v>
      </c>
      <c r="M38" s="11">
        <f t="shared" si="17"/>
        <v>0.41714424094471314</v>
      </c>
      <c r="N38" s="11">
        <f t="shared" si="12"/>
        <v>1.0596080272609823E-2</v>
      </c>
      <c r="O38" s="11">
        <f t="shared" si="18"/>
        <v>-9.0337458758634661E-3</v>
      </c>
      <c r="P38" s="20">
        <f t="shared" si="20"/>
        <v>-1.0899498909097111E-2</v>
      </c>
    </row>
    <row r="39" spans="4:16" x14ac:dyDescent="0.25">
      <c r="D39" s="22">
        <v>0.10277777777777779</v>
      </c>
      <c r="E39" s="11">
        <v>54.576022931037059</v>
      </c>
      <c r="F39" s="11">
        <f t="shared" si="19"/>
        <v>-3.1868626800525823E-3</v>
      </c>
      <c r="G39" s="11">
        <f t="shared" si="10"/>
        <v>3.2129755376906688E-3</v>
      </c>
      <c r="H39" s="11">
        <f t="shared" si="13"/>
        <v>1.0260917991025393E-2</v>
      </c>
      <c r="I39" s="11">
        <f t="shared" si="14"/>
        <v>0.3131274940995401</v>
      </c>
      <c r="J39" s="11">
        <f t="shared" si="15"/>
        <v>2.5200978727102898E-2</v>
      </c>
      <c r="K39" s="11">
        <f t="shared" si="11"/>
        <v>-5.2075488828064913E-3</v>
      </c>
      <c r="L39" s="11">
        <f t="shared" si="16"/>
        <v>-0.28420730724254351</v>
      </c>
      <c r="M39" s="11">
        <f t="shared" si="17"/>
        <v>0.255819465835388</v>
      </c>
      <c r="N39" s="11">
        <f t="shared" si="12"/>
        <v>5.9280484117305429E-3</v>
      </c>
      <c r="O39" s="11">
        <f t="shared" si="18"/>
        <v>-9.1149110917831261E-3</v>
      </c>
      <c r="P39" s="20">
        <f t="shared" si="20"/>
        <v>-1.2403305472948411E-2</v>
      </c>
    </row>
    <row r="40" spans="4:16" x14ac:dyDescent="0.25">
      <c r="D40" s="22">
        <v>0.10555555555555556</v>
      </c>
      <c r="E40" s="11">
        <v>52.570530187674507</v>
      </c>
      <c r="F40" s="11">
        <f t="shared" si="19"/>
        <v>-7.2614554413631405E-3</v>
      </c>
      <c r="G40" s="11">
        <f t="shared" si="10"/>
        <v>7.6255570053780186E-4</v>
      </c>
      <c r="H40" s="11">
        <f t="shared" si="13"/>
        <v>5.779214789243846E-3</v>
      </c>
      <c r="I40" s="11">
        <f t="shared" si="14"/>
        <v>0.13194797707762215</v>
      </c>
      <c r="J40" s="11">
        <f t="shared" si="15"/>
        <v>4.4967573362474948E-3</v>
      </c>
      <c r="K40" s="11">
        <f t="shared" si="11"/>
        <v>-1.0999831329923779E-3</v>
      </c>
      <c r="L40" s="11">
        <f t="shared" si="16"/>
        <v>-5.7826696498908585E-2</v>
      </c>
      <c r="M40" s="11">
        <f t="shared" si="17"/>
        <v>4.6068483721297952E-2</v>
      </c>
      <c r="N40" s="11">
        <f t="shared" si="12"/>
        <v>9.6557610124857398E-4</v>
      </c>
      <c r="O40" s="11">
        <f t="shared" si="18"/>
        <v>-8.2270315426117152E-3</v>
      </c>
      <c r="P40" s="20">
        <f t="shared" si="20"/>
        <v>-1.2504202499889799E-2</v>
      </c>
    </row>
    <row r="41" spans="4:16" x14ac:dyDescent="0.25">
      <c r="D41" s="22">
        <v>0.10833333333333334</v>
      </c>
      <c r="E41" s="11">
        <v>52.624047320726838</v>
      </c>
      <c r="F41" s="11">
        <f t="shared" si="19"/>
        <v>-7.3332194409171172E-3</v>
      </c>
      <c r="G41" s="11">
        <f t="shared" si="10"/>
        <v>7.2642804027653156E-4</v>
      </c>
      <c r="H41" s="11">
        <f t="shared" si="13"/>
        <v>5.7895189966201098E-3</v>
      </c>
      <c r="I41" s="11">
        <f t="shared" si="14"/>
        <v>0.12547295219181703</v>
      </c>
      <c r="J41" s="11">
        <f t="shared" si="15"/>
        <v>4.2618796773438257E-3</v>
      </c>
      <c r="K41" s="11">
        <f t="shared" si="11"/>
        <v>-1.0544873774867287E-3</v>
      </c>
      <c r="L41" s="11">
        <f t="shared" si="16"/>
        <v>-5.5491393651970755E-2</v>
      </c>
      <c r="M41" s="11">
        <f t="shared" si="17"/>
        <v>4.3896294533709815E-2</v>
      </c>
      <c r="N41" s="11">
        <f t="shared" si="12"/>
        <v>8.9571433786877629E-4</v>
      </c>
      <c r="O41" s="11">
        <f t="shared" si="18"/>
        <v>-8.2289337787858942E-3</v>
      </c>
      <c r="P41" s="20">
        <f t="shared" si="20"/>
        <v>-8.2732874776477693E-3</v>
      </c>
    </row>
    <row r="42" spans="4:16" x14ac:dyDescent="0.25">
      <c r="D42" s="22">
        <v>0.11111111111111112</v>
      </c>
      <c r="E42" s="11">
        <v>52.850730858595</v>
      </c>
      <c r="F42" s="11">
        <f t="shared" si="19"/>
        <v>-7.2456753620191369E-3</v>
      </c>
      <c r="G42" s="11">
        <f t="shared" si="10"/>
        <v>7.9011798519685705E-4</v>
      </c>
      <c r="H42" s="11">
        <f t="shared" si="13"/>
        <v>6.1176311307984598E-3</v>
      </c>
      <c r="I42" s="11">
        <f t="shared" si="14"/>
        <v>0.12915423769489884</v>
      </c>
      <c r="J42" s="11">
        <f t="shared" si="15"/>
        <v>4.7210725083682717E-3</v>
      </c>
      <c r="K42" s="11">
        <f t="shared" si="11"/>
        <v>-1.1664709240737047E-3</v>
      </c>
      <c r="L42" s="11">
        <f t="shared" si="16"/>
        <v>-6.164884086259597E-2</v>
      </c>
      <c r="M42" s="11">
        <f t="shared" si="17"/>
        <v>4.9682092992208562E-2</v>
      </c>
      <c r="N42" s="11">
        <f t="shared" si="12"/>
        <v>9.7605182454199363E-4</v>
      </c>
      <c r="O42" s="11">
        <f t="shared" si="18"/>
        <v>-8.221727186561131E-3</v>
      </c>
      <c r="P42" s="20">
        <f t="shared" si="20"/>
        <v>-8.3396828266628451E-3</v>
      </c>
    </row>
    <row r="43" spans="4:16" x14ac:dyDescent="0.25">
      <c r="D43" s="22">
        <v>0.11388888888888889</v>
      </c>
      <c r="E43" s="11">
        <v>52.914667510325756</v>
      </c>
      <c r="F43" s="11">
        <f t="shared" si="19"/>
        <v>-7.3123334180171598E-3</v>
      </c>
      <c r="G43" s="11">
        <f t="shared" si="10"/>
        <v>7.5688849666371693E-4</v>
      </c>
      <c r="H43" s="11">
        <f t="shared" si="13"/>
        <v>6.148429116777941E-3</v>
      </c>
      <c r="I43" s="11">
        <f t="shared" si="14"/>
        <v>0.12310274417872141</v>
      </c>
      <c r="J43" s="11">
        <f t="shared" si="15"/>
        <v>4.5053140068418472E-3</v>
      </c>
      <c r="K43" s="11">
        <f t="shared" si="11"/>
        <v>-1.1253062269762771E-3</v>
      </c>
      <c r="L43" s="11">
        <f t="shared" si="16"/>
        <v>-5.9545204847748875E-2</v>
      </c>
      <c r="M43" s="11">
        <f t="shared" si="17"/>
        <v>4.7727557422889866E-2</v>
      </c>
      <c r="N43" s="11">
        <f t="shared" si="12"/>
        <v>9.108948382903746E-4</v>
      </c>
      <c r="O43" s="11">
        <f t="shared" si="18"/>
        <v>-8.2232282563075351E-3</v>
      </c>
      <c r="P43" s="20">
        <f t="shared" si="20"/>
        <v>-8.2631422616358582E-3</v>
      </c>
    </row>
    <row r="44" spans="4:16" x14ac:dyDescent="0.25">
      <c r="D44" s="22">
        <v>0.11666666666666667</v>
      </c>
      <c r="E44" s="11">
        <v>53.443546444268286</v>
      </c>
      <c r="F44" s="11">
        <f t="shared" si="19"/>
        <v>-6.884819186476189E-3</v>
      </c>
      <c r="G44" s="11">
        <f t="shared" si="10"/>
        <v>1.0378769836051293E-3</v>
      </c>
      <c r="H44" s="11">
        <f t="shared" si="13"/>
        <v>7.10538132891544E-3</v>
      </c>
      <c r="I44" s="11">
        <f t="shared" si="14"/>
        <v>0.14606914612470911</v>
      </c>
      <c r="J44" s="11">
        <f t="shared" si="15"/>
        <v>6.5567776312249228E-3</v>
      </c>
      <c r="K44" s="11">
        <f t="shared" si="11"/>
        <v>-1.5989247637336107E-3</v>
      </c>
      <c r="L44" s="11">
        <f t="shared" si="16"/>
        <v>-8.5452209871487925E-2</v>
      </c>
      <c r="M44" s="11">
        <f t="shared" si="17"/>
        <v>7.2010613053786809E-2</v>
      </c>
      <c r="N44" s="11">
        <f t="shared" si="12"/>
        <v>1.3164495702212811E-3</v>
      </c>
      <c r="O44" s="11">
        <f t="shared" si="18"/>
        <v>-8.2012687566974697E-3</v>
      </c>
      <c r="P44" s="20">
        <f t="shared" si="20"/>
        <v>-8.6964022400505547E-3</v>
      </c>
    </row>
    <row r="45" spans="4:16" x14ac:dyDescent="0.25">
      <c r="D45" s="22">
        <v>0.11944444444444445</v>
      </c>
      <c r="E45" s="11">
        <v>52.661494518759234</v>
      </c>
      <c r="F45" s="11">
        <f t="shared" si="19"/>
        <v>-7.6740983976175264E-3</v>
      </c>
      <c r="G45" s="11">
        <f t="shared" si="10"/>
        <v>5.0402316218758371E-4</v>
      </c>
      <c r="H45" s="11">
        <f t="shared" si="13"/>
        <v>5.5108862570073611E-3</v>
      </c>
      <c r="I45" s="11">
        <f t="shared" si="14"/>
        <v>9.1459547281835779E-2</v>
      </c>
      <c r="J45" s="11">
        <f t="shared" si="15"/>
        <v>2.8262997942115403E-3</v>
      </c>
      <c r="K45" s="11">
        <f t="shared" si="11"/>
        <v>-7.4240947711713072E-4</v>
      </c>
      <c r="L45" s="11">
        <f t="shared" si="16"/>
        <v>-3.909639260987869E-2</v>
      </c>
      <c r="M45" s="11">
        <f t="shared" si="17"/>
        <v>2.8595994418049622E-2</v>
      </c>
      <c r="N45" s="11">
        <f t="shared" si="12"/>
        <v>5.3844257843705995E-4</v>
      </c>
      <c r="O45" s="11">
        <f t="shared" si="18"/>
        <v>-8.2125409760545869E-3</v>
      </c>
      <c r="P45" s="20">
        <f t="shared" si="20"/>
        <v>-9.09796365450166E-3</v>
      </c>
    </row>
    <row r="46" spans="4:16" x14ac:dyDescent="0.25">
      <c r="D46" s="22">
        <v>0.12222222222222223</v>
      </c>
      <c r="E46" s="11">
        <v>52.180434475911028</v>
      </c>
      <c r="F46" s="11">
        <f t="shared" si="19"/>
        <v>-7.9455624687078084E-3</v>
      </c>
      <c r="G46" s="11">
        <f t="shared" si="10"/>
        <v>2.9576131240975721E-4</v>
      </c>
      <c r="H46" s="11">
        <f t="shared" si="13"/>
        <v>4.6305517534252858E-3</v>
      </c>
      <c r="I46" s="11">
        <f t="shared" si="14"/>
        <v>6.387172159148817E-2</v>
      </c>
      <c r="J46" s="11">
        <f t="shared" si="15"/>
        <v>1.533893500162942E-3</v>
      </c>
      <c r="K46" s="11">
        <f t="shared" si="11"/>
        <v>-4.2413231655176692E-4</v>
      </c>
      <c r="L46" s="11">
        <f t="shared" si="16"/>
        <v>-2.213140855294583E-2</v>
      </c>
      <c r="M46" s="11">
        <f t="shared" si="17"/>
        <v>1.2651952584075079E-2</v>
      </c>
      <c r="N46" s="11">
        <f t="shared" si="12"/>
        <v>2.8009520210637732E-4</v>
      </c>
      <c r="O46" s="11">
        <f t="shared" si="18"/>
        <v>-8.2256576708141863E-3</v>
      </c>
      <c r="P46" s="20">
        <f t="shared" si="20"/>
        <v>-8.5509040507049851E-3</v>
      </c>
    </row>
    <row r="47" spans="4:16" x14ac:dyDescent="0.25">
      <c r="D47" s="22">
        <v>0.125</v>
      </c>
      <c r="E47" s="11">
        <v>52.438331860961519</v>
      </c>
      <c r="F47" s="11">
        <f t="shared" si="19"/>
        <v>-7.908303234158998E-3</v>
      </c>
      <c r="G47" s="11">
        <f t="shared" si="10"/>
        <v>3.3011235101894565E-4</v>
      </c>
      <c r="H47" s="11">
        <f t="shared" si="13"/>
        <v>4.9611701027646457E-3</v>
      </c>
      <c r="I47" s="11">
        <f t="shared" si="14"/>
        <v>6.6539212359396485E-2</v>
      </c>
      <c r="J47" s="11">
        <f t="shared" si="15"/>
        <v>1.7501341645489703E-3</v>
      </c>
      <c r="K47" s="11">
        <f t="shared" si="11"/>
        <v>-4.825141314702891E-4</v>
      </c>
      <c r="L47" s="11">
        <f t="shared" si="16"/>
        <v>-2.5302236153642636E-2</v>
      </c>
      <c r="M47" s="11">
        <f t="shared" si="17"/>
        <v>1.5643798754934664E-2</v>
      </c>
      <c r="N47" s="11">
        <f t="shared" si="12"/>
        <v>3.1348190583598565E-4</v>
      </c>
      <c r="O47" s="11">
        <f t="shared" si="18"/>
        <v>-8.2217851399949832E-3</v>
      </c>
      <c r="P47" s="20">
        <f t="shared" si="20"/>
        <v>-8.2827896997105452E-3</v>
      </c>
    </row>
    <row r="48" spans="4:16" x14ac:dyDescent="0.25">
      <c r="D48" s="22">
        <v>0.1277777777777778</v>
      </c>
      <c r="E48" s="11">
        <v>52.377075834863646</v>
      </c>
      <c r="F48" s="11">
        <f t="shared" si="19"/>
        <v>-7.978123090399615E-3</v>
      </c>
      <c r="G48" s="11">
        <f t="shared" si="10"/>
        <v>2.7526282084895702E-4</v>
      </c>
      <c r="H48" s="11">
        <f t="shared" si="13"/>
        <v>4.7785956567022256E-3</v>
      </c>
      <c r="I48" s="11">
        <f t="shared" si="14"/>
        <v>5.7603287790815028E-2</v>
      </c>
      <c r="J48" s="11">
        <f t="shared" si="15"/>
        <v>1.4284660051491461E-3</v>
      </c>
      <c r="K48" s="11">
        <f t="shared" si="11"/>
        <v>-4.0202943063282642E-4</v>
      </c>
      <c r="L48" s="11">
        <f t="shared" si="16"/>
        <v>-2.1057125976102604E-2</v>
      </c>
      <c r="M48" s="11">
        <f t="shared" si="17"/>
        <v>1.1650536880553843E-2</v>
      </c>
      <c r="N48" s="11">
        <f t="shared" si="12"/>
        <v>2.4818501870177022E-4</v>
      </c>
      <c r="O48" s="11">
        <f t="shared" si="18"/>
        <v>-8.2263081091013858E-3</v>
      </c>
      <c r="P48" s="20">
        <f t="shared" si="20"/>
        <v>-8.3077830406057523E-3</v>
      </c>
    </row>
    <row r="49" spans="4:16" x14ac:dyDescent="0.25">
      <c r="D49" s="22">
        <v>0.13055555555555556</v>
      </c>
      <c r="E49" s="11">
        <v>52.177098137252059</v>
      </c>
      <c r="F49" s="11">
        <f t="shared" si="19"/>
        <v>-8.066449294769143E-3</v>
      </c>
      <c r="G49" s="11">
        <f t="shared" si="10"/>
        <v>1.9907225072837535E-4</v>
      </c>
      <c r="H49" s="11">
        <f t="shared" si="13"/>
        <v>4.3859035074044553E-3</v>
      </c>
      <c r="I49" s="11">
        <f t="shared" si="14"/>
        <v>4.5389108627741974E-2</v>
      </c>
      <c r="J49" s="11">
        <f t="shared" si="15"/>
        <v>9.9221946485481514E-4</v>
      </c>
      <c r="K49" s="11">
        <f t="shared" si="11"/>
        <v>-2.8799197985272768E-4</v>
      </c>
      <c r="L49" s="11">
        <f t="shared" si="16"/>
        <v>-1.5026585795517289E-2</v>
      </c>
      <c r="M49" s="11">
        <f t="shared" si="17"/>
        <v>5.9679170358933314E-3</v>
      </c>
      <c r="N49" s="11">
        <f t="shared" si="12"/>
        <v>1.6630312587644571E-4</v>
      </c>
      <c r="O49" s="11">
        <f t="shared" si="18"/>
        <v>-8.232752420645589E-3</v>
      </c>
      <c r="P49" s="20">
        <f t="shared" si="20"/>
        <v>-8.3486855665544004E-3</v>
      </c>
    </row>
    <row r="50" spans="4:16" x14ac:dyDescent="0.25">
      <c r="D50" s="22">
        <v>0.13333333333333333</v>
      </c>
      <c r="E50" s="11">
        <v>51.609339406230895</v>
      </c>
      <c r="F50" s="11">
        <f t="shared" si="19"/>
        <v>-8.1679606583790962E-3</v>
      </c>
      <c r="G50" s="11">
        <f t="shared" si="10"/>
        <v>9.6680140478258044E-5</v>
      </c>
      <c r="H50" s="11">
        <f t="shared" si="13"/>
        <v>3.516904846582662E-3</v>
      </c>
      <c r="I50" s="11">
        <f t="shared" si="14"/>
        <v>2.7490121199099566E-2</v>
      </c>
      <c r="J50" s="11">
        <f t="shared" si="15"/>
        <v>4.4027023116247077E-4</v>
      </c>
      <c r="K50" s="11">
        <f t="shared" si="11"/>
        <v>-1.353363274651551E-4</v>
      </c>
      <c r="L50" s="11">
        <f t="shared" si="16"/>
        <v>-6.9846184581419972E-3</v>
      </c>
      <c r="M50" s="11">
        <f t="shared" si="17"/>
        <v>-1.6236124313995697E-3</v>
      </c>
      <c r="N50" s="11">
        <f t="shared" si="12"/>
        <v>7.0295189973290032E-5</v>
      </c>
      <c r="O50" s="11">
        <f t="shared" si="18"/>
        <v>-8.2382558483523865E-3</v>
      </c>
      <c r="P50" s="20">
        <f t="shared" si="20"/>
        <v>-8.3931395507459965E-3</v>
      </c>
    </row>
    <row r="51" spans="4:16" x14ac:dyDescent="0.25">
      <c r="D51" s="22">
        <v>0.13611111111111113</v>
      </c>
      <c r="E51" s="11">
        <v>51.903813224202182</v>
      </c>
      <c r="F51" s="11">
        <f t="shared" si="19"/>
        <v>-8.155058249760214E-3</v>
      </c>
      <c r="G51" s="11">
        <f t="shared" si="10"/>
        <v>1.1184299275441954E-4</v>
      </c>
      <c r="H51" s="11">
        <f t="shared" si="13"/>
        <v>3.8361562880683681E-3</v>
      </c>
      <c r="I51" s="11">
        <f t="shared" si="14"/>
        <v>2.9154962508249681E-2</v>
      </c>
      <c r="J51" s="11">
        <f t="shared" si="15"/>
        <v>5.2296051995394475E-4</v>
      </c>
      <c r="K51" s="11">
        <f t="shared" si="11"/>
        <v>-1.5997763220660223E-4</v>
      </c>
      <c r="L51" s="11">
        <f t="shared" si="16"/>
        <v>-8.3034491421015936E-3</v>
      </c>
      <c r="M51" s="11">
        <f t="shared" si="17"/>
        <v>-3.7456962761256516E-4</v>
      </c>
      <c r="N51" s="11">
        <f t="shared" si="12"/>
        <v>8.1670538390873437E-5</v>
      </c>
      <c r="O51" s="11">
        <f t="shared" si="18"/>
        <v>-8.2367287881510882E-3</v>
      </c>
      <c r="P51" s="20">
        <f t="shared" si="20"/>
        <v>-8.2622024703216581E-3</v>
      </c>
    </row>
    <row r="52" spans="4:16" x14ac:dyDescent="0.25">
      <c r="D52" s="22">
        <v>0.1388888888888889</v>
      </c>
      <c r="E52" s="11">
        <v>52.708632097345316</v>
      </c>
      <c r="F52" s="11">
        <f t="shared" si="19"/>
        <v>-8.0589818952804208E-3</v>
      </c>
      <c r="G52" s="11">
        <f t="shared" si="10"/>
        <v>2.1672768258345523E-4</v>
      </c>
      <c r="H52" s="11">
        <f t="shared" si="13"/>
        <v>4.9823276271397559E-3</v>
      </c>
      <c r="I52" s="11">
        <f t="shared" si="14"/>
        <v>4.3499283628578599E-2</v>
      </c>
      <c r="J52" s="11">
        <f t="shared" si="15"/>
        <v>1.1157293985398179E-3</v>
      </c>
      <c r="K52" s="11">
        <f t="shared" si="11"/>
        <v>-3.272723277044683E-4</v>
      </c>
      <c r="L52" s="11">
        <f t="shared" si="16"/>
        <v>-1.7250076716616651E-2</v>
      </c>
      <c r="M52" s="11">
        <f t="shared" si="17"/>
        <v>8.0753654227964117E-3</v>
      </c>
      <c r="N52" s="11">
        <f t="shared" si="12"/>
        <v>1.7331655097629079E-4</v>
      </c>
      <c r="O52" s="11">
        <f t="shared" si="18"/>
        <v>-8.2322984462567111E-3</v>
      </c>
      <c r="P52" s="20">
        <f t="shared" si="20"/>
        <v>-8.4046430411748481E-3</v>
      </c>
    </row>
    <row r="53" spans="4:16" x14ac:dyDescent="0.25">
      <c r="D53" s="22">
        <v>0.14166666666666666</v>
      </c>
      <c r="E53" s="11">
        <v>52.753091289932904</v>
      </c>
      <c r="F53" s="11">
        <f t="shared" si="19"/>
        <v>-8.0843805291477694E-3</v>
      </c>
      <c r="G53" s="11">
        <f t="shared" si="10"/>
        <v>1.9447574496980812E-4</v>
      </c>
      <c r="H53" s="11">
        <f t="shared" si="13"/>
        <v>4.9692349460628612E-3</v>
      </c>
      <c r="I53" s="11">
        <f t="shared" si="14"/>
        <v>3.9135952934544138E-2</v>
      </c>
      <c r="J53" s="11">
        <f t="shared" si="15"/>
        <v>9.9372959512151896E-4</v>
      </c>
      <c r="K53" s="11">
        <f t="shared" si="11"/>
        <v>-2.9544075919152367E-4</v>
      </c>
      <c r="L53" s="11">
        <f t="shared" si="16"/>
        <v>-1.5585413340397532E-2</v>
      </c>
      <c r="M53" s="11">
        <f t="shared" si="17"/>
        <v>6.5073032161282445E-3</v>
      </c>
      <c r="N53" s="11">
        <f t="shared" si="12"/>
        <v>1.4952939856615623E-4</v>
      </c>
      <c r="O53" s="11">
        <f t="shared" si="18"/>
        <v>-8.2339099277139258E-3</v>
      </c>
      <c r="P53" s="20">
        <f t="shared" si="20"/>
        <v>-8.2659078032175475E-3</v>
      </c>
    </row>
    <row r="54" spans="4:16" x14ac:dyDescent="0.25">
      <c r="D54" s="22">
        <v>0.14444444444444446</v>
      </c>
      <c r="E54" s="11">
        <v>52.008657251769705</v>
      </c>
      <c r="F54" s="11">
        <f t="shared" si="19"/>
        <v>-8.1891904388191779E-3</v>
      </c>
      <c r="G54" s="11">
        <f t="shared" si="10"/>
        <v>7.4303407991977303E-5</v>
      </c>
      <c r="H54" s="11">
        <f t="shared" si="13"/>
        <v>3.7532565205692456E-3</v>
      </c>
      <c r="I54" s="11">
        <f t="shared" si="14"/>
        <v>1.9797050264155118E-2</v>
      </c>
      <c r="J54" s="11">
        <f t="shared" si="15"/>
        <v>3.3826121090801075E-4</v>
      </c>
      <c r="K54" s="11">
        <f t="shared" si="11"/>
        <v>-1.0795492293207095E-4</v>
      </c>
      <c r="L54" s="11">
        <f t="shared" si="16"/>
        <v>-5.6145905854152918E-3</v>
      </c>
      <c r="M54" s="11">
        <f t="shared" si="17"/>
        <v>-2.912861064311897E-3</v>
      </c>
      <c r="N54" s="11">
        <f t="shared" si="12"/>
        <v>4.792243720050794E-5</v>
      </c>
      <c r="O54" s="11">
        <f t="shared" si="18"/>
        <v>-8.2371128760196852E-3</v>
      </c>
      <c r="P54" s="20">
        <f t="shared" si="20"/>
        <v>-8.4292658783536763E-3</v>
      </c>
    </row>
    <row r="55" spans="4:16" x14ac:dyDescent="0.25">
      <c r="D55" s="22">
        <v>0.14722222222222223</v>
      </c>
      <c r="E55" s="11">
        <v>52.394183408055135</v>
      </c>
      <c r="F55" s="11">
        <f t="shared" si="19"/>
        <v>-8.1730939261523364E-3</v>
      </c>
      <c r="G55" s="11">
        <f t="shared" si="10"/>
        <v>9.468498515597667E-5</v>
      </c>
      <c r="H55" s="11">
        <f t="shared" si="13"/>
        <v>4.2277930450749469E-3</v>
      </c>
      <c r="I55" s="11">
        <f t="shared" si="14"/>
        <v>2.2395842025966096E-2</v>
      </c>
      <c r="J55" s="11">
        <f t="shared" si="15"/>
        <v>4.481042109530402E-4</v>
      </c>
      <c r="K55" s="11">
        <f t="shared" si="11"/>
        <v>-1.4145398318683711E-4</v>
      </c>
      <c r="L55" s="11">
        <f t="shared" si="16"/>
        <v>-7.4113659388910912E-3</v>
      </c>
      <c r="M55" s="11">
        <f t="shared" si="17"/>
        <v>-1.2098321982142854E-3</v>
      </c>
      <c r="N55" s="11">
        <f t="shared" si="12"/>
        <v>6.2051996010446854E-5</v>
      </c>
      <c r="O55" s="11">
        <f t="shared" si="18"/>
        <v>-8.2351459221627829E-3</v>
      </c>
      <c r="P55" s="20">
        <f t="shared" si="20"/>
        <v>-8.2698764806898306E-3</v>
      </c>
    </row>
    <row r="56" spans="4:16" x14ac:dyDescent="0.25">
      <c r="D56" s="22">
        <v>0.15</v>
      </c>
      <c r="E56" s="11">
        <v>52.25922436668634</v>
      </c>
      <c r="F56" s="11">
        <f t="shared" si="19"/>
        <v>-8.1970060139848911E-3</v>
      </c>
      <c r="G56" s="11">
        <f t="shared" si="10"/>
        <v>6.7056920923548062E-5</v>
      </c>
      <c r="H56" s="11">
        <f t="shared" si="13"/>
        <v>3.9486318054990808E-3</v>
      </c>
      <c r="I56" s="11">
        <f t="shared" si="14"/>
        <v>1.6982317984209346E-2</v>
      </c>
      <c r="J56" s="11">
        <f t="shared" si="15"/>
        <v>3.0722121718679035E-4</v>
      </c>
      <c r="K56" s="11">
        <f t="shared" si="11"/>
        <v>-9.961713423332631E-5</v>
      </c>
      <c r="L56" s="11">
        <f t="shared" si="16"/>
        <v>-5.2059141686657106E-3</v>
      </c>
      <c r="M56" s="11">
        <f t="shared" si="17"/>
        <v>-3.2983130625059707E-3</v>
      </c>
      <c r="N56" s="11">
        <f t="shared" si="12"/>
        <v>4.0795939670384789E-5</v>
      </c>
      <c r="O56" s="11">
        <f t="shared" si="18"/>
        <v>-8.2378019536552757E-3</v>
      </c>
      <c r="P56" s="20">
        <f t="shared" si="20"/>
        <v>-8.2804083079201802E-3</v>
      </c>
    </row>
    <row r="57" spans="4:16" x14ac:dyDescent="0.25">
      <c r="D57" s="22">
        <v>0.15277777777777779</v>
      </c>
      <c r="E57" s="11">
        <v>52.208822628672834</v>
      </c>
      <c r="F57" s="11">
        <f t="shared" si="19"/>
        <v>-8.209989479651526E-3</v>
      </c>
      <c r="G57" s="11">
        <f t="shared" si="10"/>
        <v>5.1379116962368864E-5</v>
      </c>
      <c r="H57" s="11">
        <f t="shared" si="13"/>
        <v>3.7980374944441586E-3</v>
      </c>
      <c r="I57" s="11">
        <f t="shared" si="14"/>
        <v>1.3527806673190356E-2</v>
      </c>
      <c r="J57" s="11">
        <f t="shared" si="15"/>
        <v>2.3050169481853136E-4</v>
      </c>
      <c r="K57" s="11">
        <f t="shared" si="11"/>
        <v>-7.6312026050195621E-5</v>
      </c>
      <c r="L57" s="11">
        <f t="shared" si="16"/>
        <v>-3.9841610324893237E-3</v>
      </c>
      <c r="M57" s="11">
        <f t="shared" si="17"/>
        <v>-4.4563301419807333E-3</v>
      </c>
      <c r="N57" s="11">
        <f t="shared" si="12"/>
        <v>2.9395949942683734E-5</v>
      </c>
      <c r="O57" s="11">
        <f t="shared" si="18"/>
        <v>-8.2393854295942093E-3</v>
      </c>
      <c r="P57" s="20">
        <f t="shared" si="20"/>
        <v>-8.2630118733473673E-3</v>
      </c>
    </row>
    <row r="58" spans="4:16" x14ac:dyDescent="0.25">
      <c r="D58" s="22">
        <v>0.15555555555555556</v>
      </c>
      <c r="E58" s="11">
        <v>52.200335032981442</v>
      </c>
      <c r="F58" s="11">
        <f t="shared" si="19"/>
        <v>-8.2184545124149681E-3</v>
      </c>
      <c r="G58" s="11">
        <f t="shared" si="10"/>
        <v>4.0774293612708033E-5</v>
      </c>
      <c r="H58" s="11">
        <f t="shared" si="13"/>
        <v>3.7077593145450859E-3</v>
      </c>
      <c r="I58" s="11">
        <f t="shared" si="14"/>
        <v>1.0997017377248699E-2</v>
      </c>
      <c r="J58" s="11">
        <f t="shared" si="15"/>
        <v>1.8013240193596271E-4</v>
      </c>
      <c r="K58" s="11">
        <f t="shared" si="11"/>
        <v>-6.0714001092031219E-5</v>
      </c>
      <c r="L58" s="11">
        <f t="shared" si="16"/>
        <v>-3.1692911981968308E-3</v>
      </c>
      <c r="M58" s="11">
        <f t="shared" si="17"/>
        <v>-5.2292957161540997E-3</v>
      </c>
      <c r="N58" s="11">
        <f t="shared" si="12"/>
        <v>2.2061543686847151E-5</v>
      </c>
      <c r="O58" s="11">
        <f t="shared" si="18"/>
        <v>-8.2405160561018157E-3</v>
      </c>
      <c r="P58" s="20">
        <f t="shared" si="20"/>
        <v>-8.2562873280844461E-3</v>
      </c>
    </row>
    <row r="59" spans="4:16" x14ac:dyDescent="0.25">
      <c r="D59" s="22">
        <v>0.15833333333333333</v>
      </c>
      <c r="E59" s="11">
        <v>51.75438477542049</v>
      </c>
      <c r="F59" s="11">
        <f t="shared" si="19"/>
        <v>-8.2338673253643732E-3</v>
      </c>
      <c r="G59" s="11">
        <f t="shared" si="10"/>
        <v>1.8089948880068695E-5</v>
      </c>
      <c r="H59" s="11">
        <f t="shared" si="13"/>
        <v>3.0603632512583041E-3</v>
      </c>
      <c r="I59" s="11">
        <f t="shared" si="14"/>
        <v>5.9110463023076759E-3</v>
      </c>
      <c r="J59" s="11">
        <f t="shared" si="15"/>
        <v>7.4110537192861558E-5</v>
      </c>
      <c r="K59" s="11">
        <f t="shared" si="11"/>
        <v>-2.624149633811262E-5</v>
      </c>
      <c r="L59" s="11">
        <f t="shared" si="16"/>
        <v>-1.3581124985654683E-3</v>
      </c>
      <c r="M59" s="11">
        <f t="shared" si="17"/>
        <v>-6.9498653639917668E-3</v>
      </c>
      <c r="N59" s="11">
        <f t="shared" si="12"/>
        <v>8.5723249694881751E-6</v>
      </c>
      <c r="O59" s="11">
        <f t="shared" si="18"/>
        <v>-8.2424396503338621E-3</v>
      </c>
      <c r="P59" s="20">
        <f t="shared" si="20"/>
        <v>-8.2775404933856933E-3</v>
      </c>
    </row>
    <row r="60" spans="4:16" x14ac:dyDescent="0.25">
      <c r="D60" s="22">
        <v>0.16111111111111112</v>
      </c>
      <c r="E60" s="11">
        <v>51.516297280278913</v>
      </c>
      <c r="F60" s="11">
        <f t="shared" si="19"/>
        <v>-8.2392042062082848E-3</v>
      </c>
      <c r="G60" s="11">
        <f t="shared" si="10"/>
        <v>9.951083567703076E-6</v>
      </c>
      <c r="H60" s="11">
        <f t="shared" si="13"/>
        <v>2.7198261583315578E-3</v>
      </c>
      <c r="I60" s="11">
        <f t="shared" si="14"/>
        <v>3.6587204432975379E-3</v>
      </c>
      <c r="J60" s="11">
        <f t="shared" si="15"/>
        <v>3.889241605903364E-5</v>
      </c>
      <c r="K60" s="11">
        <f t="shared" si="11"/>
        <v>-1.4253296665432468E-5</v>
      </c>
      <c r="L60" s="11">
        <f t="shared" si="16"/>
        <v>-7.3427706824042717E-4</v>
      </c>
      <c r="M60" s="11">
        <f t="shared" si="17"/>
        <v>-7.5438195540268914E-3</v>
      </c>
      <c r="N60" s="11">
        <f t="shared" si="12"/>
        <v>4.2724977118238294E-6</v>
      </c>
      <c r="O60" s="11">
        <f t="shared" si="18"/>
        <v>-8.2434767039201093E-3</v>
      </c>
      <c r="P60" s="20">
        <f t="shared" si="20"/>
        <v>-8.2555955517142655E-3</v>
      </c>
    </row>
    <row r="61" spans="4:16" x14ac:dyDescent="0.25">
      <c r="D61" s="22">
        <v>0.16388888888888889</v>
      </c>
      <c r="E61" s="11">
        <v>50.80828005869499</v>
      </c>
      <c r="F61" s="11">
        <f t="shared" si="19"/>
        <v>-8.2430930110187796E-3</v>
      </c>
      <c r="G61" s="11">
        <f t="shared" si="10"/>
        <v>2.5676082028016477E-6</v>
      </c>
      <c r="H61" s="11">
        <f t="shared" si="13"/>
        <v>1.9731919991120513E-3</v>
      </c>
      <c r="I61" s="11">
        <f t="shared" si="14"/>
        <v>1.3012460034082275E-3</v>
      </c>
      <c r="J61" s="11">
        <f t="shared" si="15"/>
        <v>8.9793617305322686E-6</v>
      </c>
      <c r="K61" s="11">
        <f t="shared" si="11"/>
        <v>-3.5202193846977245E-6</v>
      </c>
      <c r="L61" s="11">
        <f t="shared" si="16"/>
        <v>-1.7885629236576893E-4</v>
      </c>
      <c r="M61" s="11">
        <f t="shared" si="17"/>
        <v>-8.073216080383543E-3</v>
      </c>
      <c r="N61" s="11">
        <f t="shared" si="12"/>
        <v>9.2117469937153595E-7</v>
      </c>
      <c r="O61" s="11">
        <f t="shared" si="18"/>
        <v>-8.2440141857181518E-3</v>
      </c>
      <c r="P61" s="20">
        <f t="shared" si="20"/>
        <v>-8.2548167777908993E-3</v>
      </c>
    </row>
    <row r="62" spans="4:16" x14ac:dyDescent="0.25">
      <c r="D62" s="22">
        <v>0.16666666666666669</v>
      </c>
      <c r="E62" s="11">
        <v>50.932117843332115</v>
      </c>
      <c r="F62" s="11">
        <f t="shared" si="19"/>
        <v>-8.2436333035953904E-3</v>
      </c>
      <c r="G62" s="11">
        <f t="shared" si="10"/>
        <v>2.1938179112811645E-6</v>
      </c>
      <c r="H62" s="11">
        <f t="shared" si="13"/>
        <v>2.0252278790462348E-3</v>
      </c>
      <c r="I62" s="11">
        <f t="shared" si="14"/>
        <v>1.0832449691114887E-3</v>
      </c>
      <c r="J62" s="11">
        <f t="shared" si="15"/>
        <v>7.6868571947111498E-6</v>
      </c>
      <c r="K62" s="11">
        <f t="shared" si="11"/>
        <v>-3.0408603541272095E-6</v>
      </c>
      <c r="L62" s="11">
        <f t="shared" si="16"/>
        <v>-1.5487745790152365E-4</v>
      </c>
      <c r="M62" s="11">
        <f t="shared" si="17"/>
        <v>-8.0964427028885778E-3</v>
      </c>
      <c r="N62" s="11">
        <f t="shared" si="12"/>
        <v>7.5495680734848988E-7</v>
      </c>
      <c r="O62" s="11">
        <f t="shared" si="18"/>
        <v>-8.2443882604027394E-3</v>
      </c>
      <c r="P62" s="20">
        <f t="shared" si="20"/>
        <v>-8.2448623800334513E-3</v>
      </c>
    </row>
    <row r="63" spans="4:16" x14ac:dyDescent="0.25">
      <c r="D63" s="22">
        <v>0.16944444444444445</v>
      </c>
      <c r="E63" s="11">
        <v>50.421848714283314</v>
      </c>
      <c r="F63" s="11">
        <f t="shared" si="19"/>
        <v>-8.2446511466722425E-3</v>
      </c>
      <c r="G63" s="11">
        <f t="shared" ref="G63:G91" si="21">BSGreeks(E63,$B$3,$B$6 - D63,$B$8, $B$5,$G$1)</f>
        <v>6.4423258418395506E-7</v>
      </c>
      <c r="H63" s="11">
        <f t="shared" si="13"/>
        <v>1.5701536935459398E-3</v>
      </c>
      <c r="I63" s="11">
        <f t="shared" si="14"/>
        <v>4.102990597876182E-4</v>
      </c>
      <c r="J63" s="11">
        <f t="shared" si="15"/>
        <v>2.0745933598040962E-6</v>
      </c>
      <c r="K63" s="11">
        <f t="shared" ref="K63:K91" si="22">BSGreeks(E63,$B$3,$B$6 - D63,$B$8, $B$5,$K$1) - I63 *BSGreeks(E63,$B$13,$B$14 - D63,$B$8, $B$5,$K$1)</f>
        <v>-8.6568100842156826E-7</v>
      </c>
      <c r="L63" s="11">
        <f t="shared" si="16"/>
        <v>-4.3649236841460535E-5</v>
      </c>
      <c r="M63" s="11">
        <f t="shared" si="17"/>
        <v>-8.2030765031905848E-3</v>
      </c>
      <c r="N63" s="11">
        <f t="shared" ref="N63:N91" si="23">BSCall(E63,$B$3, $B$6 - D63,$B$8,$B$5)</f>
        <v>1.9080922995325295E-7</v>
      </c>
      <c r="O63" s="11">
        <f t="shared" si="18"/>
        <v>-8.2448419559021952E-3</v>
      </c>
      <c r="P63" s="20">
        <f t="shared" si="20"/>
        <v>-8.2470181354951499E-3</v>
      </c>
    </row>
    <row r="64" spans="4:16" x14ac:dyDescent="0.25">
      <c r="D64" s="22">
        <v>0.17222222222222222</v>
      </c>
      <c r="E64" s="11">
        <v>51.199148387690684</v>
      </c>
      <c r="F64" s="11">
        <f t="shared" si="19"/>
        <v>-8.2446520974900402E-3</v>
      </c>
      <c r="G64" s="11">
        <f t="shared" si="21"/>
        <v>1.5860094216409303E-6</v>
      </c>
      <c r="H64" s="11">
        <f t="shared" si="13"/>
        <v>2.1506142240351814E-3</v>
      </c>
      <c r="I64" s="11">
        <f t="shared" si="14"/>
        <v>7.3746811674346344E-4</v>
      </c>
      <c r="J64" s="11">
        <f t="shared" si="15"/>
        <v>5.591910888777109E-6</v>
      </c>
      <c r="K64" s="11">
        <f t="shared" si="22"/>
        <v>-2.2504093446437422E-6</v>
      </c>
      <c r="L64" s="11">
        <f t="shared" si="16"/>
        <v>-1.152190419694607E-4</v>
      </c>
      <c r="M64" s="11">
        <f t="shared" si="17"/>
        <v>-8.1350249664093564E-3</v>
      </c>
      <c r="N64" s="11">
        <f t="shared" si="23"/>
        <v>5.0066579172520232E-7</v>
      </c>
      <c r="O64" s="11">
        <f t="shared" si="18"/>
        <v>-8.2451527632817646E-3</v>
      </c>
      <c r="P64" s="20">
        <f t="shared" si="20"/>
        <v>-8.2465414885841137E-3</v>
      </c>
    </row>
    <row r="65" spans="4:16" x14ac:dyDescent="0.25">
      <c r="D65" s="22">
        <v>0.17500000000000002</v>
      </c>
      <c r="E65" s="11">
        <v>50.50337308155089</v>
      </c>
      <c r="F65" s="11">
        <f t="shared" si="19"/>
        <v>-8.245467760864959E-3</v>
      </c>
      <c r="G65" s="11">
        <f t="shared" si="21"/>
        <v>3.0631860139754587E-7</v>
      </c>
      <c r="H65" s="11">
        <f t="shared" si="13"/>
        <v>1.5338254166140546E-3</v>
      </c>
      <c r="I65" s="11">
        <f t="shared" si="14"/>
        <v>1.9970890955357183E-4</v>
      </c>
      <c r="J65" s="11">
        <f t="shared" si="15"/>
        <v>9.6731884638871401E-7</v>
      </c>
      <c r="K65" s="11">
        <f t="shared" si="22"/>
        <v>-4.1608859377549016E-7</v>
      </c>
      <c r="L65" s="11">
        <f t="shared" si="16"/>
        <v>-2.1013877486421453E-5</v>
      </c>
      <c r="M65" s="11">
        <f t="shared" si="17"/>
        <v>-8.2254212022249279E-3</v>
      </c>
      <c r="N65" s="11">
        <f t="shared" si="23"/>
        <v>8.0209763970800874E-8</v>
      </c>
      <c r="O65" s="11">
        <f t="shared" si="18"/>
        <v>-8.2455479706289303E-3</v>
      </c>
      <c r="P65" s="20">
        <f t="shared" si="20"/>
        <v>-8.247392581760259E-3</v>
      </c>
    </row>
    <row r="66" spans="4:16" x14ac:dyDescent="0.25">
      <c r="D66" s="22">
        <v>0.17777777777777778</v>
      </c>
      <c r="E66" s="11">
        <v>50.430458325806114</v>
      </c>
      <c r="F66" s="11">
        <f t="shared" si="19"/>
        <v>-8.2458865886327649E-3</v>
      </c>
      <c r="G66" s="11">
        <f t="shared" si="21"/>
        <v>1.62785341925243E-7</v>
      </c>
      <c r="H66" s="11">
        <f t="shared" ref="H66:H91" si="24">BSGreeks(E66,$B$13,$B$14 - D66,$B$8, $B$5,$G$1)</f>
        <v>1.4373993491724117E-3</v>
      </c>
      <c r="I66" s="11">
        <f t="shared" ref="I66:I91" si="25">G66/H66</f>
        <v>1.1324990651969287E-4</v>
      </c>
      <c r="J66" s="11">
        <f t="shared" ref="J66:J91" si="26">I66*BSCall(E66,$B$13,$B$14 - D66,$B$8,$B$5)</f>
        <v>5.0114362687962172E-7</v>
      </c>
      <c r="K66" s="11">
        <f t="shared" si="22"/>
        <v>-2.2064171230107321E-7</v>
      </c>
      <c r="L66" s="11">
        <f t="shared" ref="L66:L91" si="27">K66 * E66</f>
        <v>-1.1127062677133774E-5</v>
      </c>
      <c r="M66" s="11">
        <f t="shared" ref="M66:M91" si="28">F66 - L66 - J66</f>
        <v>-8.2352606695825104E-3</v>
      </c>
      <c r="N66" s="11">
        <f t="shared" si="23"/>
        <v>3.9167570325714336E-8</v>
      </c>
      <c r="O66" s="11">
        <f t="shared" ref="O66:O91" si="29">F66 - N66</f>
        <v>-8.2459257562030909E-3</v>
      </c>
      <c r="P66" s="20">
        <f t="shared" si="20"/>
        <v>-8.2461264544878721E-3</v>
      </c>
    </row>
    <row r="67" spans="4:16" x14ac:dyDescent="0.25">
      <c r="D67" s="22">
        <v>0.18055555555555555</v>
      </c>
      <c r="E67" s="11">
        <v>50.111663119757367</v>
      </c>
      <c r="F67" s="11">
        <f t="shared" ref="F67:F92" si="30">E67 * K66 + I66*BSCall(E67,$B$13,$B$14-D67,$B$8,$B$5) +  M66 * EXP($B$8*(D67 - D66))</f>
        <v>-8.2462904505119037E-3</v>
      </c>
      <c r="G67" s="11">
        <f t="shared" si="21"/>
        <v>4.987629162859694E-8</v>
      </c>
      <c r="H67" s="11">
        <f t="shared" si="24"/>
        <v>1.1956385811037178E-3</v>
      </c>
      <c r="I67" s="11">
        <f t="shared" si="25"/>
        <v>4.1715190875285354E-5</v>
      </c>
      <c r="J67" s="11">
        <f t="shared" si="26"/>
        <v>1.4474610279298914E-7</v>
      </c>
      <c r="K67" s="11">
        <f t="shared" si="22"/>
        <v>-6.6351425646965118E-8</v>
      </c>
      <c r="L67" s="11">
        <f t="shared" si="27"/>
        <v>-3.324980289536345E-6</v>
      </c>
      <c r="M67" s="11">
        <f t="shared" si="28"/>
        <v>-8.2431102163251606E-3</v>
      </c>
      <c r="N67" s="11">
        <f t="shared" si="23"/>
        <v>1.0551928930359229E-8</v>
      </c>
      <c r="O67" s="11">
        <f t="shared" si="29"/>
        <v>-8.2463010024408333E-3</v>
      </c>
      <c r="P67" s="20">
        <f t="shared" ref="P67:P91" si="31">F67 - N67 - $B$17*(ABS(K67-K66) + ABS(M67-M66))</f>
        <v>-8.2464610791814202E-3</v>
      </c>
    </row>
    <row r="68" spans="4:16" x14ac:dyDescent="0.25">
      <c r="D68" s="22">
        <v>0.18333333333333335</v>
      </c>
      <c r="E68" s="11">
        <v>50.715279456085284</v>
      </c>
      <c r="F68" s="11">
        <f t="shared" si="30"/>
        <v>-8.2466422794445823E-3</v>
      </c>
      <c r="G68" s="11">
        <f t="shared" si="21"/>
        <v>9.480242695340234E-8</v>
      </c>
      <c r="H68" s="11">
        <f t="shared" si="24"/>
        <v>1.5407758588502417E-3</v>
      </c>
      <c r="I68" s="11">
        <f t="shared" si="25"/>
        <v>6.1529018908789139E-5</v>
      </c>
      <c r="J68" s="11">
        <f t="shared" si="26"/>
        <v>2.9401719932973641E-7</v>
      </c>
      <c r="K68" s="11">
        <f t="shared" si="22"/>
        <v>-1.3170073016609363E-7</v>
      </c>
      <c r="L68" s="11">
        <f t="shared" si="27"/>
        <v>-6.6792393349439192E-6</v>
      </c>
      <c r="M68" s="11">
        <f t="shared" si="28"/>
        <v>-8.2402570573089692E-3</v>
      </c>
      <c r="N68" s="11">
        <f t="shared" si="23"/>
        <v>2.0521060428293764E-8</v>
      </c>
      <c r="O68" s="11">
        <f t="shared" si="29"/>
        <v>-8.2466628005050113E-3</v>
      </c>
      <c r="P68" s="20">
        <f t="shared" si="31"/>
        <v>-8.2467211706714252E-3</v>
      </c>
    </row>
    <row r="69" spans="4:16" x14ac:dyDescent="0.25">
      <c r="D69" s="22">
        <v>0.18611111111111112</v>
      </c>
      <c r="E69" s="11">
        <v>51.07926400953955</v>
      </c>
      <c r="F69" s="11">
        <f t="shared" si="30"/>
        <v>-8.2470019566256592E-3</v>
      </c>
      <c r="G69" s="11">
        <f t="shared" si="21"/>
        <v>1.0957740332813291E-7</v>
      </c>
      <c r="H69" s="11">
        <f t="shared" si="24"/>
        <v>1.7654218942524899E-3</v>
      </c>
      <c r="I69" s="11">
        <f t="shared" si="25"/>
        <v>6.2068678135732467E-5</v>
      </c>
      <c r="J69" s="11">
        <f t="shared" si="26"/>
        <v>3.5157562722773401E-7</v>
      </c>
      <c r="K69" s="11">
        <f t="shared" si="22"/>
        <v>-1.5646543197200421E-7</v>
      </c>
      <c r="L69" s="11">
        <f t="shared" si="27"/>
        <v>-7.9921391080646541E-6</v>
      </c>
      <c r="M69" s="11">
        <f t="shared" si="28"/>
        <v>-8.2393613931448211E-3</v>
      </c>
      <c r="N69" s="11">
        <f t="shared" si="23"/>
        <v>2.3256435613363705E-8</v>
      </c>
      <c r="O69" s="11">
        <f t="shared" si="29"/>
        <v>-8.2470252130612733E-3</v>
      </c>
      <c r="P69" s="20">
        <f t="shared" si="31"/>
        <v>-8.2470436216385921E-3</v>
      </c>
    </row>
    <row r="70" spans="4:16" x14ac:dyDescent="0.25">
      <c r="D70" s="22">
        <v>0.18888888888888888</v>
      </c>
      <c r="E70" s="11">
        <v>50.756360150124188</v>
      </c>
      <c r="F70" s="11">
        <f t="shared" si="30"/>
        <v>-8.2473930102573024E-3</v>
      </c>
      <c r="G70" s="11">
        <f t="shared" si="21"/>
        <v>2.8910414816125891E-8</v>
      </c>
      <c r="H70" s="11">
        <f t="shared" si="24"/>
        <v>1.4731784133732728E-3</v>
      </c>
      <c r="I70" s="11">
        <f t="shared" si="25"/>
        <v>1.9624516999218746E-5</v>
      </c>
      <c r="J70" s="11">
        <f t="shared" si="26"/>
        <v>8.7327539847916172E-8</v>
      </c>
      <c r="K70" s="11">
        <f t="shared" si="22"/>
        <v>-4.0500456184129529E-8</v>
      </c>
      <c r="L70" s="11">
        <f t="shared" si="27"/>
        <v>-2.0556557403260027E-6</v>
      </c>
      <c r="M70" s="11">
        <f t="shared" si="28"/>
        <v>-8.2454246820568254E-3</v>
      </c>
      <c r="N70" s="11">
        <f t="shared" si="23"/>
        <v>5.3300986188981169E-9</v>
      </c>
      <c r="O70" s="11">
        <f t="shared" si="29"/>
        <v>-8.2473983403559218E-3</v>
      </c>
      <c r="P70" s="20">
        <f t="shared" si="31"/>
        <v>-8.2475219254336783E-3</v>
      </c>
    </row>
    <row r="71" spans="4:16" x14ac:dyDescent="0.25">
      <c r="D71" s="22">
        <v>0.19166666666666668</v>
      </c>
      <c r="E71" s="11">
        <v>50.999377376645718</v>
      </c>
      <c r="F71" s="11">
        <f t="shared" si="30"/>
        <v>-8.2477602594503725E-3</v>
      </c>
      <c r="G71" s="11">
        <f t="shared" si="21"/>
        <v>2.4313212261126224E-8</v>
      </c>
      <c r="H71" s="11">
        <f t="shared" si="24"/>
        <v>1.5984628475977166E-3</v>
      </c>
      <c r="I71" s="11">
        <f t="shared" si="25"/>
        <v>1.521037057424628E-5</v>
      </c>
      <c r="J71" s="11">
        <f t="shared" si="26"/>
        <v>7.4710620358821802E-8</v>
      </c>
      <c r="K71" s="11">
        <f t="shared" si="22"/>
        <v>-3.4727730701866176E-8</v>
      </c>
      <c r="L71" s="11">
        <f t="shared" si="27"/>
        <v>-1.7710926434989987E-6</v>
      </c>
      <c r="M71" s="11">
        <f t="shared" si="28"/>
        <v>-8.246063877427233E-3</v>
      </c>
      <c r="N71" s="11">
        <f t="shared" si="23"/>
        <v>4.2722904129339384E-9</v>
      </c>
      <c r="O71" s="11">
        <f t="shared" si="29"/>
        <v>-8.2477645317407845E-3</v>
      </c>
      <c r="P71" s="20">
        <f t="shared" si="31"/>
        <v>-8.2477774311027017E-3</v>
      </c>
    </row>
    <row r="72" spans="4:16" x14ac:dyDescent="0.25">
      <c r="D72" s="22">
        <v>0.19444444444444445</v>
      </c>
      <c r="E72" s="11">
        <v>50.650188139153215</v>
      </c>
      <c r="F72" s="11">
        <f t="shared" si="30"/>
        <v>-8.2481319446449305E-3</v>
      </c>
      <c r="G72" s="11">
        <f t="shared" si="21"/>
        <v>4.8375568357442099E-9</v>
      </c>
      <c r="H72" s="11">
        <f t="shared" si="24"/>
        <v>1.3096473324254404E-3</v>
      </c>
      <c r="I72" s="11">
        <f t="shared" si="25"/>
        <v>3.6937858887439204E-6</v>
      </c>
      <c r="J72" s="11">
        <f t="shared" si="26"/>
        <v>1.3939087502021254E-8</v>
      </c>
      <c r="K72" s="11">
        <f t="shared" si="22"/>
        <v>-6.7658232964027163E-9</v>
      </c>
      <c r="L72" s="11">
        <f t="shared" si="27"/>
        <v>-3.4269022287906336E-7</v>
      </c>
      <c r="M72" s="11">
        <f t="shared" si="28"/>
        <v>-8.2478031935095536E-3</v>
      </c>
      <c r="N72" s="11">
        <f t="shared" si="23"/>
        <v>7.2866172365135674E-10</v>
      </c>
      <c r="O72" s="11">
        <f t="shared" si="29"/>
        <v>-8.2481326733066535E-3</v>
      </c>
      <c r="P72" s="20">
        <f t="shared" si="31"/>
        <v>-8.2481680188664485E-3</v>
      </c>
    </row>
    <row r="73" spans="4:16" x14ac:dyDescent="0.25">
      <c r="D73" s="22">
        <v>0.19722222222222224</v>
      </c>
      <c r="E73" s="11">
        <v>49.936270100724023</v>
      </c>
      <c r="F73" s="11">
        <f t="shared" si="30"/>
        <v>-8.2484992561515699E-3</v>
      </c>
      <c r="G73" s="11">
        <f t="shared" si="21"/>
        <v>2.9332230559498275E-10</v>
      </c>
      <c r="H73" s="11">
        <f t="shared" si="24"/>
        <v>8.8205373126543866E-4</v>
      </c>
      <c r="I73" s="11">
        <f t="shared" si="25"/>
        <v>3.3254471377176516E-7</v>
      </c>
      <c r="J73" s="11">
        <f t="shared" si="26"/>
        <v>7.5394205479039299E-10</v>
      </c>
      <c r="K73" s="11">
        <f t="shared" si="22"/>
        <v>-3.9175736977021095E-10</v>
      </c>
      <c r="L73" s="11">
        <f t="shared" si="27"/>
        <v>-1.9562901830794471E-8</v>
      </c>
      <c r="M73" s="11">
        <f t="shared" si="28"/>
        <v>-8.248480447191793E-3</v>
      </c>
      <c r="N73" s="11">
        <f t="shared" si="23"/>
        <v>3.5443911479922978E-11</v>
      </c>
      <c r="O73" s="11">
        <f t="shared" si="29"/>
        <v>-8.2484992915954816E-3</v>
      </c>
      <c r="P73" s="20">
        <f t="shared" si="31"/>
        <v>-8.2485129641504448E-3</v>
      </c>
    </row>
    <row r="74" spans="4:16" x14ac:dyDescent="0.25">
      <c r="D74" s="22">
        <v>0.2</v>
      </c>
      <c r="E74" s="11">
        <v>48.955746872777802</v>
      </c>
      <c r="F74" s="11">
        <f t="shared" si="30"/>
        <v>-8.248865868435545E-3</v>
      </c>
      <c r="G74" s="11">
        <f t="shared" si="21"/>
        <v>4.9344264068938342E-12</v>
      </c>
      <c r="H74" s="11">
        <f t="shared" si="24"/>
        <v>4.9593336274186134E-4</v>
      </c>
      <c r="I74" s="11">
        <f t="shared" si="25"/>
        <v>9.9497770821727439E-9</v>
      </c>
      <c r="J74" s="11">
        <f t="shared" si="26"/>
        <v>1.0915117344917817E-11</v>
      </c>
      <c r="K74" s="11">
        <f t="shared" si="22"/>
        <v>-6.1796551595059576E-12</v>
      </c>
      <c r="L74" s="11">
        <f t="shared" si="27"/>
        <v>-3.0252963374982897E-10</v>
      </c>
      <c r="M74" s="11">
        <f t="shared" si="28"/>
        <v>-8.2488655768210295E-3</v>
      </c>
      <c r="N74" s="11">
        <f t="shared" si="23"/>
        <v>4.5600454603405264E-13</v>
      </c>
      <c r="O74" s="11">
        <f t="shared" si="29"/>
        <v>-8.24886586889155E-3</v>
      </c>
      <c r="P74" s="20">
        <f t="shared" si="31"/>
        <v>-8.2488735791956883E-3</v>
      </c>
    </row>
    <row r="75" spans="4:16" x14ac:dyDescent="0.25">
      <c r="D75" s="22">
        <v>0.20277777777777778</v>
      </c>
      <c r="E75" s="11">
        <v>48.720486643590498</v>
      </c>
      <c r="F75" s="11">
        <f t="shared" si="30"/>
        <v>-8.2492324936261057E-3</v>
      </c>
      <c r="G75" s="11">
        <f t="shared" si="21"/>
        <v>5.3783129325197485E-13</v>
      </c>
      <c r="H75" s="11">
        <f t="shared" si="24"/>
        <v>4.1349266022913162E-4</v>
      </c>
      <c r="I75" s="11">
        <f t="shared" si="25"/>
        <v>1.3007033618297907E-9</v>
      </c>
      <c r="J75" s="11">
        <f t="shared" si="26"/>
        <v>1.1328448025609158E-12</v>
      </c>
      <c r="K75" s="11">
        <f t="shared" si="22"/>
        <v>-6.6444726704812506E-13</v>
      </c>
      <c r="L75" s="11">
        <f t="shared" si="27"/>
        <v>-3.2372194199588388E-11</v>
      </c>
      <c r="M75" s="11">
        <f t="shared" si="28"/>
        <v>-8.2492324623867578E-3</v>
      </c>
      <c r="N75" s="11">
        <f t="shared" si="23"/>
        <v>4.2770093620489424E-14</v>
      </c>
      <c r="O75" s="11">
        <f t="shared" si="29"/>
        <v>-8.2492324936688753E-3</v>
      </c>
      <c r="P75" s="20">
        <f t="shared" si="31"/>
        <v>-8.2492398314904947E-3</v>
      </c>
    </row>
    <row r="76" spans="4:16" x14ac:dyDescent="0.25">
      <c r="D76" s="22">
        <v>0.20555555555555557</v>
      </c>
      <c r="E76" s="11">
        <v>49.137026615763062</v>
      </c>
      <c r="F76" s="11">
        <f t="shared" si="30"/>
        <v>-8.2495991343048605E-3</v>
      </c>
      <c r="G76" s="11">
        <f t="shared" si="21"/>
        <v>4.5839761970349538E-13</v>
      </c>
      <c r="H76" s="11">
        <f t="shared" si="24"/>
        <v>5.0268782011852282E-4</v>
      </c>
      <c r="I76" s="11">
        <f t="shared" si="25"/>
        <v>9.1189322947075822E-10</v>
      </c>
      <c r="J76" s="11">
        <f t="shared" si="26"/>
        <v>1.0041205173862771E-12</v>
      </c>
      <c r="K76" s="11">
        <f t="shared" si="22"/>
        <v>-5.8409581443645628E-13</v>
      </c>
      <c r="L76" s="11">
        <f t="shared" si="27"/>
        <v>-2.8700731580119955E-11</v>
      </c>
      <c r="M76" s="11">
        <f t="shared" si="28"/>
        <v>-8.2495991066082498E-3</v>
      </c>
      <c r="N76" s="11">
        <f t="shared" si="23"/>
        <v>3.4679528135204177E-14</v>
      </c>
      <c r="O76" s="11">
        <f t="shared" si="29"/>
        <v>-8.2495991343395393E-3</v>
      </c>
      <c r="P76" s="20">
        <f t="shared" si="31"/>
        <v>-8.2496064672255755E-3</v>
      </c>
    </row>
    <row r="77" spans="4:16" x14ac:dyDescent="0.25">
      <c r="D77" s="22">
        <v>0.20833333333333334</v>
      </c>
      <c r="E77" s="11">
        <v>48.863504197284087</v>
      </c>
      <c r="F77" s="11">
        <f t="shared" si="30"/>
        <v>-8.2499657913724204E-3</v>
      </c>
      <c r="G77" s="11">
        <f t="shared" si="21"/>
        <v>2.7659630304997294E-14</v>
      </c>
      <c r="H77" s="11">
        <f t="shared" si="24"/>
        <v>4.0914566769491371E-4</v>
      </c>
      <c r="I77" s="11">
        <f t="shared" si="25"/>
        <v>6.7603380626828877E-11</v>
      </c>
      <c r="J77" s="11">
        <f t="shared" si="26"/>
        <v>5.7369726214295111E-14</v>
      </c>
      <c r="K77" s="11">
        <f t="shared" si="22"/>
        <v>-3.4674011924313936E-14</v>
      </c>
      <c r="L77" s="11">
        <f t="shared" si="27"/>
        <v>-1.6942937272003925E-12</v>
      </c>
      <c r="M77" s="11">
        <f t="shared" si="28"/>
        <v>-8.2499657897354955E-3</v>
      </c>
      <c r="N77" s="11">
        <f t="shared" si="23"/>
        <v>1.7627310687727452E-15</v>
      </c>
      <c r="O77" s="11">
        <f t="shared" si="29"/>
        <v>-8.2499657913741829E-3</v>
      </c>
      <c r="P77" s="20">
        <f t="shared" si="31"/>
        <v>-8.249973125047716E-3</v>
      </c>
    </row>
    <row r="78" spans="4:16" x14ac:dyDescent="0.25">
      <c r="D78" s="22">
        <v>0.21111111111111111</v>
      </c>
      <c r="E78" s="11">
        <v>48.494024017720477</v>
      </c>
      <c r="F78" s="11">
        <f t="shared" si="30"/>
        <v>-8.2503324646706032E-3</v>
      </c>
      <c r="G78" s="11">
        <f t="shared" si="21"/>
        <v>7.2251157716421652E-16</v>
      </c>
      <c r="H78" s="11">
        <f t="shared" si="24"/>
        <v>3.1152180899965301E-4</v>
      </c>
      <c r="I78" s="11">
        <f t="shared" si="25"/>
        <v>2.3192969361738052E-12</v>
      </c>
      <c r="J78" s="11">
        <f t="shared" si="26"/>
        <v>1.4004160269096164E-15</v>
      </c>
      <c r="K78" s="11">
        <f t="shared" si="22"/>
        <v>-8.8517146963223509E-16</v>
      </c>
      <c r="L78" s="11">
        <f t="shared" si="27"/>
        <v>-4.2925526508146542E-14</v>
      </c>
      <c r="M78" s="11">
        <f t="shared" si="28"/>
        <v>-8.2503324646290774E-3</v>
      </c>
      <c r="N78" s="11">
        <f t="shared" si="23"/>
        <v>3.7848180133921849E-17</v>
      </c>
      <c r="O78" s="11">
        <f t="shared" si="29"/>
        <v>-8.2503324646706414E-3</v>
      </c>
      <c r="P78" s="20">
        <f t="shared" si="31"/>
        <v>-8.2503397981691894E-3</v>
      </c>
    </row>
    <row r="79" spans="4:16" x14ac:dyDescent="0.25">
      <c r="D79" s="22">
        <v>0.21388888888888891</v>
      </c>
      <c r="E79" s="11">
        <v>48.471151207781304</v>
      </c>
      <c r="F79" s="11">
        <f t="shared" si="30"/>
        <v>-8.2506991542621675E-3</v>
      </c>
      <c r="G79" s="11">
        <f t="shared" si="21"/>
        <v>5.0982529686170855E-17</v>
      </c>
      <c r="H79" s="11">
        <f t="shared" si="24"/>
        <v>2.9163486776725847E-4</v>
      </c>
      <c r="I79" s="11">
        <f t="shared" si="25"/>
        <v>1.7481630395052031E-13</v>
      </c>
      <c r="J79" s="11">
        <f t="shared" si="26"/>
        <v>9.6766908978128363E-17</v>
      </c>
      <c r="K79" s="11">
        <f t="shared" si="22"/>
        <v>-6.2509664534472216E-17</v>
      </c>
      <c r="L79" s="11">
        <f t="shared" si="27"/>
        <v>-3.0299154015980872E-15</v>
      </c>
      <c r="M79" s="11">
        <f t="shared" si="28"/>
        <v>-8.2506991542592341E-3</v>
      </c>
      <c r="N79" s="11">
        <f t="shared" si="23"/>
        <v>2.3002430334772408E-18</v>
      </c>
      <c r="O79" s="11">
        <f t="shared" si="29"/>
        <v>-8.2506991542621692E-3</v>
      </c>
      <c r="P79" s="20">
        <f t="shared" si="31"/>
        <v>-8.2507064880547893E-3</v>
      </c>
    </row>
    <row r="80" spans="4:16" x14ac:dyDescent="0.25">
      <c r="D80" s="22">
        <v>0.21666666666666667</v>
      </c>
      <c r="E80" s="11">
        <v>48.136051316119868</v>
      </c>
      <c r="F80" s="11">
        <f t="shared" si="30"/>
        <v>-8.2510658601513218E-3</v>
      </c>
      <c r="G80" s="11">
        <f t="shared" si="21"/>
        <v>4.767984891974417E-19</v>
      </c>
      <c r="H80" s="11">
        <f t="shared" si="24"/>
        <v>2.2333110557565673E-4</v>
      </c>
      <c r="I80" s="11">
        <f t="shared" si="25"/>
        <v>2.1349399044456848E-15</v>
      </c>
      <c r="J80" s="11">
        <f t="shared" si="26"/>
        <v>8.4934370214965847E-19</v>
      </c>
      <c r="K80" s="11">
        <f t="shared" si="22"/>
        <v>-5.7260459548197191E-19</v>
      </c>
      <c r="L80" s="11">
        <f t="shared" si="27"/>
        <v>-2.7562924191966257E-17</v>
      </c>
      <c r="M80" s="11">
        <f t="shared" si="28"/>
        <v>-8.2510658601512941E-3</v>
      </c>
      <c r="N80" s="11">
        <f t="shared" si="23"/>
        <v>1.7397380717750342E-20</v>
      </c>
      <c r="O80" s="11">
        <f t="shared" si="29"/>
        <v>-8.2510658601513218E-3</v>
      </c>
      <c r="P80" s="20">
        <f t="shared" si="31"/>
        <v>-8.2510731942691644E-3</v>
      </c>
    </row>
    <row r="81" spans="4:16" x14ac:dyDescent="0.25">
      <c r="D81" s="22">
        <v>0.21944444444444444</v>
      </c>
      <c r="E81" s="11">
        <v>47.929747191090861</v>
      </c>
      <c r="F81" s="11">
        <f t="shared" si="30"/>
        <v>-8.2514325823388711E-3</v>
      </c>
      <c r="G81" s="11">
        <f t="shared" si="21"/>
        <v>3.7504469226819878E-21</v>
      </c>
      <c r="H81" s="11">
        <f t="shared" si="24"/>
        <v>1.8426899593983664E-4</v>
      </c>
      <c r="I81" s="11">
        <f t="shared" si="25"/>
        <v>2.0353108799195386E-17</v>
      </c>
      <c r="J81" s="11">
        <f t="shared" si="26"/>
        <v>6.3792126065123401E-21</v>
      </c>
      <c r="K81" s="11">
        <f t="shared" si="22"/>
        <v>-4.4506520536412239E-21</v>
      </c>
      <c r="L81" s="11">
        <f t="shared" si="27"/>
        <v>-2.1331862776653323E-19</v>
      </c>
      <c r="M81" s="11">
        <f t="shared" si="28"/>
        <v>-8.2514325823388711E-3</v>
      </c>
      <c r="N81" s="11">
        <f t="shared" si="23"/>
        <v>1.1147088991973573E-22</v>
      </c>
      <c r="O81" s="11">
        <f t="shared" si="29"/>
        <v>-8.2514325823388711E-3</v>
      </c>
      <c r="P81" s="20">
        <f t="shared" si="31"/>
        <v>-8.2514399167826231E-3</v>
      </c>
    </row>
    <row r="82" spans="4:16" x14ac:dyDescent="0.25">
      <c r="D82" s="22">
        <v>0.22222222222222224</v>
      </c>
      <c r="E82" s="11">
        <v>47.074969199678748</v>
      </c>
      <c r="F82" s="11">
        <f t="shared" si="30"/>
        <v>-8.2517993208255473E-3</v>
      </c>
      <c r="G82" s="11">
        <f t="shared" si="21"/>
        <v>1.5742890869532164E-25</v>
      </c>
      <c r="H82" s="11">
        <f t="shared" si="24"/>
        <v>9.593799521429681E-5</v>
      </c>
      <c r="I82" s="11">
        <f t="shared" si="25"/>
        <v>1.6409443239216383E-21</v>
      </c>
      <c r="J82" s="11">
        <f t="shared" si="26"/>
        <v>2.3423171828193174E-25</v>
      </c>
      <c r="K82" s="11">
        <f t="shared" si="22"/>
        <v>-1.7654004565939557E-25</v>
      </c>
      <c r="L82" s="11">
        <f t="shared" si="27"/>
        <v>-8.3106172119259258E-24</v>
      </c>
      <c r="M82" s="11">
        <f t="shared" si="28"/>
        <v>-8.2517993208255473E-3</v>
      </c>
      <c r="N82" s="11">
        <f t="shared" si="23"/>
        <v>3.3770726008753509E-27</v>
      </c>
      <c r="O82" s="11">
        <f t="shared" si="29"/>
        <v>-8.2517993208255473E-3</v>
      </c>
      <c r="P82" s="20">
        <f t="shared" si="31"/>
        <v>-8.2518066555952816E-3</v>
      </c>
    </row>
    <row r="83" spans="4:16" x14ac:dyDescent="0.25">
      <c r="D83" s="22">
        <v>0.22500000000000001</v>
      </c>
      <c r="E83" s="11">
        <v>47.055197975619151</v>
      </c>
      <c r="F83" s="11">
        <f t="shared" si="30"/>
        <v>-8.2521660756120739E-3</v>
      </c>
      <c r="G83" s="11">
        <f t="shared" si="21"/>
        <v>2.8235589770980547E-28</v>
      </c>
      <c r="H83" s="11">
        <f t="shared" si="24"/>
        <v>8.8487297111183199E-5</v>
      </c>
      <c r="I83" s="11">
        <f t="shared" si="25"/>
        <v>3.1909201312254884E-24</v>
      </c>
      <c r="J83" s="11">
        <f t="shared" si="26"/>
        <v>4.1118778647092949E-28</v>
      </c>
      <c r="K83" s="11">
        <f t="shared" si="22"/>
        <v>-3.168735942709822E-28</v>
      </c>
      <c r="L83" s="11">
        <f t="shared" si="27"/>
        <v>-1.4910549711667086E-26</v>
      </c>
      <c r="M83" s="11">
        <f t="shared" si="28"/>
        <v>-8.2521660756120739E-3</v>
      </c>
      <c r="N83" s="11">
        <f t="shared" si="23"/>
        <v>4.9018047274372629E-30</v>
      </c>
      <c r="O83" s="11">
        <f t="shared" si="29"/>
        <v>-8.2521660756120739E-3</v>
      </c>
      <c r="P83" s="20">
        <f t="shared" si="31"/>
        <v>-8.2521734107078044E-3</v>
      </c>
    </row>
    <row r="84" spans="4:16" x14ac:dyDescent="0.25">
      <c r="D84" s="22">
        <v>0.22777777777777777</v>
      </c>
      <c r="E84" s="11">
        <v>46.650406814750205</v>
      </c>
      <c r="F84" s="11">
        <f t="shared" si="30"/>
        <v>-8.252532846699176E-3</v>
      </c>
      <c r="G84" s="11">
        <f t="shared" si="21"/>
        <v>3.8389108097568509E-33</v>
      </c>
      <c r="H84" s="11">
        <f t="shared" si="24"/>
        <v>6.1109508601026814E-5</v>
      </c>
      <c r="I84" s="11">
        <f t="shared" si="25"/>
        <v>6.2820187850313463E-29</v>
      </c>
      <c r="J84" s="11">
        <f t="shared" si="26"/>
        <v>5.1945089581835472E-33</v>
      </c>
      <c r="K84" s="11">
        <f t="shared" si="22"/>
        <v>-4.1986642035984239E-33</v>
      </c>
      <c r="L84" s="11">
        <f t="shared" si="27"/>
        <v>-1.9586939317639566E-31</v>
      </c>
      <c r="M84" s="11">
        <f t="shared" si="28"/>
        <v>-8.252532846699176E-3</v>
      </c>
      <c r="N84" s="11">
        <f t="shared" si="23"/>
        <v>4.9473404799182601E-35</v>
      </c>
      <c r="O84" s="11">
        <f t="shared" si="29"/>
        <v>-8.252532846699176E-3</v>
      </c>
      <c r="P84" s="20">
        <f t="shared" si="31"/>
        <v>-8.2525401821209182E-3</v>
      </c>
    </row>
    <row r="85" spans="4:16" x14ac:dyDescent="0.25">
      <c r="D85" s="22">
        <v>0.23055555555555557</v>
      </c>
      <c r="E85" s="11">
        <v>47.193845408715369</v>
      </c>
      <c r="F85" s="11">
        <f t="shared" si="30"/>
        <v>-8.2528996340875769E-3</v>
      </c>
      <c r="G85" s="11">
        <f t="shared" si="21"/>
        <v>2.1568650136688983E-35</v>
      </c>
      <c r="H85" s="11">
        <f t="shared" si="24"/>
        <v>8.5433805596038995E-5</v>
      </c>
      <c r="I85" s="11">
        <f t="shared" si="25"/>
        <v>2.5246036959506552E-31</v>
      </c>
      <c r="J85" s="11">
        <f t="shared" si="26"/>
        <v>3.080362644535908E-35</v>
      </c>
      <c r="K85" s="11">
        <f t="shared" si="22"/>
        <v>-2.4542769763230327E-35</v>
      </c>
      <c r="L85" s="11">
        <f t="shared" si="27"/>
        <v>-1.158267682107586E-33</v>
      </c>
      <c r="M85" s="11">
        <f t="shared" si="28"/>
        <v>-8.2528996340875769E-3</v>
      </c>
      <c r="N85" s="11">
        <f t="shared" si="23"/>
        <v>2.3269443136856667E-37</v>
      </c>
      <c r="O85" s="11">
        <f t="shared" si="29"/>
        <v>-8.2528996340875769E-3</v>
      </c>
      <c r="P85" s="20">
        <f t="shared" si="31"/>
        <v>-8.2529069698353448E-3</v>
      </c>
    </row>
    <row r="86" spans="4:16" x14ac:dyDescent="0.25">
      <c r="D86" s="22">
        <v>0.23333333333333334</v>
      </c>
      <c r="E86" s="11">
        <v>47.307384738026435</v>
      </c>
      <c r="F86" s="11">
        <f t="shared" si="30"/>
        <v>-8.2532664377780018E-3</v>
      </c>
      <c r="G86" s="11">
        <f t="shared" si="21"/>
        <v>1.5772457721616564E-40</v>
      </c>
      <c r="H86" s="11">
        <f t="shared" si="24"/>
        <v>8.6646481099885431E-5</v>
      </c>
      <c r="I86" s="11">
        <f t="shared" si="25"/>
        <v>1.8203229399973195E-36</v>
      </c>
      <c r="J86" s="11">
        <f t="shared" si="26"/>
        <v>2.2434664974840187E-40</v>
      </c>
      <c r="K86" s="11">
        <f t="shared" si="22"/>
        <v>-1.8128425723219304E-40</v>
      </c>
      <c r="L86" s="11">
        <f t="shared" si="27"/>
        <v>-8.5760841038307076E-39</v>
      </c>
      <c r="M86" s="11">
        <f t="shared" si="28"/>
        <v>-8.2532664377780018E-3</v>
      </c>
      <c r="N86" s="11">
        <f t="shared" si="23"/>
        <v>1.2763465685887042E-42</v>
      </c>
      <c r="O86" s="11">
        <f t="shared" si="29"/>
        <v>-8.2532664377780018E-3</v>
      </c>
      <c r="P86" s="20">
        <f t="shared" si="31"/>
        <v>-8.253273773851811E-3</v>
      </c>
    </row>
    <row r="87" spans="4:16" x14ac:dyDescent="0.25">
      <c r="D87" s="22">
        <v>0.23611111111111113</v>
      </c>
      <c r="E87" s="11">
        <v>47.65357377699349</v>
      </c>
      <c r="F87" s="11">
        <f t="shared" si="30"/>
        <v>-8.2536332577711757E-3</v>
      </c>
      <c r="G87" s="11">
        <f t="shared" si="21"/>
        <v>2.0136008143263496E-46</v>
      </c>
      <c r="H87" s="11">
        <f t="shared" si="24"/>
        <v>1.0413054037427509E-4</v>
      </c>
      <c r="I87" s="11">
        <f t="shared" si="25"/>
        <v>1.9337274224150663E-42</v>
      </c>
      <c r="J87" s="11">
        <f t="shared" si="26"/>
        <v>2.9434228956025682E-46</v>
      </c>
      <c r="K87" s="11">
        <f t="shared" si="22"/>
        <v>-2.3761326126667759E-46</v>
      </c>
      <c r="L87" s="11">
        <f t="shared" si="27"/>
        <v>-1.1323121076163649E-44</v>
      </c>
      <c r="M87" s="11">
        <f t="shared" si="28"/>
        <v>-8.2536332577711757E-3</v>
      </c>
      <c r="N87" s="11">
        <f t="shared" si="23"/>
        <v>1.2000841843090259E-48</v>
      </c>
      <c r="O87" s="11">
        <f t="shared" si="29"/>
        <v>-8.2536332577711757E-3</v>
      </c>
      <c r="P87" s="20">
        <f t="shared" si="31"/>
        <v>-8.2536405941710383E-3</v>
      </c>
    </row>
    <row r="88" spans="4:16" x14ac:dyDescent="0.25">
      <c r="D88" s="22">
        <v>0.2388888888888889</v>
      </c>
      <c r="E88" s="11">
        <v>48.389171187202173</v>
      </c>
      <c r="F88" s="11">
        <f t="shared" si="30"/>
        <v>-8.2540000940678222E-3</v>
      </c>
      <c r="G88" s="11">
        <f t="shared" si="21"/>
        <v>9.5629717036889506E-53</v>
      </c>
      <c r="H88" s="11">
        <f t="shared" si="24"/>
        <v>1.6404057865886674E-4</v>
      </c>
      <c r="I88" s="11">
        <f t="shared" si="25"/>
        <v>5.8296378748917877E-49</v>
      </c>
      <c r="J88" s="11">
        <f t="shared" si="26"/>
        <v>1.5148894351762637E-52</v>
      </c>
      <c r="K88" s="11">
        <f t="shared" si="22"/>
        <v>-1.1910657576455594E-52</v>
      </c>
      <c r="L88" s="11">
        <f t="shared" si="27"/>
        <v>-5.763468484192563E-51</v>
      </c>
      <c r="M88" s="11">
        <f t="shared" si="28"/>
        <v>-8.2540000940678222E-3</v>
      </c>
      <c r="N88" s="11">
        <f t="shared" si="23"/>
        <v>4.1297514761208124E-55</v>
      </c>
      <c r="O88" s="11">
        <f t="shared" si="29"/>
        <v>-8.2540000940678222E-3</v>
      </c>
      <c r="P88" s="20">
        <f t="shared" si="31"/>
        <v>-8.2540074307937555E-3</v>
      </c>
    </row>
    <row r="89" spans="4:16" x14ac:dyDescent="0.25">
      <c r="D89" s="22">
        <v>0.24166666666666667</v>
      </c>
      <c r="E89" s="11">
        <v>48.168368145681605</v>
      </c>
      <c r="F89" s="11">
        <f t="shared" si="30"/>
        <v>-8.2543669466686662E-3</v>
      </c>
      <c r="G89" s="11">
        <f t="shared" si="21"/>
        <v>7.0452228729706152E-72</v>
      </c>
      <c r="H89" s="11">
        <f t="shared" si="24"/>
        <v>1.31577420129274E-4</v>
      </c>
      <c r="I89" s="11">
        <f t="shared" si="25"/>
        <v>5.3544315324382615E-68</v>
      </c>
      <c r="J89" s="11">
        <f t="shared" si="26"/>
        <v>1.0615602402723206E-71</v>
      </c>
      <c r="K89" s="11">
        <f t="shared" si="22"/>
        <v>-8.6595923916103655E-72</v>
      </c>
      <c r="L89" s="11">
        <f t="shared" si="27"/>
        <v>-4.1711843431063148E-70</v>
      </c>
      <c r="M89" s="11">
        <f t="shared" si="28"/>
        <v>-8.2543669466686662E-3</v>
      </c>
      <c r="N89" s="11">
        <f t="shared" si="23"/>
        <v>1.6541540534755404E-74</v>
      </c>
      <c r="O89" s="11">
        <f t="shared" si="29"/>
        <v>-8.2543669466686662E-3</v>
      </c>
      <c r="P89" s="20">
        <f t="shared" si="31"/>
        <v>-8.2543742837206825E-3</v>
      </c>
    </row>
    <row r="90" spans="4:16" x14ac:dyDescent="0.25">
      <c r="D90" s="22">
        <v>0.24444444444444446</v>
      </c>
      <c r="E90" s="11">
        <v>48.225266703624911</v>
      </c>
      <c r="F90" s="11">
        <f t="shared" si="30"/>
        <v>-8.2547338155744329E-3</v>
      </c>
      <c r="G90" s="11">
        <f t="shared" si="21"/>
        <v>1.6830574380210653E-106</v>
      </c>
      <c r="H90" s="11">
        <f t="shared" si="24"/>
        <v>1.2804958009642004E-4</v>
      </c>
      <c r="I90" s="11">
        <f t="shared" si="25"/>
        <v>1.3143795057771685E-102</v>
      </c>
      <c r="J90" s="11">
        <f t="shared" si="26"/>
        <v>2.5047817132985006E-106</v>
      </c>
      <c r="K90" s="11">
        <f t="shared" si="22"/>
        <v>-2.0819846023022417E-106</v>
      </c>
      <c r="L90" s="11">
        <f t="shared" si="27"/>
        <v>-1.0040426271886605E-104</v>
      </c>
      <c r="M90" s="11">
        <f t="shared" si="28"/>
        <v>-8.2547338155744329E-3</v>
      </c>
      <c r="N90" s="11">
        <f t="shared" si="23"/>
        <v>1.7779064460969774E-109</v>
      </c>
      <c r="O90" s="11">
        <f t="shared" si="29"/>
        <v>-8.2547338155744329E-3</v>
      </c>
      <c r="P90" s="20">
        <f t="shared" si="31"/>
        <v>-8.2547411529525477E-3</v>
      </c>
    </row>
    <row r="91" spans="4:16" x14ac:dyDescent="0.25">
      <c r="D91" s="23">
        <v>0.24722222222222223</v>
      </c>
      <c r="E91" s="13">
        <v>47.515513684614</v>
      </c>
      <c r="F91" s="13">
        <f t="shared" si="30"/>
        <v>-8.2551007007858473E-3</v>
      </c>
      <c r="G91" s="13">
        <f t="shared" si="21"/>
        <v>1.8078179532889441E-231</v>
      </c>
      <c r="H91" s="13">
        <f t="shared" si="24"/>
        <v>7.0400847013396165E-5</v>
      </c>
      <c r="I91" s="13">
        <f t="shared" si="25"/>
        <v>2.5678923336603391E-227</v>
      </c>
      <c r="J91" s="13">
        <f t="shared" si="26"/>
        <v>2.3930046451331163E-231</v>
      </c>
      <c r="K91" s="13">
        <f t="shared" si="22"/>
        <v>-2.1317554732797219E-231</v>
      </c>
      <c r="L91" s="13">
        <f t="shared" si="27"/>
        <v>-1.0129145636287342E-229</v>
      </c>
      <c r="M91" s="13">
        <f t="shared" si="28"/>
        <v>-8.2551007007858473E-3</v>
      </c>
      <c r="N91" s="13">
        <f t="shared" si="23"/>
        <v>4.25630211657876E-235</v>
      </c>
      <c r="O91" s="13">
        <f t="shared" si="29"/>
        <v>-8.2551007007858473E-3</v>
      </c>
      <c r="P91" s="21">
        <f t="shared" si="31"/>
        <v>-8.2551080384900763E-3</v>
      </c>
    </row>
    <row r="92" spans="4:16" x14ac:dyDescent="0.25">
      <c r="F92" t="e">
        <f t="shared" si="30"/>
        <v>#VALUE!</v>
      </c>
    </row>
  </sheetData>
  <mergeCells count="3">
    <mergeCell ref="A1:B1"/>
    <mergeCell ref="A11:B11"/>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Transaction_costs">
                <anchor moveWithCells="1" sizeWithCells="1">
                  <from>
                    <xdr:col>0</xdr:col>
                    <xdr:colOff>9525</xdr:colOff>
                    <xdr:row>17</xdr:row>
                    <xdr:rowOff>66675</xdr:rowOff>
                  </from>
                  <to>
                    <xdr:col>2</xdr:col>
                    <xdr:colOff>38100</xdr:colOff>
                    <xdr:row>19</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90B0-D32E-449F-9598-95ECEE1F4203}">
  <sheetPr codeName="Feuil11"/>
  <dimension ref="A1:S92"/>
  <sheetViews>
    <sheetView showGridLines="0" zoomScale="48" workbookViewId="0">
      <selection activeCell="A11" sqref="A11:B11"/>
    </sheetView>
  </sheetViews>
  <sheetFormatPr baseColWidth="10" defaultRowHeight="15" x14ac:dyDescent="0.25"/>
  <cols>
    <col min="6" max="6" width="14.5703125" bestFit="1" customWidth="1"/>
  </cols>
  <sheetData>
    <row r="1" spans="1:15" ht="36.6" customHeight="1" x14ac:dyDescent="0.25">
      <c r="A1" s="61" t="s">
        <v>11</v>
      </c>
      <c r="B1" s="61"/>
      <c r="D1" s="7" t="s">
        <v>25</v>
      </c>
      <c r="E1" s="8" t="s">
        <v>0</v>
      </c>
      <c r="F1" s="8" t="s">
        <v>26</v>
      </c>
      <c r="G1" s="8" t="s">
        <v>8</v>
      </c>
      <c r="H1" s="8" t="s">
        <v>32</v>
      </c>
      <c r="I1" s="8" t="s">
        <v>71</v>
      </c>
      <c r="J1" s="8" t="s">
        <v>72</v>
      </c>
      <c r="K1" s="8" t="s">
        <v>7</v>
      </c>
      <c r="L1" s="8" t="s">
        <v>34</v>
      </c>
      <c r="M1" s="8" t="s">
        <v>36</v>
      </c>
      <c r="N1" s="8" t="s">
        <v>35</v>
      </c>
      <c r="O1" s="9" t="s">
        <v>37</v>
      </c>
    </row>
    <row r="2" spans="1:15" x14ac:dyDescent="0.25">
      <c r="A2" s="1" t="s">
        <v>0</v>
      </c>
      <c r="B2" s="1">
        <v>60.57</v>
      </c>
      <c r="D2" s="22">
        <f t="array" ref="D2:E91">BSPath($B$2, $B$8, $B$5, $B$6, $B$9)</f>
        <v>0</v>
      </c>
      <c r="E2" s="11">
        <v>60.57</v>
      </c>
      <c r="F2" s="11">
        <f>BSCall(E2,$B$3, $B$6 - D2,$B$8,$B$5) - BSPut(E2,$B$4, $B$7 - D2,$B$8, $B$5)</f>
        <v>0.53420437876534088</v>
      </c>
      <c r="G2" s="11">
        <f t="shared" ref="G2:G30" si="0">BSGreeksRR(E2,$B$3,$B$4,$B$6 - D2,$B$7 - D2,$B$8, $B$5,$G$1)</f>
        <v>2.8957864510743867E-2</v>
      </c>
      <c r="H2" s="11">
        <f t="shared" ref="H2:H33" si="1">BSGreeks(E2,$B$13,$B$14 - D2,$B$8, $B$5,$G$1)</f>
        <v>3.1178683841236805E-2</v>
      </c>
      <c r="I2" s="11">
        <f t="shared" ref="I2:I33" si="2">G2/H2</f>
        <v>0.92877122902937648</v>
      </c>
      <c r="J2" s="11">
        <f t="shared" ref="J2:J33" si="3">I2*BSCall(E2,$B$13,$B$14 - D2,$B$8,$B$5)</f>
        <v>0.75486614683378916</v>
      </c>
      <c r="K2" s="11">
        <f t="shared" ref="K2:K30" si="4">BSGreeksRR(E2,$B$3, $B$4, $B$6 - D2,$B$7 - D2,$B$8, $B$5,$K$1) - I2 *BSGreeks(E2,$B$13,$B$14 - D2,$B$8, $B$5,$K$1)</f>
        <v>2.7738648969239638E-2</v>
      </c>
      <c r="L2" s="11">
        <f t="shared" ref="L2:L33" si="5">K2 * E2</f>
        <v>1.6801299680668449</v>
      </c>
      <c r="M2" s="11">
        <f t="shared" ref="M2:M33" si="6">F2 - L2 - J2</f>
        <v>-1.9007917361352933</v>
      </c>
      <c r="N2" s="11">
        <f>BSCall(E2,$B$3, $B$6 - D2,$B$8,$B$5) - BSPut(E2,$B$4, $B$7 - D2,$B$8, $B$5)</f>
        <v>0.53420437876534088</v>
      </c>
      <c r="O2" s="20">
        <f t="shared" ref="O2:O33" si="7">F2 - N2</f>
        <v>0</v>
      </c>
    </row>
    <row r="3" spans="1:15" x14ac:dyDescent="0.25">
      <c r="A3" s="1" t="s">
        <v>1</v>
      </c>
      <c r="B3" s="1">
        <v>67</v>
      </c>
      <c r="D3" s="22">
        <v>2.7777777777777779E-3</v>
      </c>
      <c r="E3" s="11">
        <v>59.945440830387589</v>
      </c>
      <c r="F3" s="11">
        <f t="shared" ref="F3:F34" si="8">E3 * K2 + I2*BSCall(E3,$B$13,$B$14-D3,$B$8,$B$5) +  M2 * EXP($B$8*(D3 - D2))</f>
        <v>0.4090966544453627</v>
      </c>
      <c r="G3" s="11">
        <f t="shared" si="0"/>
        <v>1.9792833859904796E-2</v>
      </c>
      <c r="H3" s="11">
        <f t="shared" si="1"/>
        <v>2.9406829949579202E-2</v>
      </c>
      <c r="I3" s="11">
        <f t="shared" si="2"/>
        <v>0.67306927995440125</v>
      </c>
      <c r="J3" s="11">
        <f t="shared" si="3"/>
        <v>0.46899434033792958</v>
      </c>
      <c r="K3" s="11">
        <f t="shared" si="4"/>
        <v>6.965462724181401E-2</v>
      </c>
      <c r="L3" s="11">
        <f t="shared" si="5"/>
        <v>4.1754773358868649</v>
      </c>
      <c r="M3" s="11">
        <f t="shared" si="6"/>
        <v>-4.2353750217794319</v>
      </c>
      <c r="N3" s="11">
        <f>BSCall(E3,$B$3, $B$6 - D3,$B$8,$B$5) - BSPut(E3,$B$4, $B$7 - D3,$B$8, $B$5)</f>
        <v>0.41016205601574729</v>
      </c>
      <c r="O3" s="20">
        <f t="shared" si="7"/>
        <v>-1.0654015703845943E-3</v>
      </c>
    </row>
    <row r="4" spans="1:15" x14ac:dyDescent="0.25">
      <c r="A4" s="1" t="s">
        <v>2</v>
      </c>
      <c r="B4" s="1">
        <v>54</v>
      </c>
      <c r="D4" s="22">
        <v>5.5555555555555558E-3</v>
      </c>
      <c r="E4" s="11">
        <v>58.963636643242296</v>
      </c>
      <c r="F4" s="11">
        <f t="shared" si="8"/>
        <v>0.23679281788938855</v>
      </c>
      <c r="G4" s="11">
        <f t="shared" si="0"/>
        <v>8.7823331260177104E-4</v>
      </c>
      <c r="H4" s="11">
        <f t="shared" si="1"/>
        <v>2.646142939079962E-2</v>
      </c>
      <c r="I4" s="11">
        <f t="shared" si="2"/>
        <v>3.3189186405293891E-2</v>
      </c>
      <c r="J4" s="11">
        <f t="shared" si="3"/>
        <v>1.8011340160739561E-2</v>
      </c>
      <c r="K4" s="11">
        <f t="shared" si="4"/>
        <v>0.16179987213039218</v>
      </c>
      <c r="L4" s="11">
        <f t="shared" si="5"/>
        <v>9.5403088692195102</v>
      </c>
      <c r="M4" s="11">
        <f t="shared" si="6"/>
        <v>-9.3215273914908607</v>
      </c>
      <c r="N4" s="11">
        <f>BSCall(E4,$B$3, $B$6 - D4,$B$8,$B$5) - BSPut(E4,$B$4, $B$7 - D4,$B$8, $B$5)</f>
        <v>0.23855010386967679</v>
      </c>
      <c r="O4" s="20">
        <f t="shared" si="7"/>
        <v>-1.7572859802882368E-3</v>
      </c>
    </row>
    <row r="5" spans="1:15" x14ac:dyDescent="0.25">
      <c r="A5" s="1" t="s">
        <v>3</v>
      </c>
      <c r="B5" s="1">
        <v>0.2</v>
      </c>
      <c r="D5" s="22">
        <v>8.3333333333333332E-3</v>
      </c>
      <c r="E5" s="11">
        <v>58.533862540011697</v>
      </c>
      <c r="F5" s="11">
        <f t="shared" si="8"/>
        <v>0.1647964488724778</v>
      </c>
      <c r="G5" s="11">
        <f t="shared" si="0"/>
        <v>-8.7812540921254588E-3</v>
      </c>
      <c r="H5" s="11">
        <f t="shared" si="1"/>
        <v>2.5104902052769374E-2</v>
      </c>
      <c r="I5" s="11">
        <f t="shared" si="2"/>
        <v>-0.34978244781308676</v>
      </c>
      <c r="J5" s="11">
        <f t="shared" si="3"/>
        <v>-0.16827346233650461</v>
      </c>
      <c r="K5" s="11">
        <f t="shared" si="4"/>
        <v>0.20720428104801536</v>
      </c>
      <c r="L5" s="11">
        <f t="shared" si="5"/>
        <v>12.128466904566482</v>
      </c>
      <c r="M5" s="11">
        <f t="shared" si="6"/>
        <v>-11.7953969933575</v>
      </c>
      <c r="N5" s="11">
        <f>BSCall(E5,$B$3, $B$6 - D5,$B$8,$B$5) - BSPut(E5,$B$4, $B$7 - D5,$B$8, $B$5)</f>
        <v>0.16813971928697113</v>
      </c>
      <c r="O5" s="20">
        <f t="shared" si="7"/>
        <v>-3.3432704144933378E-3</v>
      </c>
    </row>
    <row r="6" spans="1:15" x14ac:dyDescent="0.25">
      <c r="A6" s="1" t="s">
        <v>4</v>
      </c>
      <c r="B6" s="1">
        <v>0.25</v>
      </c>
      <c r="D6" s="22">
        <v>1.1111111111111112E-2</v>
      </c>
      <c r="E6" s="11">
        <v>58.969428668733705</v>
      </c>
      <c r="F6" s="11">
        <f t="shared" si="8"/>
        <v>0.2365037034631019</v>
      </c>
      <c r="G6" s="11">
        <f t="shared" si="0"/>
        <v>2.5872536804241262E-3</v>
      </c>
      <c r="H6" s="11">
        <f t="shared" si="1"/>
        <v>2.6407443442526053E-2</v>
      </c>
      <c r="I6" s="11">
        <f t="shared" si="2"/>
        <v>9.7974409603682464E-2</v>
      </c>
      <c r="J6" s="11">
        <f t="shared" si="3"/>
        <v>5.2180887954037351E-2</v>
      </c>
      <c r="K6" s="11">
        <f t="shared" si="4"/>
        <v>0.14417719957859748</v>
      </c>
      <c r="L6" s="11">
        <f t="shared" si="5"/>
        <v>8.5020470862078881</v>
      </c>
      <c r="M6" s="11">
        <f t="shared" si="6"/>
        <v>-8.3177242706988235</v>
      </c>
      <c r="N6" s="11">
        <f>BSCall(E6,$B$3, $B$6 - D6,$B$8,$B$5) - BSPut(E6,$B$4, $B$7 - D6,$B$8, $B$5)</f>
        <v>0.237998578601265</v>
      </c>
      <c r="O6" s="20">
        <f t="shared" si="7"/>
        <v>-1.4948751381630987E-3</v>
      </c>
    </row>
    <row r="7" spans="1:15" x14ac:dyDescent="0.25">
      <c r="A7" s="1" t="s">
        <v>5</v>
      </c>
      <c r="B7" s="1">
        <v>8.3333333333333329E-2</v>
      </c>
      <c r="D7" s="22">
        <v>1.388888888888889E-2</v>
      </c>
      <c r="E7" s="11">
        <v>60.002073021489551</v>
      </c>
      <c r="F7" s="11">
        <f t="shared" si="8"/>
        <v>0.39955153190736503</v>
      </c>
      <c r="G7" s="11">
        <f t="shared" si="0"/>
        <v>2.4001562504897329E-2</v>
      </c>
      <c r="H7" s="11">
        <f t="shared" si="1"/>
        <v>2.9506305761797601E-2</v>
      </c>
      <c r="I7" s="11">
        <f t="shared" si="2"/>
        <v>0.81343841206894252</v>
      </c>
      <c r="J7" s="11">
        <f t="shared" si="3"/>
        <v>0.55390221954882402</v>
      </c>
      <c r="K7" s="11">
        <f t="shared" si="4"/>
        <v>3.4632936096391648E-2</v>
      </c>
      <c r="L7" s="11">
        <f t="shared" si="5"/>
        <v>2.0780479606042728</v>
      </c>
      <c r="M7" s="11">
        <f t="shared" si="6"/>
        <v>-2.2323986482457316</v>
      </c>
      <c r="N7" s="11">
        <f>BSCall(E7,$B$3, $B$6 - D7,$B$8,$B$5) - BSPut(E7,$B$4, $B$7 - D7,$B$8, $B$5)</f>
        <v>0.40077168068995395</v>
      </c>
      <c r="O7" s="20">
        <f t="shared" si="7"/>
        <v>-1.2201487825889146E-3</v>
      </c>
    </row>
    <row r="8" spans="1:15" x14ac:dyDescent="0.25">
      <c r="A8" s="1" t="s">
        <v>6</v>
      </c>
      <c r="B8" s="1">
        <v>1.6E-2</v>
      </c>
      <c r="D8" s="22">
        <v>1.6666666666666666E-2</v>
      </c>
      <c r="E8" s="11">
        <v>59.753048056835546</v>
      </c>
      <c r="F8" s="11">
        <f t="shared" si="8"/>
        <v>0.3534708211442954</v>
      </c>
      <c r="G8" s="11">
        <f t="shared" si="0"/>
        <v>2.0566238361313206E-2</v>
      </c>
      <c r="H8" s="11">
        <f t="shared" si="1"/>
        <v>2.8740462630373588E-2</v>
      </c>
      <c r="I8" s="11">
        <f t="shared" si="2"/>
        <v>0.71558480549921033</v>
      </c>
      <c r="J8" s="11">
        <f t="shared" si="3"/>
        <v>0.45440673439920365</v>
      </c>
      <c r="K8" s="11">
        <f t="shared" si="4"/>
        <v>4.7225621946576271E-2</v>
      </c>
      <c r="L8" s="11">
        <f t="shared" si="5"/>
        <v>2.8218748576877193</v>
      </c>
      <c r="M8" s="11">
        <f t="shared" si="6"/>
        <v>-2.9228107709426276</v>
      </c>
      <c r="N8" s="11">
        <f>BSCall(E8,$B$3, $B$6 - D8,$B$8,$B$5) - BSPut(E8,$B$4, $B$7 - D8,$B$8, $B$5)</f>
        <v>0.35530710092708123</v>
      </c>
      <c r="O8" s="20">
        <f t="shared" si="7"/>
        <v>-1.8362797827858324E-3</v>
      </c>
    </row>
    <row r="9" spans="1:15" x14ac:dyDescent="0.25">
      <c r="A9" s="25" t="s">
        <v>30</v>
      </c>
      <c r="B9" s="1">
        <f>360*B6</f>
        <v>90</v>
      </c>
      <c r="D9" s="22">
        <v>1.9444444444444445E-2</v>
      </c>
      <c r="E9" s="11">
        <v>60.057794626838643</v>
      </c>
      <c r="F9" s="11">
        <f t="shared" si="8"/>
        <v>0.39806348710606265</v>
      </c>
      <c r="G9" s="11">
        <f t="shared" si="0"/>
        <v>2.6686216148856787E-2</v>
      </c>
      <c r="H9" s="11">
        <f t="shared" si="1"/>
        <v>2.9637383095067624E-2</v>
      </c>
      <c r="I9" s="11">
        <f t="shared" si="2"/>
        <v>0.90042417251400364</v>
      </c>
      <c r="J9" s="11">
        <f t="shared" si="3"/>
        <v>0.60994772755434179</v>
      </c>
      <c r="K9" s="11">
        <f t="shared" si="4"/>
        <v>1.4855045703203368E-2</v>
      </c>
      <c r="L9" s="11">
        <f t="shared" si="5"/>
        <v>0.89216128401528971</v>
      </c>
      <c r="M9" s="11">
        <f t="shared" si="6"/>
        <v>-1.1040455244635687</v>
      </c>
      <c r="N9" s="11">
        <f>BSCall(E9,$B$3, $B$6 - D9,$B$8,$B$5) - BSPut(E9,$B$4, $B$7 - D9,$B$8, $B$5)</f>
        <v>0.39896784996107165</v>
      </c>
      <c r="O9" s="20">
        <f t="shared" si="7"/>
        <v>-9.0436285500899993E-4</v>
      </c>
    </row>
    <row r="10" spans="1:15" x14ac:dyDescent="0.25">
      <c r="D10" s="22">
        <v>2.2222222222222223E-2</v>
      </c>
      <c r="E10" s="11">
        <v>60.574203238036731</v>
      </c>
      <c r="F10" s="11">
        <f t="shared" si="8"/>
        <v>0.47921571694106935</v>
      </c>
      <c r="G10" s="11">
        <f t="shared" si="0"/>
        <v>3.5021908997263214E-2</v>
      </c>
      <c r="H10" s="11">
        <f t="shared" si="1"/>
        <v>3.1151865968001714E-2</v>
      </c>
      <c r="I10" s="11">
        <f t="shared" si="2"/>
        <v>1.1242314997514657</v>
      </c>
      <c r="J10" s="11">
        <f t="shared" si="3"/>
        <v>0.85336138620766977</v>
      </c>
      <c r="K10" s="11">
        <f t="shared" si="4"/>
        <v>-2.561174878505762E-2</v>
      </c>
      <c r="L10" s="11">
        <f t="shared" si="5"/>
        <v>-1.5514112761876206</v>
      </c>
      <c r="M10" s="11">
        <f t="shared" si="6"/>
        <v>1.1772656069210203</v>
      </c>
      <c r="N10" s="11">
        <f>BSCall(E10,$B$3, $B$6 - D10,$B$8,$B$5) - BSPut(E10,$B$4, $B$7 - D10,$B$8, $B$5)</f>
        <v>0.47906780767143603</v>
      </c>
      <c r="O10" s="20">
        <f t="shared" si="7"/>
        <v>1.479092696333173E-4</v>
      </c>
    </row>
    <row r="11" spans="1:15" x14ac:dyDescent="0.25">
      <c r="A11" s="57" t="s">
        <v>70</v>
      </c>
      <c r="B11" s="57"/>
      <c r="D11" s="22">
        <v>2.5000000000000001E-2</v>
      </c>
      <c r="E11" s="11">
        <v>59.4235936355958</v>
      </c>
      <c r="F11" s="11">
        <f t="shared" si="8"/>
        <v>0.29389554078274061</v>
      </c>
      <c r="G11" s="11">
        <f t="shared" si="0"/>
        <v>1.7401061970355187E-2</v>
      </c>
      <c r="H11" s="11">
        <f t="shared" si="1"/>
        <v>2.7644153591183333E-2</v>
      </c>
      <c r="I11" s="11">
        <f t="shared" si="2"/>
        <v>0.62946625994383787</v>
      </c>
      <c r="J11" s="11">
        <f t="shared" si="3"/>
        <v>0.35751235088305927</v>
      </c>
      <c r="K11" s="11">
        <f t="shared" si="4"/>
        <v>5.0145968730541779E-2</v>
      </c>
      <c r="L11" s="11">
        <f t="shared" si="5"/>
        <v>2.9798536683070083</v>
      </c>
      <c r="M11" s="11">
        <f t="shared" si="6"/>
        <v>-3.0434704784073272</v>
      </c>
      <c r="N11" s="11">
        <f>BSCall(E11,$B$3, $B$6 - D11,$B$8,$B$5) - BSPut(E11,$B$4, $B$7 - D11,$B$8, $B$5)</f>
        <v>0.29367687712154955</v>
      </c>
      <c r="O11" s="20">
        <f t="shared" si="7"/>
        <v>2.1866366119105418E-4</v>
      </c>
    </row>
    <row r="12" spans="1:15" x14ac:dyDescent="0.25">
      <c r="A12" s="1" t="s">
        <v>0</v>
      </c>
      <c r="B12" s="1">
        <v>60.57</v>
      </c>
      <c r="D12" s="22">
        <v>2.777777777777778E-2</v>
      </c>
      <c r="E12" s="11">
        <v>59.940485080113916</v>
      </c>
      <c r="F12" s="11">
        <f t="shared" si="8"/>
        <v>0.3648515558483636</v>
      </c>
      <c r="G12" s="11">
        <f t="shared" si="0"/>
        <v>2.7643463340850251E-2</v>
      </c>
      <c r="H12" s="11">
        <f t="shared" si="1"/>
        <v>2.9221463672694792E-2</v>
      </c>
      <c r="I12" s="11">
        <f t="shared" si="2"/>
        <v>0.94599858687711591</v>
      </c>
      <c r="J12" s="11">
        <f t="shared" si="3"/>
        <v>0.60517640458559685</v>
      </c>
      <c r="K12" s="11">
        <f t="shared" si="4"/>
        <v>-3.7244282814527518E-4</v>
      </c>
      <c r="L12" s="11">
        <f t="shared" si="5"/>
        <v>-2.2324403783637297E-2</v>
      </c>
      <c r="M12" s="11">
        <f t="shared" si="6"/>
        <v>-0.21800044495359594</v>
      </c>
      <c r="N12" s="11">
        <f>BSCall(E12,$B$3, $B$6 - D12,$B$8,$B$5) - BSPut(E12,$B$4, $B$7 - D12,$B$8, $B$5)</f>
        <v>0.36327155377539222</v>
      </c>
      <c r="O12" s="20">
        <f t="shared" si="7"/>
        <v>1.580002072971376E-3</v>
      </c>
    </row>
    <row r="13" spans="1:15" x14ac:dyDescent="0.25">
      <c r="A13" s="1" t="s">
        <v>1</v>
      </c>
      <c r="B13" s="1">
        <v>70</v>
      </c>
      <c r="D13" s="22">
        <v>3.0555555555555558E-2</v>
      </c>
      <c r="E13" s="11">
        <v>59.916991121222573</v>
      </c>
      <c r="F13" s="11">
        <f t="shared" si="8"/>
        <v>0.35549496822252463</v>
      </c>
      <c r="G13" s="11">
        <f t="shared" si="0"/>
        <v>2.8267833099448195E-2</v>
      </c>
      <c r="H13" s="11">
        <f t="shared" si="1"/>
        <v>2.9125967612826337E-2</v>
      </c>
      <c r="I13" s="11">
        <f t="shared" si="2"/>
        <v>0.97053713288480614</v>
      </c>
      <c r="J13" s="11">
        <f t="shared" si="3"/>
        <v>0.6112759323244088</v>
      </c>
      <c r="K13" s="11">
        <f t="shared" si="4"/>
        <v>-6.772009920499783E-3</v>
      </c>
      <c r="L13" s="11">
        <f t="shared" si="5"/>
        <v>-0.4057584582794167</v>
      </c>
      <c r="M13" s="11">
        <f t="shared" si="6"/>
        <v>0.14997749417753248</v>
      </c>
      <c r="N13" s="11">
        <f>BSCall(E13,$B$3, $B$6 - D13,$B$8,$B$5) - BSPut(E13,$B$4, $B$7 - D13,$B$8, $B$5)</f>
        <v>0.35387777235668183</v>
      </c>
      <c r="O13" s="20">
        <f t="shared" si="7"/>
        <v>1.6171958658428021E-3</v>
      </c>
    </row>
    <row r="14" spans="1:15" x14ac:dyDescent="0.25">
      <c r="A14" s="1" t="s">
        <v>31</v>
      </c>
      <c r="B14" s="1">
        <v>0.5</v>
      </c>
      <c r="D14" s="22">
        <v>3.3333333333333333E-2</v>
      </c>
      <c r="E14" s="11">
        <v>59.402622856326069</v>
      </c>
      <c r="F14" s="11">
        <f t="shared" si="8"/>
        <v>0.27928944239084785</v>
      </c>
      <c r="G14" s="11">
        <f t="shared" si="0"/>
        <v>2.0551816644530246E-2</v>
      </c>
      <c r="H14" s="11">
        <f t="shared" si="1"/>
        <v>2.7477297351443143E-2</v>
      </c>
      <c r="I14" s="11">
        <f t="shared" si="2"/>
        <v>0.74795626300746199</v>
      </c>
      <c r="J14" s="11">
        <f t="shared" si="3"/>
        <v>0.40966893609263261</v>
      </c>
      <c r="K14" s="11">
        <f t="shared" si="4"/>
        <v>2.3227614984650674E-2</v>
      </c>
      <c r="L14" s="11">
        <f t="shared" si="5"/>
        <v>1.3797812527851521</v>
      </c>
      <c r="M14" s="11">
        <f t="shared" si="6"/>
        <v>-1.5101607464869369</v>
      </c>
      <c r="N14" s="11">
        <f>BSCall(E14,$B$3, $B$6 - D14,$B$8,$B$5) - BSPut(E14,$B$4, $B$7 - D14,$B$8, $B$5)</f>
        <v>0.27868949509289243</v>
      </c>
      <c r="O14" s="20">
        <f t="shared" si="7"/>
        <v>5.9994729795542767E-4</v>
      </c>
    </row>
    <row r="15" spans="1:15" x14ac:dyDescent="0.25">
      <c r="D15" s="22">
        <v>3.6111111111111115E-2</v>
      </c>
      <c r="E15" s="11">
        <v>59.567310953061593</v>
      </c>
      <c r="F15" s="11">
        <f t="shared" si="8"/>
        <v>0.29622858000232188</v>
      </c>
      <c r="G15" s="11">
        <f t="shared" si="0"/>
        <v>2.4730520591453722E-2</v>
      </c>
      <c r="H15" s="11">
        <f t="shared" si="1"/>
        <v>2.7968925289323703E-2</v>
      </c>
      <c r="I15" s="11">
        <f t="shared" si="2"/>
        <v>0.88421418898400994</v>
      </c>
      <c r="J15" s="11">
        <f t="shared" si="3"/>
        <v>0.49988199008855061</v>
      </c>
      <c r="K15" s="11">
        <f t="shared" si="4"/>
        <v>8.3518849033070719E-4</v>
      </c>
      <c r="L15" s="11">
        <f t="shared" si="5"/>
        <v>4.9749932507947313E-2</v>
      </c>
      <c r="M15" s="11">
        <f t="shared" si="6"/>
        <v>-0.25340334259417607</v>
      </c>
      <c r="N15" s="11">
        <f>BSCall(E15,$B$3, $B$6 - D15,$B$8,$B$5) - BSPut(E15,$B$4, $B$7 - D15,$B$8, $B$5)</f>
        <v>0.29501166116991406</v>
      </c>
      <c r="O15" s="20">
        <f t="shared" si="7"/>
        <v>1.2169188324078206E-3</v>
      </c>
    </row>
    <row r="16" spans="1:15" x14ac:dyDescent="0.25">
      <c r="D16" s="22">
        <v>3.888888888888889E-2</v>
      </c>
      <c r="E16" s="11">
        <v>60.407496172105951</v>
      </c>
      <c r="F16" s="11">
        <f t="shared" si="8"/>
        <v>0.40710433632197851</v>
      </c>
      <c r="G16" s="11">
        <f t="shared" si="0"/>
        <v>3.7532029357197079E-2</v>
      </c>
      <c r="H16" s="11">
        <f t="shared" si="1"/>
        <v>3.0585881821980805E-2</v>
      </c>
      <c r="I16" s="11">
        <f t="shared" si="2"/>
        <v>1.227103065906191</v>
      </c>
      <c r="J16" s="11">
        <f t="shared" si="3"/>
        <v>0.8466449177845673</v>
      </c>
      <c r="K16" s="11">
        <f t="shared" si="4"/>
        <v>-5.4252334437715322E-2</v>
      </c>
      <c r="L16" s="11">
        <f t="shared" si="5"/>
        <v>-3.2772476848741001</v>
      </c>
      <c r="M16" s="11">
        <f t="shared" si="6"/>
        <v>2.8377071034115113</v>
      </c>
      <c r="N16" s="11">
        <f>BSCall(E16,$B$3, $B$6 - D16,$B$8,$B$5) - BSPut(E16,$B$4, $B$7 - D16,$B$8, $B$5)</f>
        <v>0.40509632554332059</v>
      </c>
      <c r="O16" s="20">
        <f t="shared" si="7"/>
        <v>2.0080107786579204E-3</v>
      </c>
    </row>
    <row r="17" spans="4:19" x14ac:dyDescent="0.25">
      <c r="D17" s="22">
        <v>4.1666666666666671E-2</v>
      </c>
      <c r="E17" s="11">
        <v>61.429441033389665</v>
      </c>
      <c r="F17" s="11">
        <f t="shared" si="8"/>
        <v>0.57317613013538038</v>
      </c>
      <c r="G17" s="11">
        <f t="shared" si="0"/>
        <v>4.7812292610736558E-2</v>
      </c>
      <c r="H17" s="11">
        <f t="shared" si="1"/>
        <v>3.3627653890999983E-2</v>
      </c>
      <c r="I17" s="11">
        <f t="shared" si="2"/>
        <v>1.4218146994647436</v>
      </c>
      <c r="J17" s="11">
        <f t="shared" si="3"/>
        <v>1.2375046136363752</v>
      </c>
      <c r="K17" s="11">
        <f t="shared" si="4"/>
        <v>-9.0722596081716178E-2</v>
      </c>
      <c r="L17" s="11">
        <f t="shared" si="5"/>
        <v>-5.573038366397812</v>
      </c>
      <c r="M17" s="11">
        <f t="shared" si="6"/>
        <v>4.908709882896817</v>
      </c>
      <c r="N17" s="11">
        <f>BSCall(E17,$B$3, $B$6 - D17,$B$8,$B$5) - BSPut(E17,$B$4, $B$7 - D17,$B$8, $B$5)</f>
        <v>0.57104170799543608</v>
      </c>
      <c r="O17" s="20">
        <f t="shared" si="7"/>
        <v>2.1344221399443031E-3</v>
      </c>
    </row>
    <row r="18" spans="4:19" ht="31.5" x14ac:dyDescent="0.25">
      <c r="D18" s="22">
        <v>4.4444444444444446E-2</v>
      </c>
      <c r="E18" s="11">
        <v>61.687624778100307</v>
      </c>
      <c r="F18" s="11">
        <f t="shared" si="8"/>
        <v>0.6137985710294922</v>
      </c>
      <c r="G18" s="11">
        <f t="shared" si="0"/>
        <v>5.0073704069166808E-2</v>
      </c>
      <c r="H18" s="11">
        <f t="shared" si="1"/>
        <v>3.4370755533056359E-2</v>
      </c>
      <c r="I18" s="11">
        <f t="shared" si="2"/>
        <v>1.456869460463504</v>
      </c>
      <c r="J18" s="11">
        <f t="shared" si="3"/>
        <v>1.3334162508577303</v>
      </c>
      <c r="K18" s="11">
        <f t="shared" si="4"/>
        <v>-9.8610901541050511E-2</v>
      </c>
      <c r="L18" s="11">
        <f t="shared" si="5"/>
        <v>-6.0830722932945172</v>
      </c>
      <c r="M18" s="11">
        <f t="shared" si="6"/>
        <v>5.3634546134662795</v>
      </c>
      <c r="N18" s="11">
        <f>BSCall(E18,$B$3, $B$6 - D18,$B$8,$B$5) - BSPut(E18,$B$4, $B$7 - D18,$B$8, $B$5)</f>
        <v>0.61144589269234328</v>
      </c>
      <c r="O18" s="20">
        <f t="shared" si="7"/>
        <v>2.3526783371489168E-3</v>
      </c>
      <c r="Q18" s="8" t="s">
        <v>64</v>
      </c>
      <c r="R18" s="8" t="s">
        <v>65</v>
      </c>
      <c r="S18" s="8" t="s">
        <v>66</v>
      </c>
    </row>
    <row r="19" spans="4:19" x14ac:dyDescent="0.25">
      <c r="D19" s="22">
        <v>4.7222222222222221E-2</v>
      </c>
      <c r="E19" s="11">
        <v>60.272008576011729</v>
      </c>
      <c r="F19" s="11">
        <f t="shared" si="8"/>
        <v>0.36432250448019499</v>
      </c>
      <c r="G19" s="11">
        <f t="shared" si="0"/>
        <v>3.7986755599021656E-2</v>
      </c>
      <c r="H19" s="11">
        <f t="shared" si="1"/>
        <v>3.0108561151808575E-2</v>
      </c>
      <c r="I19" s="11">
        <f t="shared" si="2"/>
        <v>1.2616596126095467</v>
      </c>
      <c r="J19" s="11">
        <f t="shared" si="3"/>
        <v>0.81760323512622091</v>
      </c>
      <c r="K19" s="11">
        <f t="shared" si="4"/>
        <v>-6.4313983000663155E-2</v>
      </c>
      <c r="L19" s="11">
        <f t="shared" si="5"/>
        <v>-3.8763329349734423</v>
      </c>
      <c r="M19" s="11">
        <f t="shared" si="6"/>
        <v>3.4230522043274165</v>
      </c>
      <c r="N19" s="11">
        <f>BSCall(E19,$B$3, $B$6 - D19,$B$8,$B$5) - BSPut(E19,$B$4, $B$7 - D19,$B$8, $B$5)</f>
        <v>0.36139205123498203</v>
      </c>
      <c r="O19" s="20">
        <f t="shared" si="7"/>
        <v>2.9304532452129606E-3</v>
      </c>
      <c r="Q19" t="s">
        <v>50</v>
      </c>
      <c r="R19">
        <v>-0.13476117467227355</v>
      </c>
      <c r="S19">
        <v>-0.23228422277481611</v>
      </c>
    </row>
    <row r="20" spans="4:19" x14ac:dyDescent="0.25">
      <c r="D20" s="22">
        <v>0.05</v>
      </c>
      <c r="E20" s="11">
        <v>60.540074539208987</v>
      </c>
      <c r="F20" s="11">
        <f t="shared" si="8"/>
        <v>0.39455024324557808</v>
      </c>
      <c r="G20" s="11">
        <f t="shared" si="0"/>
        <v>4.1107645324137854E-2</v>
      </c>
      <c r="H20" s="11">
        <f t="shared" si="1"/>
        <v>3.0939284933559266E-2</v>
      </c>
      <c r="I20" s="11">
        <f t="shared" si="2"/>
        <v>1.3286553135411723</v>
      </c>
      <c r="J20" s="11">
        <f t="shared" si="3"/>
        <v>0.91084751555771371</v>
      </c>
      <c r="K20" s="11">
        <f t="shared" si="4"/>
        <v>-7.6497048016177516E-2</v>
      </c>
      <c r="L20" s="11">
        <f t="shared" si="5"/>
        <v>-4.6311369889288354</v>
      </c>
      <c r="M20" s="11">
        <f t="shared" si="6"/>
        <v>4.1148397166167001</v>
      </c>
      <c r="N20" s="11">
        <f>BSCall(E20,$B$3, $B$6 - D20,$B$8,$B$5) - BSPut(E20,$B$4, $B$7 - D20,$B$8, $B$5)</f>
        <v>0.39126073154436308</v>
      </c>
      <c r="O20" s="20">
        <f t="shared" si="7"/>
        <v>3.2895117012149977E-3</v>
      </c>
      <c r="Q20" t="s">
        <v>51</v>
      </c>
      <c r="R20">
        <v>2.6669525453573116E-2</v>
      </c>
      <c r="S20">
        <v>0.11587327471968756</v>
      </c>
    </row>
    <row r="21" spans="4:19" x14ac:dyDescent="0.25">
      <c r="D21" s="22">
        <v>5.2777777777777778E-2</v>
      </c>
      <c r="E21" s="11">
        <v>61.696638376837292</v>
      </c>
      <c r="F21" s="11">
        <f t="shared" si="8"/>
        <v>0.58285902444639781</v>
      </c>
      <c r="G21" s="11">
        <f t="shared" si="0"/>
        <v>5.0678251485300668E-2</v>
      </c>
      <c r="H21" s="11">
        <f t="shared" si="1"/>
        <v>3.4437842364973451E-2</v>
      </c>
      <c r="I21" s="11">
        <f t="shared" si="2"/>
        <v>1.471586139114373</v>
      </c>
      <c r="J21" s="11">
        <f t="shared" si="3"/>
        <v>1.3151874080095365</v>
      </c>
      <c r="K21" s="11">
        <f t="shared" si="4"/>
        <v>-0.10362628081640901</v>
      </c>
      <c r="L21" s="11">
        <f t="shared" si="5"/>
        <v>-6.3933931738665786</v>
      </c>
      <c r="M21" s="11">
        <f t="shared" si="6"/>
        <v>5.6610647903034401</v>
      </c>
      <c r="N21" s="11">
        <f>BSCall(E21,$B$3, $B$6 - D21,$B$8,$B$5) - BSPut(E21,$B$4, $B$7 - D21,$B$8, $B$5)</f>
        <v>0.57971001339734718</v>
      </c>
      <c r="O21" s="20">
        <f t="shared" si="7"/>
        <v>3.1490110490506318E-3</v>
      </c>
      <c r="Q21" t="s">
        <v>52</v>
      </c>
      <c r="R21">
        <v>-5.0919279789918177E-3</v>
      </c>
      <c r="S21">
        <v>-4.480847910397579E-3</v>
      </c>
    </row>
    <row r="22" spans="4:19" x14ac:dyDescent="0.25">
      <c r="D22" s="22">
        <v>5.5555555555555559E-2</v>
      </c>
      <c r="E22" s="11">
        <v>60.171899089519471</v>
      </c>
      <c r="F22" s="11">
        <f t="shared" si="8"/>
        <v>0.32793730737396043</v>
      </c>
      <c r="G22" s="11">
        <f t="shared" si="0"/>
        <v>3.8352695269788684E-2</v>
      </c>
      <c r="H22" s="11">
        <f t="shared" si="1"/>
        <v>2.9717414664566188E-2</v>
      </c>
      <c r="I22" s="11">
        <f t="shared" si="2"/>
        <v>1.2905798065778193</v>
      </c>
      <c r="J22" s="11">
        <f t="shared" si="3"/>
        <v>0.79106290685343683</v>
      </c>
      <c r="K22" s="11">
        <f t="shared" si="4"/>
        <v>-7.2418827368158328E-2</v>
      </c>
      <c r="L22" s="11">
        <f t="shared" si="5"/>
        <v>-4.3575783725781543</v>
      </c>
      <c r="M22" s="11">
        <f t="shared" si="6"/>
        <v>3.8944527730986778</v>
      </c>
      <c r="N22" s="11">
        <f>BSCall(E22,$B$3, $B$6 - D22,$B$8,$B$5) - BSPut(E22,$B$4, $B$7 - D22,$B$8, $B$5)</f>
        <v>0.32392917575268104</v>
      </c>
      <c r="O22" s="20">
        <f t="shared" si="7"/>
        <v>4.0081316212793872E-3</v>
      </c>
      <c r="Q22" t="s">
        <v>53</v>
      </c>
      <c r="R22">
        <v>2.8258015889540404E-2</v>
      </c>
      <c r="S22">
        <v>5.6331640087665273E-2</v>
      </c>
    </row>
    <row r="23" spans="4:19" x14ac:dyDescent="0.25">
      <c r="D23" s="22">
        <v>5.8333333333333334E-2</v>
      </c>
      <c r="E23" s="11">
        <v>61.240645420512202</v>
      </c>
      <c r="F23" s="11">
        <f t="shared" si="8"/>
        <v>0.47791823493579111</v>
      </c>
      <c r="G23" s="11">
        <f t="shared" si="0"/>
        <v>4.741536352931449E-2</v>
      </c>
      <c r="H23" s="11">
        <f t="shared" si="1"/>
        <v>3.3095870189082978E-2</v>
      </c>
      <c r="I23" s="11">
        <f t="shared" si="2"/>
        <v>1.4326670747262886</v>
      </c>
      <c r="J23" s="11">
        <f t="shared" si="3"/>
        <v>1.130375024020783</v>
      </c>
      <c r="K23" s="11">
        <f t="shared" si="4"/>
        <v>-9.7339962891850512E-2</v>
      </c>
      <c r="L23" s="11">
        <f t="shared" si="5"/>
        <v>-5.9611621527056329</v>
      </c>
      <c r="M23" s="11">
        <f t="shared" si="6"/>
        <v>5.3087053636206409</v>
      </c>
      <c r="N23" s="11">
        <f>BSCall(E23,$B$3, $B$6 - D23,$B$8,$B$5) - BSPut(E23,$B$4, $B$7 - D23,$B$8, $B$5)</f>
        <v>0.4738780938477683</v>
      </c>
      <c r="O23" s="20">
        <f t="shared" si="7"/>
        <v>4.0401410880228084E-3</v>
      </c>
    </row>
    <row r="24" spans="4:19" x14ac:dyDescent="0.25">
      <c r="D24" s="22">
        <v>6.1111111111111116E-2</v>
      </c>
      <c r="E24" s="11">
        <v>60.307829876338012</v>
      </c>
      <c r="F24" s="11">
        <f t="shared" si="8"/>
        <v>0.32875727431396395</v>
      </c>
      <c r="G24" s="11">
        <f t="shared" si="0"/>
        <v>3.9872784961704863E-2</v>
      </c>
      <c r="H24" s="11">
        <f t="shared" si="1"/>
        <v>3.0113620452494366E-2</v>
      </c>
      <c r="I24" s="11">
        <f t="shared" si="2"/>
        <v>1.3240780870106945</v>
      </c>
      <c r="J24" s="11">
        <f t="shared" si="3"/>
        <v>0.82270686063844956</v>
      </c>
      <c r="K24" s="11">
        <f t="shared" si="4"/>
        <v>-7.9467966025067477E-2</v>
      </c>
      <c r="L24" s="11">
        <f t="shared" si="5"/>
        <v>-4.7925405756583785</v>
      </c>
      <c r="M24" s="11">
        <f t="shared" si="6"/>
        <v>4.2985909893338929</v>
      </c>
      <c r="N24" s="11">
        <f>BSCall(E24,$B$3, $B$6 - D24,$B$8,$B$5) - BSPut(E24,$B$4, $B$7 - D24,$B$8, $B$5)</f>
        <v>0.32491318243257195</v>
      </c>
      <c r="O24" s="20">
        <f t="shared" si="7"/>
        <v>3.8440918813920089E-3</v>
      </c>
    </row>
    <row r="25" spans="4:19" x14ac:dyDescent="0.25">
      <c r="D25" s="22">
        <v>6.3888888888888898E-2</v>
      </c>
      <c r="E25" s="11">
        <v>59.964835073771113</v>
      </c>
      <c r="F25" s="11">
        <f t="shared" si="8"/>
        <v>0.27893208106942957</v>
      </c>
      <c r="G25" s="11">
        <f t="shared" si="0"/>
        <v>3.698216089422119E-2</v>
      </c>
      <c r="H25" s="11">
        <f t="shared" si="1"/>
        <v>2.8943466777748856E-2</v>
      </c>
      <c r="I25" s="11">
        <f t="shared" si="2"/>
        <v>1.2777377768254188</v>
      </c>
      <c r="J25" s="11">
        <f t="shared" si="3"/>
        <v>0.71934470633491787</v>
      </c>
      <c r="K25" s="11">
        <f t="shared" si="4"/>
        <v>-7.327090828108497E-2</v>
      </c>
      <c r="L25" s="11">
        <f t="shared" si="5"/>
        <v>-4.3936779307806706</v>
      </c>
      <c r="M25" s="11">
        <f t="shared" si="6"/>
        <v>3.9532653055151821</v>
      </c>
      <c r="N25" s="11">
        <f>BSCall(E25,$B$3, $B$6 - D25,$B$8,$B$5) - BSPut(E25,$B$4, $B$7 - D25,$B$8, $B$5)</f>
        <v>0.27533652187858038</v>
      </c>
      <c r="O25" s="20">
        <f t="shared" si="7"/>
        <v>3.5955591908491957E-3</v>
      </c>
    </row>
    <row r="26" spans="4:19" x14ac:dyDescent="0.25">
      <c r="D26" s="22">
        <v>6.6666666666666666E-2</v>
      </c>
      <c r="E26" s="11">
        <v>60.099133969451444</v>
      </c>
      <c r="F26" s="11">
        <f t="shared" si="8"/>
        <v>0.28668708384216357</v>
      </c>
      <c r="G26" s="11">
        <f t="shared" si="0"/>
        <v>3.8039524545441426E-2</v>
      </c>
      <c r="H26" s="11">
        <f t="shared" si="1"/>
        <v>2.9363763216728553E-2</v>
      </c>
      <c r="I26" s="11">
        <f t="shared" si="2"/>
        <v>1.2954580877348272</v>
      </c>
      <c r="J26" s="11">
        <f t="shared" si="3"/>
        <v>0.74698202361410604</v>
      </c>
      <c r="K26" s="11">
        <f t="shared" si="4"/>
        <v>-7.6695680281634537E-2</v>
      </c>
      <c r="L26" s="11">
        <f t="shared" si="5"/>
        <v>-4.6093439641241698</v>
      </c>
      <c r="M26" s="11">
        <f t="shared" si="6"/>
        <v>4.1490490243522276</v>
      </c>
      <c r="N26" s="11">
        <f>BSCall(E26,$B$3, $B$6 - D26,$B$8,$B$5) - BSPut(E26,$B$4, $B$7 - D26,$B$8, $B$5)</f>
        <v>0.28298445926126264</v>
      </c>
      <c r="O26" s="20">
        <f t="shared" si="7"/>
        <v>3.7026245809009262E-3</v>
      </c>
    </row>
    <row r="27" spans="4:19" x14ac:dyDescent="0.25">
      <c r="D27" s="22">
        <v>6.9444444444444448E-2</v>
      </c>
      <c r="E27" s="11">
        <v>60.653036079422471</v>
      </c>
      <c r="F27" s="11">
        <f t="shared" si="8"/>
        <v>0.34861452076092458</v>
      </c>
      <c r="G27" s="11">
        <f t="shared" si="0"/>
        <v>4.2514274222943134E-2</v>
      </c>
      <c r="H27" s="11">
        <f t="shared" si="1"/>
        <v>3.1188691845998207E-2</v>
      </c>
      <c r="I27" s="11">
        <f t="shared" si="2"/>
        <v>1.3631310486784043</v>
      </c>
      <c r="J27" s="11">
        <f t="shared" si="3"/>
        <v>0.89567284190985685</v>
      </c>
      <c r="K27" s="11">
        <f t="shared" si="4"/>
        <v>-8.8097636872130264E-2</v>
      </c>
      <c r="L27" s="11">
        <f t="shared" si="5"/>
        <v>-5.3433891477171764</v>
      </c>
      <c r="M27" s="11">
        <f t="shared" si="6"/>
        <v>4.7963308265682443</v>
      </c>
      <c r="N27" s="11">
        <f>BSCall(E27,$B$3, $B$6 - D27,$B$8,$B$5) - BSPut(E27,$B$4, $B$7 - D27,$B$8, $B$5)</f>
        <v>0.34458279160347915</v>
      </c>
      <c r="O27" s="20">
        <f t="shared" si="7"/>
        <v>4.0317291574454295E-3</v>
      </c>
    </row>
    <row r="28" spans="4:19" x14ac:dyDescent="0.25">
      <c r="D28" s="22">
        <v>7.2222222222222229E-2</v>
      </c>
      <c r="E28" s="11">
        <v>59.538743892711032</v>
      </c>
      <c r="F28" s="11">
        <f t="shared" si="8"/>
        <v>0.21388223565726516</v>
      </c>
      <c r="G28" s="11">
        <f t="shared" si="0"/>
        <v>3.305944138702515E-2</v>
      </c>
      <c r="H28" s="11">
        <f t="shared" si="1"/>
        <v>2.7366880196851889E-2</v>
      </c>
      <c r="I28" s="11">
        <f t="shared" si="2"/>
        <v>1.2080091391209473</v>
      </c>
      <c r="J28" s="11">
        <f t="shared" si="3"/>
        <v>0.58716261436329897</v>
      </c>
      <c r="K28" s="11">
        <f t="shared" si="4"/>
        <v>-6.603435387433397E-2</v>
      </c>
      <c r="L28" s="11">
        <f t="shared" si="5"/>
        <v>-3.9316024834446206</v>
      </c>
      <c r="M28" s="11">
        <f t="shared" si="6"/>
        <v>3.5583221047385862</v>
      </c>
      <c r="N28" s="11">
        <f>BSCall(E28,$B$3, $B$6 - D28,$B$8,$B$5) - BSPut(E28,$B$4, $B$7 - D28,$B$8, $B$5)</f>
        <v>0.20979754744140011</v>
      </c>
      <c r="O28" s="20">
        <f t="shared" si="7"/>
        <v>4.084688215865051E-3</v>
      </c>
    </row>
    <row r="29" spans="4:19" x14ac:dyDescent="0.25">
      <c r="D29" s="22">
        <v>7.4999999999999997E-2</v>
      </c>
      <c r="E29" s="11">
        <v>58.536387181575954</v>
      </c>
      <c r="F29" s="11">
        <f t="shared" si="8"/>
        <v>0.13120838753599084</v>
      </c>
      <c r="G29" s="11">
        <f t="shared" si="0"/>
        <v>2.4912164158491335E-2</v>
      </c>
      <c r="H29" s="11">
        <f t="shared" si="1"/>
        <v>2.3801473842215641E-2</v>
      </c>
      <c r="I29" s="11">
        <f t="shared" si="2"/>
        <v>1.0466647705784384</v>
      </c>
      <c r="J29" s="11">
        <f t="shared" si="3"/>
        <v>0.37962160614265494</v>
      </c>
      <c r="K29" s="11">
        <f t="shared" si="4"/>
        <v>-4.7818448849041253E-2</v>
      </c>
      <c r="L29" s="11">
        <f t="shared" si="5"/>
        <v>-2.7991192362498638</v>
      </c>
      <c r="M29" s="11">
        <f t="shared" si="6"/>
        <v>2.5507060176431997</v>
      </c>
      <c r="N29" s="11">
        <f>BSCall(E29,$B$3, $B$6 - D29,$B$8,$B$5) - BSPut(E29,$B$4, $B$7 - D29,$B$8, $B$5)</f>
        <v>0.12719299207742457</v>
      </c>
      <c r="O29" s="20">
        <f t="shared" si="7"/>
        <v>4.0153954585662732E-3</v>
      </c>
    </row>
    <row r="30" spans="4:19" x14ac:dyDescent="0.25">
      <c r="D30" s="22">
        <v>7.7777777777777779E-2</v>
      </c>
      <c r="E30" s="11">
        <v>58.638883981283911</v>
      </c>
      <c r="F30" s="11">
        <f t="shared" si="8"/>
        <v>0.13270272316992093</v>
      </c>
      <c r="G30" s="11">
        <f t="shared" si="0"/>
        <v>2.5379451444599663E-2</v>
      </c>
      <c r="H30" s="11">
        <f t="shared" si="1"/>
        <v>2.4094737612647847E-2</v>
      </c>
      <c r="I30" s="11">
        <f t="shared" si="2"/>
        <v>1.0533192704815943</v>
      </c>
      <c r="J30" s="11">
        <f t="shared" si="3"/>
        <v>0.38835731717083094</v>
      </c>
      <c r="K30" s="11">
        <f t="shared" si="4"/>
        <v>-4.9247312517004968E-2</v>
      </c>
      <c r="L30" s="11">
        <f t="shared" si="5"/>
        <v>-2.8878074450746851</v>
      </c>
      <c r="M30" s="11">
        <f t="shared" si="6"/>
        <v>2.6321528510737751</v>
      </c>
      <c r="N30" s="11">
        <f>BSCall(E30,$B$3, $B$6 - D30,$B$8,$B$5) - BSPut(E30,$B$4, $B$7 - D30,$B$8, $B$5)</f>
        <v>0.12863493008461993</v>
      </c>
      <c r="O30" s="20">
        <f t="shared" si="7"/>
        <v>4.0677930853010025E-3</v>
      </c>
    </row>
    <row r="31" spans="4:19" x14ac:dyDescent="0.25">
      <c r="D31" s="22">
        <v>8.0555555555555561E-2</v>
      </c>
      <c r="E31" s="11">
        <v>58.343404664160026</v>
      </c>
      <c r="F31" s="11">
        <f t="shared" si="8"/>
        <v>0.11050069900417636</v>
      </c>
      <c r="G31" s="11">
        <f t="shared" ref="G31:G62" si="9">BSGreeks(E31,$B$3,$B$6 - D31,$B$8, $B$5,$G$1)</f>
        <v>2.2859005376993095E-2</v>
      </c>
      <c r="H31" s="11">
        <f t="shared" si="1"/>
        <v>2.2981838834281738E-2</v>
      </c>
      <c r="I31" s="11">
        <f t="shared" si="2"/>
        <v>0.99465519455712936</v>
      </c>
      <c r="J31" s="11">
        <f t="shared" si="3"/>
        <v>0.33191086985581353</v>
      </c>
      <c r="K31" s="11">
        <f t="shared" ref="K31:K62" si="10">BSGreeks(E31,$B$3,$B$6 - D31,$B$8, $B$5,$K$1) - I31 *BSGreeks(E31,$B$13,$B$14 - D31,$B$8, $B$5,$K$1)</f>
        <v>-4.3958180331909458E-2</v>
      </c>
      <c r="L31" s="11">
        <f t="shared" si="5"/>
        <v>-2.5646699034047136</v>
      </c>
      <c r="M31" s="11">
        <f t="shared" si="6"/>
        <v>2.3432597325530766</v>
      </c>
      <c r="N31" s="11">
        <f t="shared" ref="N31:N62" si="11">BSCall(E31,$B$3, $B$6 - D31,$B$8,$B$5)</f>
        <v>0.10664729335964296</v>
      </c>
      <c r="O31" s="20">
        <f t="shared" si="7"/>
        <v>3.8534056445334031E-3</v>
      </c>
    </row>
    <row r="32" spans="4:19" x14ac:dyDescent="0.25">
      <c r="D32" s="22">
        <v>8.3333333333333343E-2</v>
      </c>
      <c r="E32" s="11">
        <v>58.209782078286587</v>
      </c>
      <c r="F32" s="11">
        <f t="shared" si="8"/>
        <v>9.9140248504043349E-2</v>
      </c>
      <c r="G32" s="11">
        <f t="shared" si="9"/>
        <v>2.1552727508274971E-2</v>
      </c>
      <c r="H32" s="11">
        <f t="shared" si="1"/>
        <v>2.2434941967844752E-2</v>
      </c>
      <c r="I32" s="11">
        <f t="shared" si="2"/>
        <v>0.96067676658873336</v>
      </c>
      <c r="J32" s="11">
        <f t="shared" si="3"/>
        <v>0.30382635265894958</v>
      </c>
      <c r="K32" s="11">
        <f t="shared" si="10"/>
        <v>-4.137911052444538E-2</v>
      </c>
      <c r="L32" s="11">
        <f t="shared" si="5"/>
        <v>-2.4086690062213005</v>
      </c>
      <c r="M32" s="11">
        <f t="shared" si="6"/>
        <v>2.2039829020663944</v>
      </c>
      <c r="N32" s="11">
        <f t="shared" si="11"/>
        <v>9.5403759209652148E-2</v>
      </c>
      <c r="O32" s="20">
        <f t="shared" si="7"/>
        <v>3.7364892943912015E-3</v>
      </c>
    </row>
    <row r="33" spans="4:15" x14ac:dyDescent="0.25">
      <c r="D33" s="22">
        <v>8.611111111111111E-2</v>
      </c>
      <c r="E33" s="11">
        <v>58.227824065875062</v>
      </c>
      <c r="F33" s="11">
        <f t="shared" si="8"/>
        <v>9.5850082605505982E-2</v>
      </c>
      <c r="G33" s="11">
        <f t="shared" si="9"/>
        <v>2.1324569955577823E-2</v>
      </c>
      <c r="H33" s="11">
        <f t="shared" si="1"/>
        <v>2.2421504962743293E-2</v>
      </c>
      <c r="I33" s="11">
        <f t="shared" si="2"/>
        <v>0.95107665569335365</v>
      </c>
      <c r="J33" s="11">
        <f t="shared" si="3"/>
        <v>0.29817503025963399</v>
      </c>
      <c r="K33" s="11">
        <f t="shared" si="10"/>
        <v>-4.1176668580109849E-2</v>
      </c>
      <c r="L33" s="11">
        <f t="shared" si="5"/>
        <v>-2.3976278137014817</v>
      </c>
      <c r="M33" s="11">
        <f t="shared" si="6"/>
        <v>2.1953028660473537</v>
      </c>
      <c r="N33" s="11">
        <f t="shared" si="11"/>
        <v>9.2128159338337276E-2</v>
      </c>
      <c r="O33" s="20">
        <f t="shared" si="7"/>
        <v>3.7219232671687058E-3</v>
      </c>
    </row>
    <row r="34" spans="4:15" x14ac:dyDescent="0.25">
      <c r="D34" s="22">
        <v>8.8888888888888892E-2</v>
      </c>
      <c r="E34" s="11">
        <v>58.613079616673147</v>
      </c>
      <c r="F34" s="11">
        <f t="shared" si="8"/>
        <v>0.11166618763766101</v>
      </c>
      <c r="G34" s="11">
        <f t="shared" si="9"/>
        <v>2.381345195858324E-2</v>
      </c>
      <c r="H34" s="11">
        <f t="shared" ref="H34:H65" si="12">BSGreeks(E34,$B$13,$B$14 - D34,$B$8, $B$5,$G$1)</f>
        <v>2.3724365355455929E-2</v>
      </c>
      <c r="I34" s="11">
        <f t="shared" ref="I34:I65" si="13">G34/H34</f>
        <v>1.0037550679140432</v>
      </c>
      <c r="J34" s="11">
        <f t="shared" ref="J34:J65" si="14">I34*BSCall(E34,$B$13,$B$14 - D34,$B$8,$B$5)</f>
        <v>0.34802175259091994</v>
      </c>
      <c r="K34" s="11">
        <f t="shared" si="10"/>
        <v>-4.7089910826407677E-2</v>
      </c>
      <c r="L34" s="11">
        <f t="shared" ref="L34:L65" si="15">K34 * E34</f>
        <v>-2.7600846924102718</v>
      </c>
      <c r="M34" s="11">
        <f t="shared" ref="M34:M65" si="16">F34 - L34 - J34</f>
        <v>2.5237291274570128</v>
      </c>
      <c r="N34" s="11">
        <f t="shared" si="11"/>
        <v>0.10771506125613024</v>
      </c>
      <c r="O34" s="20">
        <f t="shared" ref="O34:O65" si="17">F34 - N34</f>
        <v>3.9511263815307646E-3</v>
      </c>
    </row>
    <row r="35" spans="4:15" x14ac:dyDescent="0.25">
      <c r="D35" s="22">
        <v>9.1666666666666674E-2</v>
      </c>
      <c r="E35" s="11">
        <v>58.539606271465068</v>
      </c>
      <c r="F35" s="11">
        <f t="shared" ref="F35:F66" si="18">E35 * K34 + I34*BSCall(E35,$B$13,$B$14-D35,$B$8,$B$5) +  M34 * EXP($B$8*(D35 - D34))</f>
        <v>0.10304192538541646</v>
      </c>
      <c r="G35" s="11">
        <f t="shared" si="9"/>
        <v>2.2883587571946341E-2</v>
      </c>
      <c r="H35" s="11">
        <f t="shared" si="12"/>
        <v>2.3385566611118982E-2</v>
      </c>
      <c r="I35" s="11">
        <f t="shared" si="13"/>
        <v>0.97853466424311619</v>
      </c>
      <c r="J35" s="11">
        <f t="shared" si="14"/>
        <v>0.32738750009183343</v>
      </c>
      <c r="K35" s="11">
        <f t="shared" si="10"/>
        <v>-4.5317439445532667E-2</v>
      </c>
      <c r="L35" s="11">
        <f t="shared" si="15"/>
        <v>-2.6528650623724426</v>
      </c>
      <c r="M35" s="11">
        <f t="shared" si="16"/>
        <v>2.4285194876660254</v>
      </c>
      <c r="N35" s="11">
        <f t="shared" si="11"/>
        <v>9.9175287287949013E-2</v>
      </c>
      <c r="O35" s="20">
        <f t="shared" si="17"/>
        <v>3.8666380974674425E-3</v>
      </c>
    </row>
    <row r="36" spans="4:15" x14ac:dyDescent="0.25">
      <c r="D36" s="22">
        <v>9.4444444444444442E-2</v>
      </c>
      <c r="E36" s="11">
        <v>58.257740391396148</v>
      </c>
      <c r="F36" s="11">
        <f t="shared" si="18"/>
        <v>8.5012024271728936E-2</v>
      </c>
      <c r="G36" s="11">
        <f t="shared" si="9"/>
        <v>2.0413838238254947E-2</v>
      </c>
      <c r="H36" s="11">
        <f t="shared" si="12"/>
        <v>2.2289845024860658E-2</v>
      </c>
      <c r="I36" s="11">
        <f t="shared" si="13"/>
        <v>0.91583580843593426</v>
      </c>
      <c r="J36" s="11">
        <f t="shared" si="14"/>
        <v>0.27747973656069369</v>
      </c>
      <c r="K36" s="11">
        <f t="shared" si="10"/>
        <v>-4.0061189082148049E-2</v>
      </c>
      <c r="L36" s="11">
        <f t="shared" si="15"/>
        <v>-2.3338743533184148</v>
      </c>
      <c r="M36" s="11">
        <f t="shared" si="16"/>
        <v>2.1414066410294499</v>
      </c>
      <c r="N36" s="11">
        <f t="shared" si="11"/>
        <v>8.136547008914316E-2</v>
      </c>
      <c r="O36" s="20">
        <f t="shared" si="17"/>
        <v>3.6465541825857761E-3</v>
      </c>
    </row>
    <row r="37" spans="4:15" x14ac:dyDescent="0.25">
      <c r="D37" s="22">
        <v>9.7222222222222224E-2</v>
      </c>
      <c r="E37" s="11">
        <v>57.372439191735836</v>
      </c>
      <c r="F37" s="11">
        <f t="shared" si="18"/>
        <v>5.0035945707720408E-2</v>
      </c>
      <c r="G37" s="11">
        <f t="shared" si="9"/>
        <v>1.424309493437018E-2</v>
      </c>
      <c r="H37" s="11">
        <f t="shared" si="12"/>
        <v>1.906285853221162E-2</v>
      </c>
      <c r="I37" s="11">
        <f t="shared" si="13"/>
        <v>0.7471646977971742</v>
      </c>
      <c r="J37" s="11">
        <f t="shared" si="14"/>
        <v>0.16882933856093352</v>
      </c>
      <c r="K37" s="11">
        <f t="shared" si="10"/>
        <v>-2.6817968508693293E-2</v>
      </c>
      <c r="L37" s="11">
        <f t="shared" si="15"/>
        <v>-1.5386122675108926</v>
      </c>
      <c r="M37" s="11">
        <f t="shared" si="16"/>
        <v>1.4198188746576794</v>
      </c>
      <c r="N37" s="11">
        <f t="shared" si="11"/>
        <v>4.6530605428984378E-2</v>
      </c>
      <c r="O37" s="20">
        <f t="shared" si="17"/>
        <v>3.5053402787360299E-3</v>
      </c>
    </row>
    <row r="38" spans="4:15" x14ac:dyDescent="0.25">
      <c r="D38" s="22">
        <v>0.1</v>
      </c>
      <c r="E38" s="11">
        <v>57.23545107222823</v>
      </c>
      <c r="F38" s="11">
        <f t="shared" si="18"/>
        <v>4.377503728135701E-2</v>
      </c>
      <c r="G38" s="11">
        <f t="shared" si="9"/>
        <v>1.3082670164225523E-2</v>
      </c>
      <c r="H38" s="11">
        <f t="shared" si="12"/>
        <v>1.8492394013343513E-2</v>
      </c>
      <c r="I38" s="11">
        <f t="shared" si="13"/>
        <v>0.70746222229450073</v>
      </c>
      <c r="J38" s="11">
        <f t="shared" si="14"/>
        <v>0.15039166695817738</v>
      </c>
      <c r="K38" s="11">
        <f t="shared" si="10"/>
        <v>-2.4563129518413895E-2</v>
      </c>
      <c r="L38" s="11">
        <f t="shared" si="15"/>
        <v>-1.4058817977319835</v>
      </c>
      <c r="M38" s="11">
        <f t="shared" si="16"/>
        <v>1.2992651680551632</v>
      </c>
      <c r="N38" s="11">
        <f t="shared" si="11"/>
        <v>4.0374676856889447E-2</v>
      </c>
      <c r="O38" s="20">
        <f t="shared" si="17"/>
        <v>3.4003604244675634E-3</v>
      </c>
    </row>
    <row r="39" spans="4:15" x14ac:dyDescent="0.25">
      <c r="D39" s="22">
        <v>0.10277777777777779</v>
      </c>
      <c r="E39" s="11">
        <v>57.348943713665378</v>
      </c>
      <c r="F39" s="11">
        <f t="shared" si="18"/>
        <v>4.4172317616703038E-2</v>
      </c>
      <c r="G39" s="11">
        <f t="shared" si="9"/>
        <v>1.3337197083672923E-2</v>
      </c>
      <c r="H39" s="11">
        <f t="shared" si="12"/>
        <v>1.8788484322470728E-2</v>
      </c>
      <c r="I39" s="11">
        <f t="shared" si="13"/>
        <v>0.70986019174105741</v>
      </c>
      <c r="J39" s="11">
        <f t="shared" si="14"/>
        <v>0.1540392934690045</v>
      </c>
      <c r="K39" s="11">
        <f t="shared" si="10"/>
        <v>-2.5310814114542484E-2</v>
      </c>
      <c r="L39" s="11">
        <f t="shared" si="15"/>
        <v>-1.4515484540019441</v>
      </c>
      <c r="M39" s="11">
        <f t="shared" si="16"/>
        <v>1.3416814781496427</v>
      </c>
      <c r="N39" s="11">
        <f t="shared" si="11"/>
        <v>4.0735848380066469E-2</v>
      </c>
      <c r="O39" s="20">
        <f t="shared" si="17"/>
        <v>3.436469236636569E-3</v>
      </c>
    </row>
    <row r="40" spans="4:15" x14ac:dyDescent="0.25">
      <c r="D40" s="22">
        <v>0.10555555555555556</v>
      </c>
      <c r="E40" s="11">
        <v>57.785137004372636</v>
      </c>
      <c r="F40" s="11">
        <f t="shared" si="18"/>
        <v>5.3688355947715261E-2</v>
      </c>
      <c r="G40" s="11">
        <f t="shared" si="9"/>
        <v>1.5568318435338733E-2</v>
      </c>
      <c r="H40" s="11">
        <f t="shared" si="12"/>
        <v>2.0236904978251893E-2</v>
      </c>
      <c r="I40" s="11">
        <f t="shared" si="13"/>
        <v>0.76930333230647796</v>
      </c>
      <c r="J40" s="11">
        <f t="shared" si="14"/>
        <v>0.18915162543134956</v>
      </c>
      <c r="K40" s="11">
        <f t="shared" si="10"/>
        <v>-3.0392383120651852E-2</v>
      </c>
      <c r="L40" s="11">
        <f t="shared" si="15"/>
        <v>-1.7562280225162497</v>
      </c>
      <c r="M40" s="11">
        <f t="shared" si="16"/>
        <v>1.6207647530326152</v>
      </c>
      <c r="N40" s="11">
        <f t="shared" si="11"/>
        <v>5.0043269940287828E-2</v>
      </c>
      <c r="O40" s="20">
        <f t="shared" si="17"/>
        <v>3.6450860074274324E-3</v>
      </c>
    </row>
    <row r="41" spans="4:15" x14ac:dyDescent="0.25">
      <c r="D41" s="22">
        <v>0.10833333333333334</v>
      </c>
      <c r="E41" s="11">
        <v>57.911283614240574</v>
      </c>
      <c r="F41" s="11">
        <f t="shared" si="18"/>
        <v>5.4581734018481765E-2</v>
      </c>
      <c r="G41" s="11">
        <f t="shared" si="9"/>
        <v>1.5962141991173504E-2</v>
      </c>
      <c r="H41" s="11">
        <f t="shared" si="12"/>
        <v>2.0598500020853953E-2</v>
      </c>
      <c r="I41" s="11">
        <f t="shared" si="13"/>
        <v>0.77491768696814844</v>
      </c>
      <c r="J41" s="11">
        <f t="shared" si="14"/>
        <v>0.19522126119741279</v>
      </c>
      <c r="K41" s="11">
        <f t="shared" si="10"/>
        <v>-3.1525241293952982E-2</v>
      </c>
      <c r="L41" s="11">
        <f t="shared" si="15"/>
        <v>-1.8256671895814796</v>
      </c>
      <c r="M41" s="11">
        <f t="shared" si="16"/>
        <v>1.6850276624025486</v>
      </c>
      <c r="N41" s="11">
        <f t="shared" si="11"/>
        <v>5.088391378484286E-2</v>
      </c>
      <c r="O41" s="20">
        <f t="shared" si="17"/>
        <v>3.6978202336389043E-3</v>
      </c>
    </row>
    <row r="42" spans="4:15" x14ac:dyDescent="0.25">
      <c r="D42" s="22">
        <v>0.11111111111111112</v>
      </c>
      <c r="E42" s="11">
        <v>58.152183481533676</v>
      </c>
      <c r="F42" s="11">
        <f t="shared" si="18"/>
        <v>5.9270337794661954E-2</v>
      </c>
      <c r="G42" s="11">
        <f t="shared" si="9"/>
        <v>1.715266395253149E-2</v>
      </c>
      <c r="H42" s="11">
        <f t="shared" si="12"/>
        <v>2.1386927675951094E-2</v>
      </c>
      <c r="I42" s="11">
        <f t="shared" si="13"/>
        <v>0.80201626958411165</v>
      </c>
      <c r="J42" s="11">
        <f t="shared" si="14"/>
        <v>0.21468312840852916</v>
      </c>
      <c r="K42" s="11">
        <f t="shared" si="10"/>
        <v>-3.4487865849042267E-2</v>
      </c>
      <c r="L42" s="11">
        <f t="shared" si="15"/>
        <v>-2.0055447027400253</v>
      </c>
      <c r="M42" s="11">
        <f t="shared" si="16"/>
        <v>1.8501319121261579</v>
      </c>
      <c r="N42" s="11">
        <f t="shared" si="11"/>
        <v>5.5438103228033997E-2</v>
      </c>
      <c r="O42" s="20">
        <f t="shared" si="17"/>
        <v>3.8322345666279567E-3</v>
      </c>
    </row>
    <row r="43" spans="4:15" x14ac:dyDescent="0.25">
      <c r="D43" s="22">
        <v>0.11388888888888889</v>
      </c>
      <c r="E43" s="11">
        <v>58.687698802500194</v>
      </c>
      <c r="F43" s="11">
        <f t="shared" si="18"/>
        <v>7.600033294687103E-2</v>
      </c>
      <c r="G43" s="11">
        <f t="shared" si="9"/>
        <v>2.0672039579581442E-2</v>
      </c>
      <c r="H43" s="11">
        <f t="shared" si="12"/>
        <v>2.3298285246589629E-2</v>
      </c>
      <c r="I43" s="11">
        <f t="shared" si="13"/>
        <v>0.88727729791218801</v>
      </c>
      <c r="J43" s="11">
        <f t="shared" si="14"/>
        <v>0.27635546602653382</v>
      </c>
      <c r="K43" s="11">
        <f t="shared" si="10"/>
        <v>-4.2984065687727349E-2</v>
      </c>
      <c r="L43" s="11">
        <f t="shared" si="15"/>
        <v>-2.5226359003882259</v>
      </c>
      <c r="M43" s="11">
        <f t="shared" si="16"/>
        <v>2.322280767308563</v>
      </c>
      <c r="N43" s="11">
        <f t="shared" si="11"/>
        <v>7.185764061215201E-2</v>
      </c>
      <c r="O43" s="20">
        <f t="shared" si="17"/>
        <v>4.1426923347190198E-3</v>
      </c>
    </row>
    <row r="44" spans="4:15" x14ac:dyDescent="0.25">
      <c r="D44" s="22">
        <v>0.11666666666666667</v>
      </c>
      <c r="E44" s="11">
        <v>58.560467976330294</v>
      </c>
      <c r="F44" s="11">
        <f t="shared" si="18"/>
        <v>6.6884514900314773E-2</v>
      </c>
      <c r="G44" s="11">
        <f t="shared" si="9"/>
        <v>1.9208352298908032E-2</v>
      </c>
      <c r="H44" s="11">
        <f t="shared" si="12"/>
        <v>2.2731861101784222E-2</v>
      </c>
      <c r="I44" s="11">
        <f t="shared" si="13"/>
        <v>0.84499690601225652</v>
      </c>
      <c r="J44" s="11">
        <f t="shared" si="14"/>
        <v>0.24919859666702709</v>
      </c>
      <c r="K44" s="11">
        <f t="shared" si="10"/>
        <v>-3.9881081268249449E-2</v>
      </c>
      <c r="L44" s="11">
        <f t="shared" si="15"/>
        <v>-2.3354547824707477</v>
      </c>
      <c r="M44" s="11">
        <f t="shared" si="16"/>
        <v>2.1531407007040353</v>
      </c>
      <c r="N44" s="11">
        <f t="shared" si="11"/>
        <v>6.2886292400691088E-2</v>
      </c>
      <c r="O44" s="20">
        <f t="shared" si="17"/>
        <v>3.9982224996236854E-3</v>
      </c>
    </row>
    <row r="45" spans="4:15" x14ac:dyDescent="0.25">
      <c r="D45" s="22">
        <v>0.11944444444444445</v>
      </c>
      <c r="E45" s="11">
        <v>59.076030266900254</v>
      </c>
      <c r="F45" s="11">
        <f t="shared" si="18"/>
        <v>8.4795634510980822E-2</v>
      </c>
      <c r="G45" s="11">
        <f t="shared" si="9"/>
        <v>2.2913571358255679E-2</v>
      </c>
      <c r="H45" s="11">
        <f t="shared" si="12"/>
        <v>2.4617089903034184E-2</v>
      </c>
      <c r="I45" s="11">
        <f t="shared" si="13"/>
        <v>0.93079935315308993</v>
      </c>
      <c r="J45" s="11">
        <f t="shared" si="14"/>
        <v>0.31677608380987726</v>
      </c>
      <c r="K45" s="11">
        <f t="shared" si="10"/>
        <v>-4.915309179878654E-2</v>
      </c>
      <c r="L45" s="11">
        <f t="shared" si="15"/>
        <v>-2.9037695388168401</v>
      </c>
      <c r="M45" s="11">
        <f t="shared" si="16"/>
        <v>2.6717890895179437</v>
      </c>
      <c r="N45" s="11">
        <f t="shared" si="11"/>
        <v>8.0453493956966229E-2</v>
      </c>
      <c r="O45" s="20">
        <f t="shared" si="17"/>
        <v>4.3421405540145924E-3</v>
      </c>
    </row>
    <row r="46" spans="4:15" x14ac:dyDescent="0.25">
      <c r="D46" s="22">
        <v>0.12222222222222223</v>
      </c>
      <c r="E46" s="11">
        <v>59.443459436027474</v>
      </c>
      <c r="F46" s="11">
        <f t="shared" si="18"/>
        <v>9.8675792239471871E-2</v>
      </c>
      <c r="G46" s="11">
        <f t="shared" si="9"/>
        <v>2.5705423030969898E-2</v>
      </c>
      <c r="H46" s="11">
        <f t="shared" si="12"/>
        <v>2.5965318968913579E-2</v>
      </c>
      <c r="I46" s="11">
        <f t="shared" si="13"/>
        <v>0.98999065105825057</v>
      </c>
      <c r="J46" s="11">
        <f t="shared" si="14"/>
        <v>0.37076576652543952</v>
      </c>
      <c r="K46" s="11">
        <f t="shared" si="10"/>
        <v>-5.6521635647508985E-2</v>
      </c>
      <c r="L46" s="11">
        <f t="shared" si="15"/>
        <v>-3.3598415558706249</v>
      </c>
      <c r="M46" s="11">
        <f t="shared" si="16"/>
        <v>3.0877515815846572</v>
      </c>
      <c r="N46" s="11">
        <f t="shared" si="11"/>
        <v>9.4033012142911057E-2</v>
      </c>
      <c r="O46" s="20">
        <f t="shared" si="17"/>
        <v>4.642780096560814E-3</v>
      </c>
    </row>
    <row r="47" spans="4:15" x14ac:dyDescent="0.25">
      <c r="D47" s="22">
        <v>0.125</v>
      </c>
      <c r="E47" s="11">
        <v>59.762766091749249</v>
      </c>
      <c r="F47" s="11">
        <f t="shared" si="18"/>
        <v>0.11167339579094948</v>
      </c>
      <c r="G47" s="11">
        <f t="shared" si="9"/>
        <v>2.8269218850949518E-2</v>
      </c>
      <c r="H47" s="11">
        <f t="shared" si="12"/>
        <v>2.7145051554224846E-2</v>
      </c>
      <c r="I47" s="11">
        <f t="shared" si="13"/>
        <v>1.0414133417458811</v>
      </c>
      <c r="J47" s="11">
        <f t="shared" si="14"/>
        <v>0.42253785406973793</v>
      </c>
      <c r="K47" s="11">
        <f t="shared" si="10"/>
        <v>-6.3553781664161854E-2</v>
      </c>
      <c r="L47" s="11">
        <f t="shared" si="15"/>
        <v>-3.7981497878414072</v>
      </c>
      <c r="M47" s="11">
        <f t="shared" si="16"/>
        <v>3.4872853295626189</v>
      </c>
      <c r="N47" s="11">
        <f t="shared" si="11"/>
        <v>0.10674151006885607</v>
      </c>
      <c r="O47" s="20">
        <f t="shared" si="17"/>
        <v>4.9318857220934098E-3</v>
      </c>
    </row>
    <row r="48" spans="4:15" x14ac:dyDescent="0.25">
      <c r="D48" s="22">
        <v>0.1277777777777778</v>
      </c>
      <c r="E48" s="11">
        <v>60.153056149245742</v>
      </c>
      <c r="F48" s="11">
        <f t="shared" si="18"/>
        <v>0.13118841079456001</v>
      </c>
      <c r="G48" s="11">
        <f t="shared" si="9"/>
        <v>3.1780623904726892E-2</v>
      </c>
      <c r="H48" s="11">
        <f t="shared" si="12"/>
        <v>2.8619101014475606E-2</v>
      </c>
      <c r="I48" s="11">
        <f t="shared" si="13"/>
        <v>1.1104689797437097</v>
      </c>
      <c r="J48" s="11">
        <f t="shared" si="14"/>
        <v>0.49764909732028756</v>
      </c>
      <c r="K48" s="11">
        <f t="shared" si="10"/>
        <v>-7.3308140289828044E-2</v>
      </c>
      <c r="L48" s="11">
        <f t="shared" si="15"/>
        <v>-4.4097086790508104</v>
      </c>
      <c r="M48" s="11">
        <f t="shared" si="16"/>
        <v>4.0432479925250826</v>
      </c>
      <c r="N48" s="11">
        <f t="shared" si="11"/>
        <v>0.12587576671381437</v>
      </c>
      <c r="O48" s="20">
        <f t="shared" si="17"/>
        <v>5.3126440807456377E-3</v>
      </c>
    </row>
    <row r="49" spans="4:15" x14ac:dyDescent="0.25">
      <c r="D49" s="22">
        <v>0.13055555555555556</v>
      </c>
      <c r="E49" s="11">
        <v>59.60445343904879</v>
      </c>
      <c r="F49" s="11">
        <f t="shared" si="18"/>
        <v>9.1746934384522305E-2</v>
      </c>
      <c r="G49" s="11">
        <f t="shared" si="9"/>
        <v>2.5652988499069846E-2</v>
      </c>
      <c r="H49" s="11">
        <f t="shared" si="12"/>
        <v>2.63808378556151E-2</v>
      </c>
      <c r="I49" s="11">
        <f t="shared" si="13"/>
        <v>0.97240992266701898</v>
      </c>
      <c r="J49" s="11">
        <f t="shared" si="14"/>
        <v>0.36586653539188646</v>
      </c>
      <c r="K49" s="11">
        <f t="shared" si="10"/>
        <v>-5.7887646631596887E-2</v>
      </c>
      <c r="L49" s="11">
        <f t="shared" si="15"/>
        <v>-3.4503615383491262</v>
      </c>
      <c r="M49" s="11">
        <f t="shared" si="16"/>
        <v>3.1762419373417621</v>
      </c>
      <c r="N49" s="11">
        <f t="shared" si="11"/>
        <v>8.6939674323610314E-2</v>
      </c>
      <c r="O49" s="20">
        <f t="shared" si="17"/>
        <v>4.8072600609119914E-3</v>
      </c>
    </row>
    <row r="50" spans="4:15" x14ac:dyDescent="0.25">
      <c r="D50" s="22">
        <v>0.13333333333333333</v>
      </c>
      <c r="E50" s="11">
        <v>60.078887733355408</v>
      </c>
      <c r="F50" s="11">
        <f t="shared" si="18"/>
        <v>0.11349365488266328</v>
      </c>
      <c r="G50" s="11">
        <f t="shared" si="9"/>
        <v>2.9942911107158254E-2</v>
      </c>
      <c r="H50" s="11">
        <f t="shared" si="12"/>
        <v>2.8205819127952142E-2</v>
      </c>
      <c r="I50" s="11">
        <f t="shared" si="13"/>
        <v>1.0615862978956936</v>
      </c>
      <c r="J50" s="11">
        <f t="shared" si="14"/>
        <v>0.452988324457478</v>
      </c>
      <c r="K50" s="11">
        <f t="shared" si="10"/>
        <v>-6.9677924284825457E-2</v>
      </c>
      <c r="L50" s="11">
        <f t="shared" si="15"/>
        <v>-4.1861721906012672</v>
      </c>
      <c r="M50" s="11">
        <f t="shared" si="16"/>
        <v>3.8466775210264528</v>
      </c>
      <c r="N50" s="11">
        <f t="shared" si="11"/>
        <v>0.10824172884674294</v>
      </c>
      <c r="O50" s="20">
        <f t="shared" si="17"/>
        <v>5.2519260359203401E-3</v>
      </c>
    </row>
    <row r="51" spans="4:15" x14ac:dyDescent="0.25">
      <c r="D51" s="22">
        <v>0.13611111111111113</v>
      </c>
      <c r="E51" s="11">
        <v>59.146255356992953</v>
      </c>
      <c r="F51" s="11">
        <f t="shared" si="18"/>
        <v>6.2575491745368694E-2</v>
      </c>
      <c r="G51" s="11">
        <f t="shared" si="9"/>
        <v>2.0261491052610547E-2</v>
      </c>
      <c r="H51" s="11">
        <f t="shared" si="12"/>
        <v>2.4393970981793064E-2</v>
      </c>
      <c r="I51" s="11">
        <f t="shared" si="13"/>
        <v>0.83059420984525734</v>
      </c>
      <c r="J51" s="11">
        <f t="shared" si="14"/>
        <v>0.26360542039913809</v>
      </c>
      <c r="K51" s="11">
        <f t="shared" si="10"/>
        <v>-4.5126607854268787E-2</v>
      </c>
      <c r="L51" s="11">
        <f t="shared" si="15"/>
        <v>-2.6690698715434653</v>
      </c>
      <c r="M51" s="11">
        <f t="shared" si="16"/>
        <v>2.4680399428896957</v>
      </c>
      <c r="N51" s="11">
        <f t="shared" si="11"/>
        <v>5.7554646277818165E-2</v>
      </c>
      <c r="O51" s="20">
        <f t="shared" si="17"/>
        <v>5.020845467550529E-3</v>
      </c>
    </row>
    <row r="52" spans="4:15" x14ac:dyDescent="0.25">
      <c r="D52" s="22">
        <v>0.1388888888888889</v>
      </c>
      <c r="E52" s="11">
        <v>58.724574063918354</v>
      </c>
      <c r="F52" s="11">
        <f t="shared" si="18"/>
        <v>4.5049317706107317E-2</v>
      </c>
      <c r="G52" s="11">
        <f t="shared" si="9"/>
        <v>1.6209160322163903E-2</v>
      </c>
      <c r="H52" s="11">
        <f t="shared" si="12"/>
        <v>2.262549052969241E-2</v>
      </c>
      <c r="I52" s="11">
        <f t="shared" si="13"/>
        <v>0.71641144314161598</v>
      </c>
      <c r="J52" s="11">
        <f t="shared" si="14"/>
        <v>0.19574272747478844</v>
      </c>
      <c r="K52" s="11">
        <f t="shared" si="10"/>
        <v>-3.5452548040163123E-2</v>
      </c>
      <c r="L52" s="11">
        <f t="shared" si="15"/>
        <v>-2.0819357831391829</v>
      </c>
      <c r="M52" s="11">
        <f t="shared" si="16"/>
        <v>1.9312423733705018</v>
      </c>
      <c r="N52" s="11">
        <f t="shared" si="11"/>
        <v>4.041019873054752E-2</v>
      </c>
      <c r="O52" s="20">
        <f t="shared" si="17"/>
        <v>4.6391189755597972E-3</v>
      </c>
    </row>
    <row r="53" spans="4:15" x14ac:dyDescent="0.25">
      <c r="D53" s="22">
        <v>0.14166666666666666</v>
      </c>
      <c r="E53" s="11">
        <v>59.747856938925558</v>
      </c>
      <c r="F53" s="11">
        <f t="shared" si="18"/>
        <v>7.8364678556833489E-2</v>
      </c>
      <c r="G53" s="11">
        <f t="shared" si="9"/>
        <v>2.4691339210550129E-2</v>
      </c>
      <c r="H53" s="11">
        <f t="shared" si="12"/>
        <v>2.665979356353157E-2</v>
      </c>
      <c r="I53" s="11">
        <f t="shared" si="13"/>
        <v>0.92616393115383588</v>
      </c>
      <c r="J53" s="11">
        <f t="shared" si="14"/>
        <v>0.34291077588674612</v>
      </c>
      <c r="K53" s="11">
        <f t="shared" si="10"/>
        <v>-5.7522149393640615E-2</v>
      </c>
      <c r="L53" s="11">
        <f t="shared" si="15"/>
        <v>-3.436825152790743</v>
      </c>
      <c r="M53" s="11">
        <f t="shared" si="16"/>
        <v>3.1722790554608302</v>
      </c>
      <c r="N53" s="11">
        <f t="shared" si="11"/>
        <v>7.3522567267877939E-2</v>
      </c>
      <c r="O53" s="20">
        <f t="shared" si="17"/>
        <v>4.8421112889555501E-3</v>
      </c>
    </row>
    <row r="54" spans="4:15" x14ac:dyDescent="0.25">
      <c r="D54" s="22">
        <v>0.14444444444444446</v>
      </c>
      <c r="E54" s="11">
        <v>60.326727165040523</v>
      </c>
      <c r="F54" s="11">
        <f t="shared" si="18"/>
        <v>0.10388324122714598</v>
      </c>
      <c r="G54" s="11">
        <f t="shared" si="9"/>
        <v>3.0323281208646909E-2</v>
      </c>
      <c r="H54" s="11">
        <f t="shared" si="12"/>
        <v>2.896334530050686E-2</v>
      </c>
      <c r="I54" s="11">
        <f t="shared" si="13"/>
        <v>1.0469536890172784</v>
      </c>
      <c r="J54" s="11">
        <f t="shared" si="14"/>
        <v>0.45396084268047288</v>
      </c>
      <c r="K54" s="11">
        <f t="shared" si="10"/>
        <v>-7.3338628596986255E-2</v>
      </c>
      <c r="L54" s="11">
        <f t="shared" si="15"/>
        <v>-4.4242794380286288</v>
      </c>
      <c r="M54" s="11">
        <f t="shared" si="16"/>
        <v>4.0742018365753019</v>
      </c>
      <c r="N54" s="11">
        <f t="shared" si="11"/>
        <v>9.8491188817208794E-2</v>
      </c>
      <c r="O54" s="20">
        <f t="shared" si="17"/>
        <v>5.3920524099371897E-3</v>
      </c>
    </row>
    <row r="55" spans="4:15" x14ac:dyDescent="0.25">
      <c r="D55" s="22">
        <v>0.14722222222222223</v>
      </c>
      <c r="E55" s="11">
        <v>59.837230782158478</v>
      </c>
      <c r="F55" s="11">
        <f t="shared" si="18"/>
        <v>7.2422351367781523E-2</v>
      </c>
      <c r="G55" s="11">
        <f t="shared" si="9"/>
        <v>2.4277527862466827E-2</v>
      </c>
      <c r="H55" s="11">
        <f t="shared" si="12"/>
        <v>2.6873423794216984E-2</v>
      </c>
      <c r="I55" s="11">
        <f t="shared" si="13"/>
        <v>0.90340285809399623</v>
      </c>
      <c r="J55" s="11">
        <f t="shared" si="14"/>
        <v>0.33343673883579911</v>
      </c>
      <c r="K55" s="11">
        <f t="shared" si="10"/>
        <v>-5.7548902810898438E-2</v>
      </c>
      <c r="L55" s="11">
        <f t="shared" si="15"/>
        <v>-3.4435669787557384</v>
      </c>
      <c r="M55" s="11">
        <f t="shared" si="16"/>
        <v>3.1825525912877208</v>
      </c>
      <c r="N55" s="11">
        <f t="shared" si="11"/>
        <v>6.7601097633505844E-2</v>
      </c>
      <c r="O55" s="20">
        <f t="shared" si="17"/>
        <v>4.8212537342756795E-3</v>
      </c>
    </row>
    <row r="56" spans="4:15" x14ac:dyDescent="0.25">
      <c r="D56" s="22">
        <v>0.15</v>
      </c>
      <c r="E56" s="11">
        <v>59.272613194219097</v>
      </c>
      <c r="F56" s="11">
        <f t="shared" si="18"/>
        <v>4.6919620606604262E-2</v>
      </c>
      <c r="G56" s="11">
        <f t="shared" si="9"/>
        <v>1.8154221664490558E-2</v>
      </c>
      <c r="H56" s="11">
        <f t="shared" si="12"/>
        <v>2.4453893157815255E-2</v>
      </c>
      <c r="I56" s="11">
        <f t="shared" si="13"/>
        <v>0.74238574395212908</v>
      </c>
      <c r="J56" s="11">
        <f t="shared" si="14"/>
        <v>0.22623171309384296</v>
      </c>
      <c r="K56" s="11">
        <f t="shared" si="10"/>
        <v>-4.1931728982745414E-2</v>
      </c>
      <c r="L56" s="11">
        <f t="shared" si="15"/>
        <v>-2.4854031525590954</v>
      </c>
      <c r="M56" s="11">
        <f t="shared" si="16"/>
        <v>2.3060910600718567</v>
      </c>
      <c r="N56" s="11">
        <f t="shared" si="11"/>
        <v>4.2618101127234263E-2</v>
      </c>
      <c r="O56" s="20">
        <f t="shared" si="17"/>
        <v>4.3015194793699987E-3</v>
      </c>
    </row>
    <row r="57" spans="4:15" x14ac:dyDescent="0.25">
      <c r="D57" s="22">
        <v>0.15277777777777779</v>
      </c>
      <c r="E57" s="11">
        <v>58.827746746820935</v>
      </c>
      <c r="F57" s="11">
        <f t="shared" si="18"/>
        <v>3.2042991227391848E-2</v>
      </c>
      <c r="G57" s="11">
        <f t="shared" si="9"/>
        <v>1.3860132631409167E-2</v>
      </c>
      <c r="H57" s="11">
        <f t="shared" si="12"/>
        <v>2.2532331977007967E-2</v>
      </c>
      <c r="I57" s="11">
        <f t="shared" si="13"/>
        <v>0.61512197874379237</v>
      </c>
      <c r="J57" s="11">
        <f t="shared" si="14"/>
        <v>0.15958228448172768</v>
      </c>
      <c r="K57" s="11">
        <f t="shared" si="10"/>
        <v>-3.1367818398934627E-2</v>
      </c>
      <c r="L57" s="11">
        <f t="shared" si="15"/>
        <v>-1.8452980767727964</v>
      </c>
      <c r="M57" s="11">
        <f t="shared" si="16"/>
        <v>1.7177587835184607</v>
      </c>
      <c r="N57" s="11">
        <f t="shared" si="11"/>
        <v>2.8156587563058614E-2</v>
      </c>
      <c r="O57" s="20">
        <f t="shared" si="17"/>
        <v>3.8864036643332343E-3</v>
      </c>
    </row>
    <row r="58" spans="4:15" x14ac:dyDescent="0.25">
      <c r="D58" s="22">
        <v>0.15555555555555556</v>
      </c>
      <c r="E58" s="11">
        <v>59.724991210537887</v>
      </c>
      <c r="F58" s="11">
        <f t="shared" si="18"/>
        <v>5.3655622826390914E-2</v>
      </c>
      <c r="G58" s="11">
        <f t="shared" si="9"/>
        <v>2.0940581941558106E-2</v>
      </c>
      <c r="H58" s="11">
        <f t="shared" si="12"/>
        <v>2.6159014435682186E-2</v>
      </c>
      <c r="I58" s="11">
        <f t="shared" si="13"/>
        <v>0.80051111990649459</v>
      </c>
      <c r="J58" s="11">
        <f t="shared" si="14"/>
        <v>0.27233215706548519</v>
      </c>
      <c r="K58" s="11">
        <f t="shared" si="10"/>
        <v>-5.0266615615523903E-2</v>
      </c>
      <c r="L58" s="11">
        <f t="shared" si="15"/>
        <v>-3.0021731758206518</v>
      </c>
      <c r="M58" s="11">
        <f t="shared" si="16"/>
        <v>2.7834966415815576</v>
      </c>
      <c r="N58" s="11">
        <f t="shared" si="11"/>
        <v>4.940233036648272E-2</v>
      </c>
      <c r="O58" s="20">
        <f t="shared" si="17"/>
        <v>4.2532924599081937E-3</v>
      </c>
    </row>
    <row r="59" spans="4:15" x14ac:dyDescent="0.25">
      <c r="D59" s="22">
        <v>0.15833333333333333</v>
      </c>
      <c r="E59" s="11">
        <v>59.317766923080747</v>
      </c>
      <c r="F59" s="11">
        <f t="shared" si="18"/>
        <v>3.7305166605070994E-2</v>
      </c>
      <c r="G59" s="11">
        <f t="shared" si="9"/>
        <v>1.637600193321713E-2</v>
      </c>
      <c r="H59" s="11">
        <f t="shared" si="12"/>
        <v>2.4353360465509493E-2</v>
      </c>
      <c r="I59" s="11">
        <f t="shared" si="13"/>
        <v>0.67243294642682605</v>
      </c>
      <c r="J59" s="11">
        <f t="shared" si="14"/>
        <v>0.1977271485894638</v>
      </c>
      <c r="K59" s="11">
        <f t="shared" si="10"/>
        <v>-3.8617774323681089E-2</v>
      </c>
      <c r="L59" s="11">
        <f t="shared" si="15"/>
        <v>-2.290720136420247</v>
      </c>
      <c r="M59" s="11">
        <f t="shared" si="16"/>
        <v>2.1302981544358541</v>
      </c>
      <c r="N59" s="11">
        <f t="shared" si="11"/>
        <v>3.3524726898776905E-2</v>
      </c>
      <c r="O59" s="20">
        <f t="shared" si="17"/>
        <v>3.7804397062940892E-3</v>
      </c>
    </row>
    <row r="60" spans="4:15" x14ac:dyDescent="0.25">
      <c r="D60" s="22">
        <v>0.16111111111111112</v>
      </c>
      <c r="E60" s="11">
        <v>58.910228245624815</v>
      </c>
      <c r="F60" s="11">
        <f t="shared" si="18"/>
        <v>2.5389325626064885E-2</v>
      </c>
      <c r="G60" s="11">
        <f t="shared" si="9"/>
        <v>1.2407801812081402E-2</v>
      </c>
      <c r="H60" s="11">
        <f t="shared" si="12"/>
        <v>2.2549327937098053E-2</v>
      </c>
      <c r="I60" s="11">
        <f t="shared" si="13"/>
        <v>0.55025151289179408</v>
      </c>
      <c r="J60" s="11">
        <f t="shared" si="14"/>
        <v>0.13909322283508227</v>
      </c>
      <c r="K60" s="11">
        <f t="shared" si="10"/>
        <v>-2.8717322273096386E-2</v>
      </c>
      <c r="L60" s="11">
        <f t="shared" si="15"/>
        <v>-1.6917440097112733</v>
      </c>
      <c r="M60" s="11">
        <f t="shared" si="16"/>
        <v>1.5780401125022558</v>
      </c>
      <c r="N60" s="11">
        <f t="shared" si="11"/>
        <v>2.2016706626649393E-2</v>
      </c>
      <c r="O60" s="20">
        <f t="shared" si="17"/>
        <v>3.3726189994154922E-3</v>
      </c>
    </row>
    <row r="61" spans="4:15" x14ac:dyDescent="0.25">
      <c r="D61" s="22">
        <v>0.16388888888888889</v>
      </c>
      <c r="E61" s="11">
        <v>59.264649391244738</v>
      </c>
      <c r="F61" s="11">
        <f t="shared" si="18"/>
        <v>2.9819016676347454E-2</v>
      </c>
      <c r="G61" s="11">
        <f t="shared" si="9"/>
        <v>1.439091695166673E-2</v>
      </c>
      <c r="H61" s="11">
        <f t="shared" si="12"/>
        <v>2.3927167345459223E-2</v>
      </c>
      <c r="I61" s="11">
        <f t="shared" si="13"/>
        <v>0.60144674644898011</v>
      </c>
      <c r="J61" s="11">
        <f t="shared" si="14"/>
        <v>0.16792456674162454</v>
      </c>
      <c r="K61" s="11">
        <f t="shared" si="10"/>
        <v>-3.4244393175698128E-2</v>
      </c>
      <c r="L61" s="11">
        <f t="shared" si="15"/>
        <v>-2.0294819551736833</v>
      </c>
      <c r="M61" s="11">
        <f t="shared" si="16"/>
        <v>1.8913764051084065</v>
      </c>
      <c r="N61" s="11">
        <f t="shared" si="11"/>
        <v>2.6176358927495938E-2</v>
      </c>
      <c r="O61" s="20">
        <f t="shared" si="17"/>
        <v>3.6426577488515161E-3</v>
      </c>
    </row>
    <row r="62" spans="4:15" x14ac:dyDescent="0.25">
      <c r="D62" s="22">
        <v>0.16666666666666669</v>
      </c>
      <c r="E62" s="11">
        <v>59.533279750174096</v>
      </c>
      <c r="F62" s="11">
        <f t="shared" si="18"/>
        <v>3.2907802753746163E-2</v>
      </c>
      <c r="G62" s="11">
        <f t="shared" si="9"/>
        <v>1.5878999988714216E-2</v>
      </c>
      <c r="H62" s="11">
        <f t="shared" si="12"/>
        <v>2.4971319240447164E-2</v>
      </c>
      <c r="I62" s="11">
        <f t="shared" si="13"/>
        <v>0.63588951131561722</v>
      </c>
      <c r="J62" s="11">
        <f t="shared" si="14"/>
        <v>0.19044369932408997</v>
      </c>
      <c r="K62" s="11">
        <f t="shared" si="10"/>
        <v>-3.865298247257079E-2</v>
      </c>
      <c r="L62" s="11">
        <f t="shared" si="15"/>
        <v>-2.3011388187181328</v>
      </c>
      <c r="M62" s="11">
        <f t="shared" si="16"/>
        <v>2.1436029221477892</v>
      </c>
      <c r="N62" s="11">
        <f t="shared" si="11"/>
        <v>2.903922315981828E-2</v>
      </c>
      <c r="O62" s="20">
        <f t="shared" si="17"/>
        <v>3.868579593927883E-3</v>
      </c>
    </row>
    <row r="63" spans="4:15" x14ac:dyDescent="0.25">
      <c r="D63" s="22">
        <v>0.16944444444444445</v>
      </c>
      <c r="E63" s="11">
        <v>60.00555844303058</v>
      </c>
      <c r="F63" s="11">
        <f t="shared" si="18"/>
        <v>4.2100146481318212E-2</v>
      </c>
      <c r="G63" s="11">
        <f t="shared" ref="G63:G91" si="19">BSGreeks(E63,$B$3,$B$6 - D63,$B$8, $B$5,$G$1)</f>
        <v>1.9586304518894693E-2</v>
      </c>
      <c r="H63" s="11">
        <f t="shared" si="12"/>
        <v>2.692634771164747E-2</v>
      </c>
      <c r="I63" s="11">
        <f t="shared" si="13"/>
        <v>0.72740294111340953</v>
      </c>
      <c r="J63" s="11">
        <f t="shared" si="14"/>
        <v>0.24913961639075946</v>
      </c>
      <c r="K63" s="11">
        <f t="shared" ref="K63:K91" si="20">BSGreeks(E63,$B$3,$B$6 - D63,$B$8, $B$5,$K$1) - I63 *BSGreeks(E63,$B$13,$B$14 - D63,$B$8, $B$5,$K$1)</f>
        <v>-4.9391263528891276E-2</v>
      </c>
      <c r="L63" s="11">
        <f t="shared" si="15"/>
        <v>-2.9637503502580103</v>
      </c>
      <c r="M63" s="11">
        <f t="shared" si="16"/>
        <v>2.7567108803485691</v>
      </c>
      <c r="N63" s="11">
        <f t="shared" ref="N63:N91" si="21">BSCall(E63,$B$3, $B$6 - D63,$B$8,$B$5)</f>
        <v>3.7768049138036185E-2</v>
      </c>
      <c r="O63" s="20">
        <f t="shared" si="17"/>
        <v>4.3320973432820278E-3</v>
      </c>
    </row>
    <row r="64" spans="4:15" x14ac:dyDescent="0.25">
      <c r="D64" s="22">
        <v>0.17222222222222222</v>
      </c>
      <c r="E64" s="11">
        <v>60.452626526616875</v>
      </c>
      <c r="F64" s="11">
        <f t="shared" si="18"/>
        <v>5.2842262499602111E-2</v>
      </c>
      <c r="G64" s="11">
        <f t="shared" si="19"/>
        <v>2.3692385522986342E-2</v>
      </c>
      <c r="H64" s="11">
        <f t="shared" si="12"/>
        <v>2.8811621410607856E-2</v>
      </c>
      <c r="I64" s="11">
        <f t="shared" si="13"/>
        <v>0.82232045136700582</v>
      </c>
      <c r="J64" s="11">
        <f t="shared" si="14"/>
        <v>0.31861732572027768</v>
      </c>
      <c r="K64" s="11">
        <f t="shared" si="20"/>
        <v>-6.1803251299754849E-2</v>
      </c>
      <c r="L64" s="11">
        <f t="shared" si="15"/>
        <v>-3.7361688689547288</v>
      </c>
      <c r="M64" s="11">
        <f t="shared" si="16"/>
        <v>3.4703938057340533</v>
      </c>
      <c r="N64" s="11">
        <f t="shared" si="21"/>
        <v>4.7975289100429024E-2</v>
      </c>
      <c r="O64" s="20">
        <f t="shared" si="17"/>
        <v>4.8669733991730871E-3</v>
      </c>
    </row>
    <row r="65" spans="4:15" x14ac:dyDescent="0.25">
      <c r="D65" s="22">
        <v>0.17500000000000002</v>
      </c>
      <c r="E65" s="11">
        <v>60.136569563608141</v>
      </c>
      <c r="F65" s="11">
        <f t="shared" si="18"/>
        <v>3.7888627394881969E-2</v>
      </c>
      <c r="G65" s="11">
        <f t="shared" si="19"/>
        <v>1.9032342754021096E-2</v>
      </c>
      <c r="H65" s="11">
        <f t="shared" si="12"/>
        <v>2.7326226138353213E-2</v>
      </c>
      <c r="I65" s="11">
        <f t="shared" si="13"/>
        <v>0.69648632261403298</v>
      </c>
      <c r="J65" s="11">
        <f t="shared" si="14"/>
        <v>0.24052116052741351</v>
      </c>
      <c r="K65" s="11">
        <f t="shared" si="20"/>
        <v>-4.9047847647308879E-2</v>
      </c>
      <c r="L65" s="11">
        <f t="shared" si="15"/>
        <v>-2.9495693019876441</v>
      </c>
      <c r="M65" s="11">
        <f t="shared" si="16"/>
        <v>2.7469367688551127</v>
      </c>
      <c r="N65" s="11">
        <f t="shared" si="21"/>
        <v>3.3575784661485662E-2</v>
      </c>
      <c r="O65" s="20">
        <f t="shared" si="17"/>
        <v>4.3128427333963062E-3</v>
      </c>
    </row>
    <row r="66" spans="4:15" x14ac:dyDescent="0.25">
      <c r="D66" s="22">
        <v>0.17777777777777778</v>
      </c>
      <c r="E66" s="11">
        <v>60.730653286166337</v>
      </c>
      <c r="F66" s="11">
        <f t="shared" si="18"/>
        <v>5.3131900905614593E-2</v>
      </c>
      <c r="G66" s="11">
        <f t="shared" si="19"/>
        <v>2.5091757392910786E-2</v>
      </c>
      <c r="H66" s="11">
        <f t="shared" ref="H66:H91" si="22">BSGreeks(E66,$B$13,$B$14 - D66,$B$8, $B$5,$G$1)</f>
        <v>2.9902633901893388E-2</v>
      </c>
      <c r="I66" s="11">
        <f t="shared" ref="I66:I91" si="23">G66/H66</f>
        <v>0.83911529249341532</v>
      </c>
      <c r="J66" s="11">
        <f t="shared" ref="J66:J91" si="24">I66*BSCall(E66,$B$13,$B$14 - D66,$B$8,$B$5)</f>
        <v>0.34309932287186584</v>
      </c>
      <c r="K66" s="11">
        <f t="shared" si="20"/>
        <v>-6.7539537661892968E-2</v>
      </c>
      <c r="L66" s="11">
        <f t="shared" ref="L66:L91" si="25">K66 * E66</f>
        <v>-4.1017202448523955</v>
      </c>
      <c r="M66" s="11">
        <f t="shared" ref="M66:M91" si="26">F66 - L66 - J66</f>
        <v>3.8117528228861444</v>
      </c>
      <c r="N66" s="11">
        <f t="shared" si="21"/>
        <v>4.8125996167185471E-2</v>
      </c>
      <c r="O66" s="20">
        <f t="shared" ref="O66:O91" si="27">F66 - N66</f>
        <v>5.0059047384291219E-3</v>
      </c>
    </row>
    <row r="67" spans="4:15" x14ac:dyDescent="0.25">
      <c r="D67" s="22">
        <v>0.18055555555555555</v>
      </c>
      <c r="E67" s="11">
        <v>61.10416976985524</v>
      </c>
      <c r="F67" s="11">
        <f t="shared" ref="F67:F92" si="28">E67 * K66 + I66*BSCall(E67,$B$13,$B$14-D67,$B$8,$B$5) +  M66 * EXP($B$8*(D67 - D66))</f>
        <v>6.3337042562703338E-2</v>
      </c>
      <c r="G67" s="11">
        <f t="shared" si="19"/>
        <v>2.9189711013251712E-2</v>
      </c>
      <c r="H67" s="11">
        <f t="shared" si="22"/>
        <v>3.1517898638365072E-2</v>
      </c>
      <c r="I67" s="11">
        <f t="shared" si="23"/>
        <v>0.92613125475695957</v>
      </c>
      <c r="J67" s="11">
        <f t="shared" si="24"/>
        <v>0.41759820585451685</v>
      </c>
      <c r="K67" s="11">
        <f t="shared" si="20"/>
        <v>-8.0976031842173626E-2</v>
      </c>
      <c r="L67" s="11">
        <f t="shared" si="25"/>
        <v>-4.9479731969733809</v>
      </c>
      <c r="M67" s="11">
        <f t="shared" si="26"/>
        <v>4.5937120336815678</v>
      </c>
      <c r="N67" s="11">
        <f t="shared" si="21"/>
        <v>5.7732666354530254E-2</v>
      </c>
      <c r="O67" s="20">
        <f t="shared" si="27"/>
        <v>5.6043762081730841E-3</v>
      </c>
    </row>
    <row r="68" spans="4:15" x14ac:dyDescent="0.25">
      <c r="D68" s="22">
        <v>0.18333333333333335</v>
      </c>
      <c r="E68" s="11">
        <v>61.917748179328157</v>
      </c>
      <c r="F68" s="11">
        <f t="shared" si="28"/>
        <v>0.1024924539466987</v>
      </c>
      <c r="G68" s="11">
        <f t="shared" si="19"/>
        <v>4.166179695716353E-2</v>
      </c>
      <c r="H68" s="11">
        <f t="shared" si="22"/>
        <v>3.5111015810174083E-2</v>
      </c>
      <c r="I68" s="11">
        <f t="shared" si="23"/>
        <v>1.1865733871787107</v>
      </c>
      <c r="J68" s="11">
        <f t="shared" si="24"/>
        <v>0.66934496905934204</v>
      </c>
      <c r="K68" s="11">
        <f t="shared" si="20"/>
        <v>-0.12219847949426478</v>
      </c>
      <c r="L68" s="11">
        <f t="shared" si="25"/>
        <v>-7.5662546812226825</v>
      </c>
      <c r="M68" s="11">
        <f t="shared" si="26"/>
        <v>6.9994021661100394</v>
      </c>
      <c r="N68" s="11">
        <f t="shared" si="21"/>
        <v>9.5865500844392756E-2</v>
      </c>
      <c r="O68" s="20">
        <f t="shared" si="27"/>
        <v>6.6269531023059464E-3</v>
      </c>
    </row>
    <row r="69" spans="4:15" x14ac:dyDescent="0.25">
      <c r="D69" s="22">
        <v>0.18611111111111112</v>
      </c>
      <c r="E69" s="11">
        <v>61.422075454413587</v>
      </c>
      <c r="F69" s="11">
        <f t="shared" si="28"/>
        <v>6.4856274347765641E-2</v>
      </c>
      <c r="G69" s="11">
        <f t="shared" si="19"/>
        <v>3.1648933581372975E-2</v>
      </c>
      <c r="H69" s="11">
        <f t="shared" si="22"/>
        <v>3.2847171351633273E-2</v>
      </c>
      <c r="I69" s="11">
        <f t="shared" si="23"/>
        <v>0.96352082322605481</v>
      </c>
      <c r="J69" s="11">
        <f t="shared" si="24"/>
        <v>0.46352289936012375</v>
      </c>
      <c r="K69" s="11">
        <f t="shared" si="20"/>
        <v>-9.0960110265405597E-2</v>
      </c>
      <c r="L69" s="11">
        <f t="shared" si="25"/>
        <v>-5.5869587560635221</v>
      </c>
      <c r="M69" s="11">
        <f t="shared" si="26"/>
        <v>5.1882921310511643</v>
      </c>
      <c r="N69" s="11">
        <f t="shared" si="21"/>
        <v>5.9371262126239277E-2</v>
      </c>
      <c r="O69" s="20">
        <f t="shared" si="27"/>
        <v>5.4850122215263641E-3</v>
      </c>
    </row>
    <row r="70" spans="4:15" x14ac:dyDescent="0.25">
      <c r="D70" s="22">
        <v>0.18888888888888888</v>
      </c>
      <c r="E70" s="11">
        <v>61.185902758921607</v>
      </c>
      <c r="F70" s="11">
        <f t="shared" si="28"/>
        <v>4.8148744846744584E-2</v>
      </c>
      <c r="G70" s="11">
        <f t="shared" si="19"/>
        <v>2.6498069704094289E-2</v>
      </c>
      <c r="H70" s="11">
        <f t="shared" si="22"/>
        <v>3.1706849321233257E-2</v>
      </c>
      <c r="I70" s="11">
        <f t="shared" si="23"/>
        <v>0.83572068090503138</v>
      </c>
      <c r="J70" s="11">
        <f t="shared" si="24"/>
        <v>0.36871744242564081</v>
      </c>
      <c r="K70" s="11">
        <f t="shared" si="20"/>
        <v>-7.5688004619407931E-2</v>
      </c>
      <c r="L70" s="11">
        <f t="shared" si="25"/>
        <v>-4.6310388906599034</v>
      </c>
      <c r="M70" s="11">
        <f t="shared" si="26"/>
        <v>4.3104701930810068</v>
      </c>
      <c r="N70" s="11">
        <f t="shared" si="21"/>
        <v>4.3343056487632599E-2</v>
      </c>
      <c r="O70" s="20">
        <f t="shared" si="27"/>
        <v>4.8056883591119856E-3</v>
      </c>
    </row>
    <row r="71" spans="4:15" x14ac:dyDescent="0.25">
      <c r="D71" s="22">
        <v>0.19166666666666668</v>
      </c>
      <c r="E71" s="11">
        <v>61.275051880057447</v>
      </c>
      <c r="F71" s="11">
        <f t="shared" si="28"/>
        <v>4.5821408708702549E-2</v>
      </c>
      <c r="G71" s="11">
        <f t="shared" si="19"/>
        <v>2.6404560366098975E-2</v>
      </c>
      <c r="H71" s="11">
        <f t="shared" si="22"/>
        <v>3.2057819779241464E-2</v>
      </c>
      <c r="I71" s="11">
        <f t="shared" si="23"/>
        <v>0.82365427680134473</v>
      </c>
      <c r="J71" s="11">
        <f t="shared" si="24"/>
        <v>0.36756132967250255</v>
      </c>
      <c r="K71" s="11">
        <f t="shared" si="20"/>
        <v>-7.6477393845641839E-2</v>
      </c>
      <c r="L71" s="11">
        <f t="shared" si="25"/>
        <v>-4.68615627554329</v>
      </c>
      <c r="M71" s="11">
        <f t="shared" si="26"/>
        <v>4.3644163545794896</v>
      </c>
      <c r="N71" s="11">
        <f t="shared" si="21"/>
        <v>4.0950640144730432E-2</v>
      </c>
      <c r="O71" s="20">
        <f t="shared" si="27"/>
        <v>4.8707685639721165E-3</v>
      </c>
    </row>
    <row r="72" spans="4:15" x14ac:dyDescent="0.25">
      <c r="D72" s="22">
        <v>0.19444444444444445</v>
      </c>
      <c r="E72" s="11">
        <v>61.038596620397527</v>
      </c>
      <c r="F72" s="11">
        <f t="shared" si="28"/>
        <v>3.2811752483401513E-2</v>
      </c>
      <c r="G72" s="11">
        <f t="shared" si="19"/>
        <v>2.1350506714189754E-2</v>
      </c>
      <c r="H72" s="11">
        <f t="shared" si="22"/>
        <v>3.0882891138360614E-2</v>
      </c>
      <c r="I72" s="11">
        <f t="shared" si="23"/>
        <v>0.69133769304615444</v>
      </c>
      <c r="J72" s="11">
        <f t="shared" si="24"/>
        <v>0.28225317980285713</v>
      </c>
      <c r="K72" s="11">
        <f t="shared" si="20"/>
        <v>-6.141980469149394E-2</v>
      </c>
      <c r="L72" s="11">
        <f t="shared" si="25"/>
        <v>-3.7489786830676981</v>
      </c>
      <c r="M72" s="11">
        <f t="shared" si="26"/>
        <v>3.4995372557482423</v>
      </c>
      <c r="N72" s="11">
        <f t="shared" si="21"/>
        <v>2.8611382894638847E-2</v>
      </c>
      <c r="O72" s="20">
        <f t="shared" si="27"/>
        <v>4.200369588762666E-3</v>
      </c>
    </row>
    <row r="73" spans="4:15" x14ac:dyDescent="0.25">
      <c r="D73" s="22">
        <v>0.19722222222222224</v>
      </c>
      <c r="E73" s="11">
        <v>60.509639617856237</v>
      </c>
      <c r="F73" s="11">
        <f t="shared" si="28"/>
        <v>1.765632121192251E-2</v>
      </c>
      <c r="G73" s="11">
        <f t="shared" si="19"/>
        <v>1.3441409576025612E-2</v>
      </c>
      <c r="H73" s="11">
        <f t="shared" si="22"/>
        <v>2.8296336270480657E-2</v>
      </c>
      <c r="I73" s="11">
        <f t="shared" si="23"/>
        <v>0.47502296578401842</v>
      </c>
      <c r="J73" s="11">
        <f t="shared" si="24"/>
        <v>0.16109482865937341</v>
      </c>
      <c r="K73" s="11">
        <f t="shared" si="20"/>
        <v>-3.7635048572959968E-2</v>
      </c>
      <c r="L73" s="11">
        <f t="shared" si="25"/>
        <v>-2.2772832261503222</v>
      </c>
      <c r="M73" s="11">
        <f t="shared" si="26"/>
        <v>2.1338447187028713</v>
      </c>
      <c r="N73" s="11">
        <f t="shared" si="21"/>
        <v>1.4321277222210434E-2</v>
      </c>
      <c r="O73" s="20">
        <f t="shared" si="27"/>
        <v>3.3350439897120755E-3</v>
      </c>
    </row>
    <row r="74" spans="4:15" x14ac:dyDescent="0.25">
      <c r="D74" s="22">
        <v>0.2</v>
      </c>
      <c r="E74" s="11">
        <v>60.639403503081205</v>
      </c>
      <c r="F74" s="11">
        <f t="shared" si="28"/>
        <v>1.6842849581339969E-2</v>
      </c>
      <c r="G74" s="11">
        <f t="shared" si="19"/>
        <v>1.3366307593594064E-2</v>
      </c>
      <c r="H74" s="11">
        <f t="shared" si="22"/>
        <v>2.8818541589729282E-2</v>
      </c>
      <c r="I74" s="11">
        <f t="shared" si="23"/>
        <v>0.46380929971687807</v>
      </c>
      <c r="J74" s="11">
        <f t="shared" si="24"/>
        <v>0.16117344546261525</v>
      </c>
      <c r="K74" s="11">
        <f t="shared" si="20"/>
        <v>-3.8055958301605464E-2</v>
      </c>
      <c r="L74" s="11">
        <f t="shared" si="25"/>
        <v>-2.3076906111474864</v>
      </c>
      <c r="M74" s="11">
        <f t="shared" si="26"/>
        <v>2.1633600152662114</v>
      </c>
      <c r="N74" s="11">
        <f t="shared" si="21"/>
        <v>1.3433568169968336E-2</v>
      </c>
      <c r="O74" s="20">
        <f t="shared" si="27"/>
        <v>3.4092814113716331E-3</v>
      </c>
    </row>
    <row r="75" spans="4:15" x14ac:dyDescent="0.25">
      <c r="D75" s="22">
        <v>0.20277777777777778</v>
      </c>
      <c r="E75" s="11">
        <v>60.854196332346753</v>
      </c>
      <c r="F75" s="11">
        <f t="shared" si="28"/>
        <v>1.7328156017708984E-2</v>
      </c>
      <c r="G75" s="11">
        <f t="shared" si="19"/>
        <v>1.4178647142765599E-2</v>
      </c>
      <c r="H75" s="11">
        <f t="shared" si="22"/>
        <v>2.9759252956163277E-2</v>
      </c>
      <c r="I75" s="11">
        <f t="shared" si="23"/>
        <v>0.47644499556663555</v>
      </c>
      <c r="J75" s="11">
        <f t="shared" si="24"/>
        <v>0.17436093649571416</v>
      </c>
      <c r="K75" s="11">
        <f t="shared" si="20"/>
        <v>-4.1303274675512272E-2</v>
      </c>
      <c r="L75" s="11">
        <f t="shared" si="25"/>
        <v>-2.5134775862724692</v>
      </c>
      <c r="M75" s="11">
        <f t="shared" si="26"/>
        <v>2.3564448057944638</v>
      </c>
      <c r="N75" s="11">
        <f t="shared" si="21"/>
        <v>1.3695914327793955E-2</v>
      </c>
      <c r="O75" s="20">
        <f t="shared" si="27"/>
        <v>3.6322416899150292E-3</v>
      </c>
    </row>
    <row r="76" spans="4:15" x14ac:dyDescent="0.25">
      <c r="D76" s="22">
        <v>0.20555555555555557</v>
      </c>
      <c r="E76" s="11">
        <v>60.162297844053327</v>
      </c>
      <c r="F76" s="11">
        <f t="shared" si="28"/>
        <v>7.7939125668322617E-3</v>
      </c>
      <c r="G76" s="11">
        <f t="shared" si="19"/>
        <v>6.6529053712583441E-3</v>
      </c>
      <c r="H76" s="11">
        <f t="shared" si="22"/>
        <v>2.6320257712213115E-2</v>
      </c>
      <c r="I76" s="11">
        <f t="shared" si="23"/>
        <v>0.25276748594187459</v>
      </c>
      <c r="J76" s="11">
        <f t="shared" si="24"/>
        <v>7.2228377569616822E-2</v>
      </c>
      <c r="K76" s="11">
        <f t="shared" si="20"/>
        <v>-1.8611837516851224E-2</v>
      </c>
      <c r="L76" s="11">
        <f t="shared" si="25"/>
        <v>-1.1197309121139292</v>
      </c>
      <c r="M76" s="11">
        <f t="shared" si="26"/>
        <v>1.0552964471111446</v>
      </c>
      <c r="N76" s="11">
        <f t="shared" si="21"/>
        <v>4.7904257588409997E-3</v>
      </c>
      <c r="O76" s="20">
        <f t="shared" si="27"/>
        <v>3.0034868079912621E-3</v>
      </c>
    </row>
    <row r="77" spans="4:15" x14ac:dyDescent="0.25">
      <c r="D77" s="22">
        <v>0.20833333333333334</v>
      </c>
      <c r="E77" s="11">
        <v>59.184151208387455</v>
      </c>
      <c r="F77" s="11">
        <f t="shared" si="28"/>
        <v>3.9045372023036595E-3</v>
      </c>
      <c r="G77" s="11">
        <f t="shared" si="19"/>
        <v>1.825581139376424E-3</v>
      </c>
      <c r="H77" s="11">
        <f t="shared" si="22"/>
        <v>2.1599864219497358E-2</v>
      </c>
      <c r="I77" s="11">
        <f t="shared" si="23"/>
        <v>8.451817663411712E-2</v>
      </c>
      <c r="J77" s="11">
        <f t="shared" si="24"/>
        <v>1.6747649693985386E-2</v>
      </c>
      <c r="K77" s="11">
        <f t="shared" si="20"/>
        <v>-4.7930706942649276E-3</v>
      </c>
      <c r="L77" s="11">
        <f t="shared" si="25"/>
        <v>-0.28367382072186609</v>
      </c>
      <c r="M77" s="11">
        <f t="shared" si="26"/>
        <v>0.27083070823018435</v>
      </c>
      <c r="N77" s="11">
        <f t="shared" si="21"/>
        <v>9.0835503697212915E-4</v>
      </c>
      <c r="O77" s="20">
        <f t="shared" si="27"/>
        <v>2.9961821653315306E-3</v>
      </c>
    </row>
    <row r="78" spans="4:15" x14ac:dyDescent="0.25">
      <c r="D78" s="22">
        <v>0.21111111111111111</v>
      </c>
      <c r="E78" s="11">
        <v>59.400747888392928</v>
      </c>
      <c r="F78" s="11">
        <f t="shared" si="28"/>
        <v>3.861401755938576E-3</v>
      </c>
      <c r="G78" s="11">
        <f t="shared" si="19"/>
        <v>1.7982379066150639E-3</v>
      </c>
      <c r="H78" s="11">
        <f t="shared" si="22"/>
        <v>2.2453556866455282E-2</v>
      </c>
      <c r="I78" s="11">
        <f t="shared" si="23"/>
        <v>8.0086995450665527E-2</v>
      </c>
      <c r="J78" s="11">
        <f t="shared" si="24"/>
        <v>1.680104519908154E-2</v>
      </c>
      <c r="K78" s="11">
        <f t="shared" si="20"/>
        <v>-4.8309321284446885E-3</v>
      </c>
      <c r="L78" s="11">
        <f t="shared" si="25"/>
        <v>-0.28696098142768039</v>
      </c>
      <c r="M78" s="11">
        <f t="shared" si="26"/>
        <v>0.27402133798453743</v>
      </c>
      <c r="N78" s="11">
        <f t="shared" si="21"/>
        <v>8.3476362364671747E-4</v>
      </c>
      <c r="O78" s="20">
        <f t="shared" si="27"/>
        <v>3.0266381322918588E-3</v>
      </c>
    </row>
    <row r="79" spans="4:15" x14ac:dyDescent="0.25">
      <c r="D79" s="22">
        <v>0.21388888888888891</v>
      </c>
      <c r="E79" s="11">
        <v>60.022356871877037</v>
      </c>
      <c r="F79" s="11">
        <f t="shared" si="28"/>
        <v>4.6053389375237952E-3</v>
      </c>
      <c r="G79" s="11">
        <f t="shared" si="19"/>
        <v>2.9326632080294711E-3</v>
      </c>
      <c r="H79" s="11">
        <f t="shared" si="22"/>
        <v>2.5275557175943916E-2</v>
      </c>
      <c r="I79" s="11">
        <f t="shared" si="23"/>
        <v>0.11602763838656904</v>
      </c>
      <c r="J79" s="11">
        <f t="shared" si="24"/>
        <v>2.9751585112600655E-2</v>
      </c>
      <c r="K79" s="11">
        <f t="shared" si="20"/>
        <v>-8.312471367977364E-3</v>
      </c>
      <c r="L79" s="11">
        <f t="shared" si="25"/>
        <v>-0.49893412293599726</v>
      </c>
      <c r="M79" s="11">
        <f t="shared" si="26"/>
        <v>0.47378787676092038</v>
      </c>
      <c r="N79" s="11">
        <f t="shared" si="21"/>
        <v>1.4052268619300474E-3</v>
      </c>
      <c r="O79" s="20">
        <f t="shared" si="27"/>
        <v>3.200112075593748E-3</v>
      </c>
    </row>
    <row r="80" spans="4:15" x14ac:dyDescent="0.25">
      <c r="D80" s="22">
        <v>0.21666666666666667</v>
      </c>
      <c r="E80" s="11">
        <v>60.253380023147088</v>
      </c>
      <c r="F80" s="11">
        <f t="shared" si="28"/>
        <v>4.5513903411062984E-3</v>
      </c>
      <c r="G80" s="11">
        <f t="shared" si="19"/>
        <v>2.918645351897627E-3</v>
      </c>
      <c r="H80" s="11">
        <f t="shared" si="22"/>
        <v>2.6279962642347231E-2</v>
      </c>
      <c r="I80" s="11">
        <f t="shared" si="23"/>
        <v>0.11105972225373545</v>
      </c>
      <c r="J80" s="11">
        <f t="shared" si="24"/>
        <v>3.0244076131160733E-2</v>
      </c>
      <c r="K80" s="11">
        <f t="shared" si="20"/>
        <v>-8.4846056030580368E-3</v>
      </c>
      <c r="L80" s="11">
        <f t="shared" si="25"/>
        <v>-0.51122616574757895</v>
      </c>
      <c r="M80" s="11">
        <f t="shared" si="26"/>
        <v>0.48553347995752449</v>
      </c>
      <c r="N80" s="11">
        <f t="shared" si="21"/>
        <v>1.2912927657371448E-3</v>
      </c>
      <c r="O80" s="20">
        <f t="shared" si="27"/>
        <v>3.2600975753691534E-3</v>
      </c>
    </row>
    <row r="81" spans="4:15" x14ac:dyDescent="0.25">
      <c r="D81" s="22">
        <v>0.21944444444444444</v>
      </c>
      <c r="E81" s="11">
        <v>60.135829002206954</v>
      </c>
      <c r="F81" s="11">
        <f t="shared" si="28"/>
        <v>3.7568398678817227E-3</v>
      </c>
      <c r="G81" s="11">
        <f t="shared" si="19"/>
        <v>1.7563310665995777E-3</v>
      </c>
      <c r="H81" s="11">
        <f t="shared" si="22"/>
        <v>2.5569676179433294E-2</v>
      </c>
      <c r="I81" s="11">
        <f t="shared" si="23"/>
        <v>6.868804494334052E-2</v>
      </c>
      <c r="J81" s="11">
        <f t="shared" si="24"/>
        <v>1.7583696034640946E-2</v>
      </c>
      <c r="K81" s="11">
        <f t="shared" si="20"/>
        <v>-5.1017889628109693E-3</v>
      </c>
      <c r="L81" s="11">
        <f t="shared" si="25"/>
        <v>-0.30680030867294722</v>
      </c>
      <c r="M81" s="11">
        <f t="shared" si="26"/>
        <v>0.292973452506188</v>
      </c>
      <c r="N81" s="11">
        <f t="shared" si="21"/>
        <v>6.4250036123946722E-4</v>
      </c>
      <c r="O81" s="20">
        <f t="shared" si="27"/>
        <v>3.1143395066422557E-3</v>
      </c>
    </row>
    <row r="82" spans="4:15" x14ac:dyDescent="0.25">
      <c r="D82" s="22">
        <v>0.22222222222222224</v>
      </c>
      <c r="E82" s="11">
        <v>59.575226380709211</v>
      </c>
      <c r="F82" s="11">
        <f t="shared" si="28"/>
        <v>3.0944563825853755E-3</v>
      </c>
      <c r="G82" s="11">
        <f t="shared" si="19"/>
        <v>4.494233737189712E-4</v>
      </c>
      <c r="H82" s="11">
        <f t="shared" si="22"/>
        <v>2.2690870798300688E-2</v>
      </c>
      <c r="I82" s="11">
        <f t="shared" si="23"/>
        <v>1.9806351978022298E-2</v>
      </c>
      <c r="J82" s="11">
        <f t="shared" si="24"/>
        <v>4.0508343221500442E-3</v>
      </c>
      <c r="K82" s="11">
        <f t="shared" si="20"/>
        <v>-1.2601148710421894E-3</v>
      </c>
      <c r="L82" s="11">
        <f t="shared" si="25"/>
        <v>-7.5071628708036631E-2</v>
      </c>
      <c r="M82" s="11">
        <f t="shared" si="26"/>
        <v>7.411525076847196E-2</v>
      </c>
      <c r="N82" s="11">
        <f t="shared" si="21"/>
        <v>1.1819084923409347E-4</v>
      </c>
      <c r="O82" s="20">
        <f t="shared" si="27"/>
        <v>2.976265533351282E-3</v>
      </c>
    </row>
    <row r="83" spans="4:15" x14ac:dyDescent="0.25">
      <c r="D83" s="22">
        <v>0.22500000000000001</v>
      </c>
      <c r="E83" s="11">
        <v>59.570761585485478</v>
      </c>
      <c r="F83" s="11">
        <f t="shared" si="28"/>
        <v>3.0047149179745075E-3</v>
      </c>
      <c r="G83" s="11">
        <f t="shared" si="19"/>
        <v>2.3563159700475087E-4</v>
      </c>
      <c r="H83" s="11">
        <f t="shared" si="22"/>
        <v>2.2516685552043173E-2</v>
      </c>
      <c r="I83" s="11">
        <f t="shared" si="23"/>
        <v>1.0464754968493556E-2</v>
      </c>
      <c r="J83" s="11">
        <f t="shared" si="24"/>
        <v>2.0881441514297035E-3</v>
      </c>
      <c r="K83" s="11">
        <f t="shared" si="20"/>
        <v>-6.6553542235215485E-4</v>
      </c>
      <c r="L83" s="11">
        <f t="shared" si="25"/>
        <v>-3.9646451971635598E-2</v>
      </c>
      <c r="M83" s="11">
        <f t="shared" si="26"/>
        <v>4.0563022738180403E-2</v>
      </c>
      <c r="N83" s="11">
        <f t="shared" si="21"/>
        <v>5.0935367666828907E-5</v>
      </c>
      <c r="O83" s="20">
        <f t="shared" si="27"/>
        <v>2.9537795503076785E-3</v>
      </c>
    </row>
    <row r="84" spans="4:15" x14ac:dyDescent="0.25">
      <c r="D84" s="22">
        <v>0.22777777777777777</v>
      </c>
      <c r="E84" s="11">
        <v>60.784651908992551</v>
      </c>
      <c r="F84" s="11">
        <f t="shared" si="28"/>
        <v>3.2685059232544431E-3</v>
      </c>
      <c r="G84" s="11">
        <f t="shared" si="19"/>
        <v>1.1619538576680287E-3</v>
      </c>
      <c r="H84" s="11">
        <f t="shared" si="22"/>
        <v>2.8479047005916303E-2</v>
      </c>
      <c r="I84" s="11">
        <f t="shared" si="23"/>
        <v>4.0800306886204507E-2</v>
      </c>
      <c r="J84" s="11">
        <f t="shared" si="24"/>
        <v>1.2312582376896773E-2</v>
      </c>
      <c r="K84" s="11">
        <f t="shared" si="20"/>
        <v>-3.6444919419533345E-3</v>
      </c>
      <c r="L84" s="11">
        <f t="shared" si="25"/>
        <v>-0.22152917407676173</v>
      </c>
      <c r="M84" s="11">
        <f t="shared" si="26"/>
        <v>0.2124850976231194</v>
      </c>
      <c r="N84" s="11">
        <f t="shared" si="21"/>
        <v>2.8860220774404527E-4</v>
      </c>
      <c r="O84" s="20">
        <f t="shared" si="27"/>
        <v>2.9799037155103978E-3</v>
      </c>
    </row>
    <row r="85" spans="4:15" x14ac:dyDescent="0.25">
      <c r="D85" s="22">
        <v>0.23055555555555557</v>
      </c>
      <c r="E85" s="11">
        <v>61.259423517840645</v>
      </c>
      <c r="F85" s="11">
        <f t="shared" si="28"/>
        <v>3.4225905633287756E-3</v>
      </c>
      <c r="G85" s="11">
        <f t="shared" si="19"/>
        <v>1.4556669533649601E-3</v>
      </c>
      <c r="H85" s="11">
        <f t="shared" si="22"/>
        <v>3.0852534636598608E-2</v>
      </c>
      <c r="I85" s="11">
        <f t="shared" si="23"/>
        <v>4.718143810583994E-2</v>
      </c>
      <c r="J85" s="11">
        <f t="shared" si="24"/>
        <v>1.6406440343933616E-2</v>
      </c>
      <c r="K85" s="11">
        <f t="shared" si="20"/>
        <v>-4.7898066882183224E-3</v>
      </c>
      <c r="L85" s="11">
        <f t="shared" si="25"/>
        <v>-0.29342079648215191</v>
      </c>
      <c r="M85" s="11">
        <f t="shared" si="26"/>
        <v>0.28043694670154706</v>
      </c>
      <c r="N85" s="11">
        <f t="shared" si="21"/>
        <v>3.3001806552059628E-4</v>
      </c>
      <c r="O85" s="20">
        <f t="shared" si="27"/>
        <v>3.0925724978081793E-3</v>
      </c>
    </row>
    <row r="86" spans="4:15" x14ac:dyDescent="0.25">
      <c r="D86" s="22">
        <v>0.23333333333333334</v>
      </c>
      <c r="E86" s="11">
        <v>61.065891970198656</v>
      </c>
      <c r="F86" s="11">
        <f t="shared" si="28"/>
        <v>3.0183096312527136E-3</v>
      </c>
      <c r="G86" s="11">
        <f t="shared" si="19"/>
        <v>4.3442035605745319E-4</v>
      </c>
      <c r="H86" s="11">
        <f t="shared" si="22"/>
        <v>2.9720154894464824E-2</v>
      </c>
      <c r="I86" s="11">
        <f t="shared" si="23"/>
        <v>1.4617028666238917E-2</v>
      </c>
      <c r="J86" s="11">
        <f t="shared" si="24"/>
        <v>4.6664995541476819E-3</v>
      </c>
      <c r="K86" s="11">
        <f t="shared" si="20"/>
        <v>-1.4213001571706373E-3</v>
      </c>
      <c r="L86" s="11">
        <f t="shared" si="25"/>
        <v>-8.679296185500851E-2</v>
      </c>
      <c r="M86" s="11">
        <f t="shared" si="26"/>
        <v>8.5144771932113547E-2</v>
      </c>
      <c r="N86" s="11">
        <f t="shared" si="21"/>
        <v>6.9633318268129098E-5</v>
      </c>
      <c r="O86" s="20">
        <f t="shared" si="27"/>
        <v>2.9486763129845843E-3</v>
      </c>
    </row>
    <row r="87" spans="4:15" x14ac:dyDescent="0.25">
      <c r="D87" s="22">
        <v>0.23611111111111113</v>
      </c>
      <c r="E87" s="11">
        <v>61.043765031307082</v>
      </c>
      <c r="F87" s="11">
        <f t="shared" si="28"/>
        <v>2.9247409652926465E-3</v>
      </c>
      <c r="G87" s="11">
        <f t="shared" si="19"/>
        <v>1.2337260487524048E-4</v>
      </c>
      <c r="H87" s="11">
        <f t="shared" si="22"/>
        <v>2.9485578809737609E-2</v>
      </c>
      <c r="I87" s="11">
        <f t="shared" si="23"/>
        <v>4.184167645862753E-3</v>
      </c>
      <c r="J87" s="11">
        <f t="shared" si="24"/>
        <v>1.2989293374062901E-3</v>
      </c>
      <c r="K87" s="11">
        <f t="shared" si="20"/>
        <v>-4.0700513089257206E-4</v>
      </c>
      <c r="L87" s="11">
        <f t="shared" si="25"/>
        <v>-2.4845125576742552E-2</v>
      </c>
      <c r="M87" s="11">
        <f t="shared" si="26"/>
        <v>2.6470937204628908E-2</v>
      </c>
      <c r="N87" s="11">
        <f t="shared" si="21"/>
        <v>1.3993563938070119E-5</v>
      </c>
      <c r="O87" s="20">
        <f t="shared" si="27"/>
        <v>2.9107474013545763E-3</v>
      </c>
    </row>
    <row r="88" spans="4:15" x14ac:dyDescent="0.25">
      <c r="D88" s="22">
        <v>0.2388888888888889</v>
      </c>
      <c r="E88" s="11">
        <v>61.122479622981373</v>
      </c>
      <c r="F88" s="11">
        <f t="shared" si="28"/>
        <v>2.9025590743760148E-3</v>
      </c>
      <c r="G88" s="11">
        <f t="shared" si="19"/>
        <v>2.5589339345499158E-5</v>
      </c>
      <c r="H88" s="11">
        <f t="shared" si="22"/>
        <v>2.9789499698788028E-2</v>
      </c>
      <c r="I88" s="11">
        <f t="shared" si="23"/>
        <v>8.5900534095039696E-4</v>
      </c>
      <c r="J88" s="11">
        <f t="shared" si="24"/>
        <v>2.6845062218478979E-4</v>
      </c>
      <c r="K88" s="11">
        <f t="shared" si="20"/>
        <v>-8.5876024996125615E-5</v>
      </c>
      <c r="L88" s="11">
        <f t="shared" si="25"/>
        <v>-5.2489555879283271E-3</v>
      </c>
      <c r="M88" s="11">
        <f t="shared" si="26"/>
        <v>7.8830640401195522E-3</v>
      </c>
      <c r="N88" s="11">
        <f t="shared" si="21"/>
        <v>1.9620972442504477E-6</v>
      </c>
      <c r="O88" s="20">
        <f t="shared" si="27"/>
        <v>2.9005969771317645E-3</v>
      </c>
    </row>
    <row r="89" spans="4:15" x14ac:dyDescent="0.25">
      <c r="D89" s="22">
        <v>0.24166666666666667</v>
      </c>
      <c r="E89" s="11">
        <v>61.415669754145121</v>
      </c>
      <c r="F89" s="11">
        <f t="shared" si="28"/>
        <v>2.9002559356162286E-3</v>
      </c>
      <c r="G89" s="11">
        <f t="shared" si="19"/>
        <v>4.4797781912411757E-6</v>
      </c>
      <c r="H89" s="11">
        <f t="shared" si="22"/>
        <v>3.1270775984612968E-2</v>
      </c>
      <c r="I89" s="11">
        <f t="shared" si="23"/>
        <v>1.4325765991369982E-4</v>
      </c>
      <c r="J89" s="11">
        <f t="shared" si="24"/>
        <v>4.8526374442374577E-5</v>
      </c>
      <c r="K89" s="11">
        <f t="shared" si="20"/>
        <v>-1.5593273078985095E-5</v>
      </c>
      <c r="L89" s="11">
        <f t="shared" si="25"/>
        <v>-9.5767130980515028E-4</v>
      </c>
      <c r="M89" s="11">
        <f t="shared" si="26"/>
        <v>3.8094008709790047E-3</v>
      </c>
      <c r="N89" s="11">
        <f t="shared" si="21"/>
        <v>2.2135478699727068E-7</v>
      </c>
      <c r="O89" s="20">
        <f t="shared" si="27"/>
        <v>2.9000345808292312E-3</v>
      </c>
    </row>
    <row r="90" spans="4:15" x14ac:dyDescent="0.25">
      <c r="D90" s="22">
        <v>0.24444444444444446</v>
      </c>
      <c r="E90" s="11">
        <v>60.271204144529086</v>
      </c>
      <c r="F90" s="11">
        <f t="shared" si="28"/>
        <v>2.9012477167180447E-3</v>
      </c>
      <c r="G90" s="11">
        <f t="shared" si="19"/>
        <v>5.5314026154609357E-12</v>
      </c>
      <c r="H90" s="11">
        <f t="shared" si="22"/>
        <v>2.494855238627227E-2</v>
      </c>
      <c r="I90" s="11">
        <f t="shared" si="23"/>
        <v>2.2171236750812617E-10</v>
      </c>
      <c r="J90" s="11">
        <f t="shared" si="24"/>
        <v>4.8755355755420796E-11</v>
      </c>
      <c r="K90" s="11">
        <f t="shared" si="20"/>
        <v>-1.758264012117481E-11</v>
      </c>
      <c r="L90" s="11">
        <f t="shared" si="25"/>
        <v>-1.0597268921431146E-9</v>
      </c>
      <c r="M90" s="11">
        <f t="shared" si="26"/>
        <v>2.9012487276895813E-3</v>
      </c>
      <c r="N90" s="11">
        <f t="shared" si="21"/>
        <v>8.3904605380067793E-14</v>
      </c>
      <c r="O90" s="20">
        <f t="shared" si="27"/>
        <v>2.9012477166341401E-3</v>
      </c>
    </row>
    <row r="91" spans="4:15" x14ac:dyDescent="0.25">
      <c r="D91" s="23">
        <v>0.24722222222222223</v>
      </c>
      <c r="E91" s="13">
        <v>60.514905261910059</v>
      </c>
      <c r="F91" s="13">
        <f t="shared" si="28"/>
        <v>2.9013766630757712E-3</v>
      </c>
      <c r="G91" s="13">
        <f t="shared" si="19"/>
        <v>3.816271587556313E-21</v>
      </c>
      <c r="H91" s="13">
        <f t="shared" si="22"/>
        <v>2.6089617408060019E-2</v>
      </c>
      <c r="I91" s="13">
        <f t="shared" si="23"/>
        <v>1.4627549066232493E-19</v>
      </c>
      <c r="J91" s="13">
        <f t="shared" si="24"/>
        <v>3.4402591279212704E-20</v>
      </c>
      <c r="K91" s="13">
        <f t="shared" si="20"/>
        <v>-1.2521012376021672E-20</v>
      </c>
      <c r="L91" s="13">
        <f t="shared" si="25"/>
        <v>-7.577078777181548E-19</v>
      </c>
      <c r="M91" s="13">
        <f t="shared" si="26"/>
        <v>2.901376663075772E-3</v>
      </c>
      <c r="N91" s="13">
        <f t="shared" si="21"/>
        <v>1.6152834450382285E-23</v>
      </c>
      <c r="O91" s="21">
        <f t="shared" si="27"/>
        <v>2.9013766630757712E-3</v>
      </c>
    </row>
    <row r="92" spans="4:15" x14ac:dyDescent="0.25">
      <c r="F92" t="e">
        <f t="shared" si="28"/>
        <v>#VALUE!</v>
      </c>
    </row>
  </sheetData>
  <mergeCells count="2">
    <mergeCell ref="A1:B1"/>
    <mergeCell ref="A11:B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amma_Hedge_80">
                <anchor moveWithCells="1" sizeWithCells="1">
                  <from>
                    <xdr:col>0</xdr:col>
                    <xdr:colOff>9525</xdr:colOff>
                    <xdr:row>15</xdr:row>
                    <xdr:rowOff>0</xdr:rowOff>
                  </from>
                  <to>
                    <xdr:col>1</xdr:col>
                    <xdr:colOff>742950</xdr:colOff>
                    <xdr:row>17</xdr:row>
                    <xdr:rowOff>9525</xdr:rowOff>
                  </to>
                </anchor>
              </controlPr>
            </control>
          </mc:Choice>
        </mc:AlternateContent>
        <mc:AlternateContent xmlns:mc="http://schemas.openxmlformats.org/markup-compatibility/2006">
          <mc:Choice Requires="x14">
            <control shapeId="11266" r:id="rId4" name="Button 2">
              <controlPr defaultSize="0" print="0" autoFill="0" autoPict="0" macro="[0]!gamma_80_bis_bis">
                <anchor moveWithCells="1" sizeWithCells="1">
                  <from>
                    <xdr:col>16</xdr:col>
                    <xdr:colOff>0</xdr:colOff>
                    <xdr:row>23</xdr:row>
                    <xdr:rowOff>9525</xdr:rowOff>
                  </from>
                  <to>
                    <xdr:col>18</xdr:col>
                    <xdr:colOff>742950</xdr:colOff>
                    <xdr:row>25</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389B5-649F-4AC0-8B33-539E133E3827}">
  <sheetPr codeName="Feuil16"/>
  <dimension ref="A1:U92"/>
  <sheetViews>
    <sheetView tabSelected="1" zoomScale="39" zoomScaleNormal="70" workbookViewId="0">
      <selection activeCell="AB32" sqref="AB32"/>
    </sheetView>
  </sheetViews>
  <sheetFormatPr baseColWidth="10" defaultRowHeight="15" x14ac:dyDescent="0.25"/>
  <cols>
    <col min="6" max="6" width="14.28515625" bestFit="1" customWidth="1"/>
    <col min="8" max="9" width="11" bestFit="1" customWidth="1"/>
    <col min="10" max="10" width="14.140625" bestFit="1" customWidth="1"/>
    <col min="11" max="12" width="11" bestFit="1" customWidth="1"/>
    <col min="13" max="13" width="15.140625" bestFit="1" customWidth="1"/>
    <col min="14" max="14" width="14.140625" bestFit="1" customWidth="1"/>
    <col min="15" max="15" width="15.140625" bestFit="1" customWidth="1"/>
    <col min="16" max="16" width="14.140625" bestFit="1" customWidth="1"/>
    <col min="17" max="18" width="15.140625" bestFit="1" customWidth="1"/>
    <col min="19" max="19" width="11" bestFit="1" customWidth="1"/>
    <col min="20" max="20" width="14.140625" bestFit="1" customWidth="1"/>
    <col min="21" max="21" width="11" bestFit="1" customWidth="1"/>
  </cols>
  <sheetData>
    <row r="1" spans="1:21" ht="41.1" customHeight="1" x14ac:dyDescent="0.25">
      <c r="A1" s="64" t="s">
        <v>68</v>
      </c>
      <c r="B1" s="65"/>
      <c r="D1" s="35" t="s">
        <v>25</v>
      </c>
      <c r="E1" s="37" t="s">
        <v>0</v>
      </c>
      <c r="F1" s="37" t="s">
        <v>26</v>
      </c>
      <c r="G1" s="37" t="s">
        <v>8</v>
      </c>
      <c r="H1" s="37" t="s">
        <v>32</v>
      </c>
      <c r="I1" s="37" t="s">
        <v>121</v>
      </c>
      <c r="J1" s="37" t="s">
        <v>9</v>
      </c>
      <c r="K1" s="37" t="s">
        <v>124</v>
      </c>
      <c r="L1" s="37" t="s">
        <v>125</v>
      </c>
      <c r="M1" s="37" t="s">
        <v>71</v>
      </c>
      <c r="N1" s="37" t="s">
        <v>122</v>
      </c>
      <c r="O1" s="37" t="s">
        <v>72</v>
      </c>
      <c r="P1" s="37" t="s">
        <v>123</v>
      </c>
      <c r="Q1" s="37" t="s">
        <v>7</v>
      </c>
      <c r="R1" s="37" t="s">
        <v>34</v>
      </c>
      <c r="S1" s="37" t="s">
        <v>36</v>
      </c>
      <c r="T1" s="37" t="s">
        <v>35</v>
      </c>
      <c r="U1" s="36" t="s">
        <v>37</v>
      </c>
    </row>
    <row r="2" spans="1:21" x14ac:dyDescent="0.25">
      <c r="A2" s="2" t="s">
        <v>0</v>
      </c>
      <c r="B2" s="2">
        <v>60.57</v>
      </c>
      <c r="D2" s="15">
        <f t="array" ref="D2:E91">BSPath($B$2, $B$8, $B$5, $B$6, $B$9)</f>
        <v>0</v>
      </c>
      <c r="E2" s="15">
        <v>60.57</v>
      </c>
      <c r="F2" s="15">
        <f>BSCall(E2,$B$3, $B$6 - D2,$B$8,$B$5) - BSPut(E2,$B$4, $B$7 - D2,$B$8, $B$5)</f>
        <v>0.53420437876534088</v>
      </c>
      <c r="G2" s="15">
        <f t="shared" ref="G2:G30" si="0">BSGreeksRR(E2,$B$3,$B$4,$B$6 - D2,$B$7 - D2,$B$8, $B$5,$G$1)</f>
        <v>2.8957864510743867E-2</v>
      </c>
      <c r="H2" s="15">
        <f t="shared" ref="H2:H33" si="1">BSGreeks(E2,$B$13,$B$14 - D2,$B$8, $B$5,$G$1)</f>
        <v>3.1178683841236805E-2</v>
      </c>
      <c r="I2" s="15">
        <f t="shared" ref="I2:I33" si="2">BSGreeks(E2,$B$18,$B$19 - D2,$B$8, $B$5,$G$1)</f>
        <v>2.1272603870936352E-2</v>
      </c>
      <c r="J2" s="15">
        <f t="shared" ref="J2:J30" si="3">BSGreeksRR(E2,$B$3,$B$4,$B$6 - D2,$B$7 - D2,$B$8, $B$5,$J$1)</f>
        <v>7.0512086041049633</v>
      </c>
      <c r="K2" s="15">
        <f t="shared" ref="K2:K33" si="4">BSGreeks(E2,$B$13,$B$14 - D2,$B$8, $B$5,$J$1)</f>
        <v>11.438601375757314</v>
      </c>
      <c r="L2" s="15">
        <f t="shared" ref="L2:L33" si="5">BSGreeks(E2,$B$18,$B$19 - D2,$B$8, $B$5,$J$1)</f>
        <v>11.706499726371087</v>
      </c>
      <c r="M2" s="15">
        <f t="shared" ref="M2:M33" si="6">(-J2 + G2/I2*L2)/(K2-H2/I2*L2)</f>
        <v>-1.5534341815483852</v>
      </c>
      <c r="N2" s="15">
        <f t="shared" ref="N2:N33" si="7">(-G2-M2*H2)/I2</f>
        <v>0.9155517031242687</v>
      </c>
      <c r="O2" s="15">
        <f t="shared" ref="O2:O33" si="8">M2*BSCall(E2,$B$13,$B$14 - D2,$B$8,$B$5)</f>
        <v>-1.262565891722127</v>
      </c>
      <c r="P2" s="15">
        <f t="shared" ref="P2:P33" si="9">N2*BSCall(E2,$B$18,$B$19 - D2,$B$8,$B$5)</f>
        <v>0.63922876169945175</v>
      </c>
      <c r="Q2" s="15">
        <f t="shared" ref="Q2:Q30" si="10">BSGreeksRR(E2,$B$3, $B$4, $B$6 - D2,$B$7 - D2,$B$8, $B$5,$Q$1) + M2 *BSGreeks(E2,$B$13,$B$14 - D2,$B$8, $B$5,$Q$1) + N2 *BSGreeks(E2,$B$18,$B$19 - D2,$B$8, $B$5,$Q$1)</f>
        <v>4.0757750671990306E-2</v>
      </c>
      <c r="R2" s="15">
        <f t="shared" ref="R2:R33" si="11">Q2 * E2</f>
        <v>2.4686969582024529</v>
      </c>
      <c r="S2" s="15">
        <f t="shared" ref="S2:S33" si="12">F2 - R2 + P2 + O2</f>
        <v>-2.5578297094597877</v>
      </c>
      <c r="T2" s="15">
        <f>BSCall(E2,$B$3, $B$6 - D2,$B$8,$B$5) - BSPut(E2,$B$4, $B$7 - D2,$B$8, $B$5)</f>
        <v>0.53420437876534088</v>
      </c>
      <c r="U2" s="15">
        <f t="shared" ref="U2:U33" si="13">F2 - T2</f>
        <v>0</v>
      </c>
    </row>
    <row r="3" spans="1:21" x14ac:dyDescent="0.25">
      <c r="A3" s="1" t="s">
        <v>1</v>
      </c>
      <c r="B3" s="1">
        <v>67</v>
      </c>
      <c r="D3" s="15">
        <v>2.7777777777777779E-3</v>
      </c>
      <c r="E3" s="15">
        <v>60.427473002312382</v>
      </c>
      <c r="F3" s="15">
        <f t="shared" ref="F3:F34" si="14">E3 * Q2 - M2*BSCall(E3,$B$13,$B$14-D3,$B$8,$B$5) - N2*BSCall(E3,$B$18,$B$19-D3,$B$8,$B$5)+ S2 * EXP($B$8*(D3 - D2))</f>
        <v>0.49973119282767131</v>
      </c>
      <c r="G3" s="15">
        <f t="shared" si="0"/>
        <v>2.7579100479930865E-2</v>
      </c>
      <c r="H3" s="15">
        <f t="shared" si="1"/>
        <v>3.0779173092750883E-2</v>
      </c>
      <c r="I3" s="15">
        <f t="shared" si="2"/>
        <v>2.09896899761138E-2</v>
      </c>
      <c r="J3" s="15">
        <f t="shared" si="3"/>
        <v>6.774509378934864</v>
      </c>
      <c r="K3" s="15">
        <f t="shared" si="4"/>
        <v>11.176513315463888</v>
      </c>
      <c r="L3" s="15">
        <f t="shared" si="5"/>
        <v>11.453933699054106</v>
      </c>
      <c r="M3" s="15">
        <f t="shared" si="6"/>
        <v>-1.4725966779198942</v>
      </c>
      <c r="N3" s="15">
        <f t="shared" si="7"/>
        <v>0.84547259086583049</v>
      </c>
      <c r="O3" s="15">
        <f t="shared" si="8"/>
        <v>-1.1486091627426687</v>
      </c>
      <c r="P3" s="15">
        <f t="shared" si="9"/>
        <v>0.56965734117756006</v>
      </c>
      <c r="Q3" s="15">
        <f t="shared" si="10"/>
        <v>4.3328199179611601E-2</v>
      </c>
      <c r="R3" s="15">
        <f t="shared" si="11"/>
        <v>2.6182135861647935</v>
      </c>
      <c r="S3" s="15">
        <f t="shared" si="12"/>
        <v>-2.6974342149022306</v>
      </c>
      <c r="T3" s="15">
        <f>BSCall(E3,$B$3, $B$6 - D3,$B$8,$B$5) - BSPut(E3,$B$4, $B$7 - D3,$B$8, $B$5)</f>
        <v>0.50000682657146789</v>
      </c>
      <c r="U3" s="15">
        <f t="shared" si="13"/>
        <v>-2.7563374379657724E-4</v>
      </c>
    </row>
    <row r="4" spans="1:21" x14ac:dyDescent="0.25">
      <c r="A4" s="1" t="s">
        <v>2</v>
      </c>
      <c r="B4" s="1">
        <v>54</v>
      </c>
      <c r="D4" s="15">
        <v>5.5555555555555558E-3</v>
      </c>
      <c r="E4" s="15">
        <v>61.548417062841516</v>
      </c>
      <c r="F4" s="15">
        <f t="shared" si="14"/>
        <v>0.72639195881406016</v>
      </c>
      <c r="G4" s="15">
        <f t="shared" si="0"/>
        <v>4.2173519409452881E-2</v>
      </c>
      <c r="H4" s="15">
        <f t="shared" si="1"/>
        <v>3.3778610594350694E-2</v>
      </c>
      <c r="I4" s="15">
        <f t="shared" si="2"/>
        <v>2.3006640765100346E-2</v>
      </c>
      <c r="J4" s="15">
        <f t="shared" si="3"/>
        <v>8.6423345951552442</v>
      </c>
      <c r="K4" s="15">
        <f t="shared" si="4"/>
        <v>12.65386087012249</v>
      </c>
      <c r="L4" s="15">
        <f t="shared" si="5"/>
        <v>12.976252155064591</v>
      </c>
      <c r="M4" s="15">
        <f t="shared" si="6"/>
        <v>-2.367054242931228</v>
      </c>
      <c r="N4" s="15">
        <f t="shared" si="7"/>
        <v>1.6422338447401699</v>
      </c>
      <c r="O4" s="15">
        <f t="shared" si="8"/>
        <v>-2.3527601980012589</v>
      </c>
      <c r="P4" s="15">
        <f t="shared" si="9"/>
        <v>1.372373265350433</v>
      </c>
      <c r="Q4" s="15">
        <f t="shared" si="10"/>
        <v>-1.585441515190128E-2</v>
      </c>
      <c r="R4" s="15">
        <f t="shared" si="11"/>
        <v>-0.97581415605665378</v>
      </c>
      <c r="S4" s="15">
        <f t="shared" si="12"/>
        <v>0.72181918221988806</v>
      </c>
      <c r="T4" s="15">
        <f>BSCall(E4,$B$3, $B$6 - D4,$B$8,$B$5) - BSPut(E4,$B$4, $B$7 - D4,$B$8, $B$5)</f>
        <v>0.72684132709378857</v>
      </c>
      <c r="U4" s="15">
        <f t="shared" si="13"/>
        <v>-4.4936827972841265E-4</v>
      </c>
    </row>
    <row r="5" spans="1:21" x14ac:dyDescent="0.25">
      <c r="A5" s="1" t="s">
        <v>3</v>
      </c>
      <c r="B5" s="1">
        <v>0.2</v>
      </c>
      <c r="D5" s="15">
        <v>8.3333333333333332E-3</v>
      </c>
      <c r="E5" s="15">
        <v>60.771126449563269</v>
      </c>
      <c r="F5" s="15">
        <f t="shared" si="14"/>
        <v>0.55212569654844545</v>
      </c>
      <c r="G5" s="15">
        <f t="shared" si="0"/>
        <v>3.3857725816381593E-2</v>
      </c>
      <c r="H5" s="15">
        <f t="shared" si="1"/>
        <v>3.1728454714039733E-2</v>
      </c>
      <c r="I5" s="15">
        <f t="shared" si="2"/>
        <v>2.1584708032626989E-2</v>
      </c>
      <c r="J5" s="15">
        <f t="shared" si="3"/>
        <v>7.3382525674323054</v>
      </c>
      <c r="K5" s="15">
        <f t="shared" si="4"/>
        <v>11.522434689589709</v>
      </c>
      <c r="L5" s="15">
        <f t="shared" si="5"/>
        <v>11.824410753359874</v>
      </c>
      <c r="M5" s="15">
        <f t="shared" si="6"/>
        <v>-1.9132531807857043</v>
      </c>
      <c r="N5" s="15">
        <f t="shared" si="7"/>
        <v>1.2437898648473253</v>
      </c>
      <c r="O5" s="15">
        <f t="shared" si="8"/>
        <v>-1.5873776206051569</v>
      </c>
      <c r="P5" s="15">
        <f t="shared" si="9"/>
        <v>0.88622158583728172</v>
      </c>
      <c r="Q5" s="15">
        <f t="shared" si="10"/>
        <v>1.3287960177989666E-2</v>
      </c>
      <c r="R5" s="15">
        <f t="shared" si="11"/>
        <v>0.80752430823337129</v>
      </c>
      <c r="S5" s="15">
        <f t="shared" si="12"/>
        <v>-0.95655464645280097</v>
      </c>
      <c r="T5" s="15">
        <f>BSCall(E5,$B$3, $B$6 - D5,$B$8,$B$5) - BSPut(E5,$B$4, $B$7 - D5,$B$8, $B$5)</f>
        <v>0.55323260576457323</v>
      </c>
      <c r="U5" s="15">
        <f t="shared" si="13"/>
        <v>-1.1069092161277716E-3</v>
      </c>
    </row>
    <row r="6" spans="1:21" x14ac:dyDescent="0.25">
      <c r="A6" s="1" t="s">
        <v>4</v>
      </c>
      <c r="B6" s="38">
        <v>0.25</v>
      </c>
      <c r="D6" s="15">
        <v>1.1111111111111112E-2</v>
      </c>
      <c r="E6" s="15">
        <v>61.68898687958329</v>
      </c>
      <c r="F6" s="15">
        <f t="shared" si="14"/>
        <v>0.73899909729296753</v>
      </c>
      <c r="G6" s="15">
        <f t="shared" si="0"/>
        <v>4.4716398130424551E-2</v>
      </c>
      <c r="H6" s="15">
        <f t="shared" si="1"/>
        <v>3.417020492975275E-2</v>
      </c>
      <c r="I6" s="15">
        <f t="shared" si="2"/>
        <v>2.3231754199258544E-2</v>
      </c>
      <c r="J6" s="15">
        <f t="shared" si="3"/>
        <v>8.7598987244480853</v>
      </c>
      <c r="K6" s="15">
        <f t="shared" si="4"/>
        <v>12.714609368239918</v>
      </c>
      <c r="L6" s="15">
        <f t="shared" si="5"/>
        <v>13.064909667661524</v>
      </c>
      <c r="M6" s="15">
        <f t="shared" si="6"/>
        <v>-2.5204437409249971</v>
      </c>
      <c r="N6" s="15">
        <f t="shared" si="7"/>
        <v>1.7823742734079373</v>
      </c>
      <c r="O6" s="15">
        <f t="shared" si="8"/>
        <v>-2.5431300761918445</v>
      </c>
      <c r="P6" s="15">
        <f t="shared" si="9"/>
        <v>1.5112598895695328</v>
      </c>
      <c r="Q6" s="15">
        <f t="shared" si="10"/>
        <v>-2.9147675469166134E-2</v>
      </c>
      <c r="R6" s="15">
        <f t="shared" si="11"/>
        <v>-1.7980905695877414</v>
      </c>
      <c r="S6" s="15">
        <f t="shared" si="12"/>
        <v>1.5052194802583969</v>
      </c>
      <c r="T6" s="15">
        <f>BSCall(E6,$B$3, $B$6 - D6,$B$8,$B$5) - BSPut(E6,$B$4, $B$7 - D6,$B$8, $B$5)</f>
        <v>0.73960203173829087</v>
      </c>
      <c r="U6" s="15">
        <f t="shared" si="13"/>
        <v>-6.0293444532333318E-4</v>
      </c>
    </row>
    <row r="7" spans="1:21" x14ac:dyDescent="0.25">
      <c r="A7" s="1" t="s">
        <v>5</v>
      </c>
      <c r="B7" s="1">
        <v>8.3333333333333329E-2</v>
      </c>
      <c r="D7" s="15">
        <v>1.388888888888889E-2</v>
      </c>
      <c r="E7" s="15">
        <v>61.890728193694983</v>
      </c>
      <c r="F7" s="15">
        <f t="shared" si="14"/>
        <v>0.77610162371489944</v>
      </c>
      <c r="G7" s="15">
        <f t="shared" si="0"/>
        <v>4.7061867685102433E-2</v>
      </c>
      <c r="H7" s="15">
        <f t="shared" si="1"/>
        <v>3.4697200930236059E-2</v>
      </c>
      <c r="I7" s="15">
        <f t="shared" si="2"/>
        <v>2.3577478342804506E-2</v>
      </c>
      <c r="J7" s="15">
        <f t="shared" si="3"/>
        <v>8.997591143069009</v>
      </c>
      <c r="K7" s="15">
        <f t="shared" si="4"/>
        <v>12.921447570711232</v>
      </c>
      <c r="L7" s="15">
        <f t="shared" si="5"/>
        <v>13.296027617444004</v>
      </c>
      <c r="M7" s="15">
        <f t="shared" si="6"/>
        <v>-2.639749376979073</v>
      </c>
      <c r="N7" s="15">
        <f t="shared" si="7"/>
        <v>1.8886687628745429</v>
      </c>
      <c r="O7" s="15">
        <f t="shared" si="8"/>
        <v>-2.7606145741412935</v>
      </c>
      <c r="P7" s="15">
        <f t="shared" si="9"/>
        <v>1.6541563370827905</v>
      </c>
      <c r="Q7" s="15">
        <f t="shared" si="10"/>
        <v>-3.9193120456176067E-2</v>
      </c>
      <c r="R7" s="15">
        <f t="shared" si="11"/>
        <v>-2.4256907652159398</v>
      </c>
      <c r="S7" s="15">
        <f t="shared" si="12"/>
        <v>2.0953341518723358</v>
      </c>
      <c r="T7" s="15">
        <f>BSCall(E7,$B$3, $B$6 - D7,$B$8,$B$5) - BSPut(E7,$B$4, $B$7 - D7,$B$8, $B$5)</f>
        <v>0.77641548298409679</v>
      </c>
      <c r="U7" s="15">
        <f t="shared" si="13"/>
        <v>-3.1385926919735851E-4</v>
      </c>
    </row>
    <row r="8" spans="1:21" x14ac:dyDescent="0.25">
      <c r="A8" s="1" t="s">
        <v>6</v>
      </c>
      <c r="B8" s="1">
        <v>1.6E-2</v>
      </c>
      <c r="D8" s="15">
        <v>1.6666666666666666E-2</v>
      </c>
      <c r="E8" s="15">
        <v>61.638092122703178</v>
      </c>
      <c r="F8" s="15">
        <f t="shared" si="14"/>
        <v>0.70730059068405882</v>
      </c>
      <c r="G8" s="15">
        <f t="shared" si="0"/>
        <v>4.5384406990119967E-2</v>
      </c>
      <c r="H8" s="15">
        <f t="shared" si="1"/>
        <v>3.4076860889971347E-2</v>
      </c>
      <c r="I8" s="15">
        <f t="shared" si="2"/>
        <v>2.3116582233222546E-2</v>
      </c>
      <c r="J8" s="15">
        <f t="shared" si="3"/>
        <v>8.5753555873986791</v>
      </c>
      <c r="K8" s="15">
        <f t="shared" si="4"/>
        <v>12.515110823595258</v>
      </c>
      <c r="L8" s="15">
        <f t="shared" si="5"/>
        <v>12.881113926957671</v>
      </c>
      <c r="M8" s="15">
        <f t="shared" si="6"/>
        <v>-2.5819657001875487</v>
      </c>
      <c r="N8" s="15">
        <f t="shared" si="7"/>
        <v>1.8428709991835961</v>
      </c>
      <c r="O8" s="15">
        <f t="shared" si="8"/>
        <v>-2.5366868318732134</v>
      </c>
      <c r="P8" s="15">
        <f t="shared" si="9"/>
        <v>1.5278262129513567</v>
      </c>
      <c r="Q8" s="15">
        <f t="shared" si="10"/>
        <v>-3.5182567462961445E-2</v>
      </c>
      <c r="R8" s="15">
        <f t="shared" si="11"/>
        <v>-2.1685863343952372</v>
      </c>
      <c r="S8" s="15">
        <f t="shared" si="12"/>
        <v>1.8670263061574399</v>
      </c>
      <c r="T8" s="15">
        <f>BSCall(E8,$B$3, $B$6 - D8,$B$8,$B$5) - BSPut(E8,$B$4, $B$7 - D8,$B$8, $B$5)</f>
        <v>0.70784556376695895</v>
      </c>
      <c r="U8" s="15">
        <f t="shared" si="13"/>
        <v>-5.4497308290013535E-4</v>
      </c>
    </row>
    <row r="9" spans="1:21" x14ac:dyDescent="0.25">
      <c r="A9" s="16" t="s">
        <v>30</v>
      </c>
      <c r="B9" s="6">
        <f>360*B6</f>
        <v>90</v>
      </c>
      <c r="D9" s="15">
        <v>1.9444444444444445E-2</v>
      </c>
      <c r="E9" s="15">
        <v>60.96533209371723</v>
      </c>
      <c r="F9" s="15">
        <f t="shared" si="14"/>
        <v>0.55779748544664032</v>
      </c>
      <c r="G9" s="15">
        <f t="shared" si="0"/>
        <v>3.908470267964502E-2</v>
      </c>
      <c r="H9" s="15">
        <f t="shared" si="1"/>
        <v>3.2272426518726999E-2</v>
      </c>
      <c r="I9" s="15">
        <f t="shared" si="2"/>
        <v>2.1869674086555248E-2</v>
      </c>
      <c r="J9" s="15">
        <f t="shared" si="3"/>
        <v>7.5049801644973417</v>
      </c>
      <c r="K9" s="15">
        <f t="shared" si="4"/>
        <v>11.528454938372697</v>
      </c>
      <c r="L9" s="15">
        <f t="shared" si="5"/>
        <v>11.876581192945876</v>
      </c>
      <c r="M9" s="15">
        <f t="shared" si="6"/>
        <v>-2.2877047886452448</v>
      </c>
      <c r="N9" s="15">
        <f t="shared" si="7"/>
        <v>1.5887334155477268</v>
      </c>
      <c r="O9" s="15">
        <f t="shared" si="8"/>
        <v>-1.9179382665455362</v>
      </c>
      <c r="P9" s="15">
        <f t="shared" si="9"/>
        <v>1.1457544496465197</v>
      </c>
      <c r="Q9" s="15">
        <f t="shared" si="10"/>
        <v>-1.5763867017291627E-2</v>
      </c>
      <c r="R9" s="15">
        <f t="shared" si="11"/>
        <v>-0.96104938779037974</v>
      </c>
      <c r="S9" s="15">
        <f t="shared" si="12"/>
        <v>0.74666305633800345</v>
      </c>
      <c r="T9" s="15">
        <f>BSCall(E9,$B$3, $B$6 - D9,$B$8,$B$5) - BSPut(E9,$B$4, $B$7 - D9,$B$8, $B$5)</f>
        <v>0.5589022937454956</v>
      </c>
      <c r="U9" s="15">
        <f t="shared" si="13"/>
        <v>-1.1048082988552865E-3</v>
      </c>
    </row>
    <row r="10" spans="1:21" x14ac:dyDescent="0.25">
      <c r="D10" s="15">
        <v>2.2222222222222223E-2</v>
      </c>
      <c r="E10" s="15">
        <v>60.935776356976</v>
      </c>
      <c r="F10" s="15">
        <f t="shared" si="14"/>
        <v>0.54359595285373985</v>
      </c>
      <c r="G10" s="15">
        <f t="shared" si="0"/>
        <v>3.9429828772872773E-2</v>
      </c>
      <c r="H10" s="15">
        <f t="shared" si="1"/>
        <v>3.2190701650087972E-2</v>
      </c>
      <c r="I10" s="15">
        <f t="shared" si="2"/>
        <v>2.1795720151233749E-2</v>
      </c>
      <c r="J10" s="15">
        <f t="shared" si="3"/>
        <v>7.4107764140669774</v>
      </c>
      <c r="K10" s="15">
        <f t="shared" si="4"/>
        <v>11.421708763162268</v>
      </c>
      <c r="L10" s="15">
        <f t="shared" si="5"/>
        <v>11.779984164422167</v>
      </c>
      <c r="M10" s="15">
        <f t="shared" si="6"/>
        <v>-2.3257781113792473</v>
      </c>
      <c r="N10" s="15">
        <f t="shared" si="7"/>
        <v>1.6259430874017551</v>
      </c>
      <c r="O10" s="15">
        <f t="shared" si="8"/>
        <v>-1.9201618951209536</v>
      </c>
      <c r="P10" s="15">
        <f t="shared" si="9"/>
        <v>1.1577402424678118</v>
      </c>
      <c r="Q10" s="15">
        <f t="shared" si="10"/>
        <v>-1.9294285275448408E-2</v>
      </c>
      <c r="R10" s="15">
        <f t="shared" si="11"/>
        <v>-1.1757122525124193</v>
      </c>
      <c r="S10" s="15">
        <f t="shared" si="12"/>
        <v>0.95688655271301748</v>
      </c>
      <c r="T10" s="15">
        <f>BSCall(E10,$B$3, $B$6 - D10,$B$8,$B$5) - BSPut(E10,$B$4, $B$7 - D10,$B$8, $B$5)</f>
        <v>0.54468484248406779</v>
      </c>
      <c r="U10" s="15">
        <f t="shared" si="13"/>
        <v>-1.0888896303279383E-3</v>
      </c>
    </row>
    <row r="11" spans="1:21" ht="15.75" x14ac:dyDescent="0.25">
      <c r="A11" s="66" t="s">
        <v>70</v>
      </c>
      <c r="B11" s="66"/>
      <c r="D11" s="15">
        <v>2.5000000000000001E-2</v>
      </c>
      <c r="E11" s="15">
        <v>60.441207050677384</v>
      </c>
      <c r="F11" s="15">
        <f t="shared" si="14"/>
        <v>0.44712362850765996</v>
      </c>
      <c r="G11" s="15">
        <f t="shared" si="0"/>
        <v>3.4059195607119341E-2</v>
      </c>
      <c r="H11" s="15">
        <f t="shared" si="1"/>
        <v>3.0751920521772436E-2</v>
      </c>
      <c r="I11" s="15">
        <f t="shared" si="2"/>
        <v>2.0838751192217259E-2</v>
      </c>
      <c r="J11" s="15">
        <f t="shared" si="3"/>
        <v>6.5874230640993963</v>
      </c>
      <c r="K11" s="15">
        <f t="shared" si="4"/>
        <v>10.6724003065631</v>
      </c>
      <c r="L11" s="15">
        <f t="shared" si="5"/>
        <v>11.038395470528529</v>
      </c>
      <c r="M11" s="15">
        <f t="shared" si="6"/>
        <v>-2.0391317945192702</v>
      </c>
      <c r="N11" s="15">
        <f t="shared" si="7"/>
        <v>1.374747603976181</v>
      </c>
      <c r="O11" s="15">
        <f t="shared" si="8"/>
        <v>-1.4864106352881441</v>
      </c>
      <c r="P11" s="15">
        <f t="shared" si="9"/>
        <v>0.87847839775522862</v>
      </c>
      <c r="Q11" s="15">
        <f t="shared" si="10"/>
        <v>-3.834804209454562E-3</v>
      </c>
      <c r="R11" s="15">
        <f t="shared" si="11"/>
        <v>-0.23178019522245238</v>
      </c>
      <c r="S11" s="15">
        <f t="shared" si="12"/>
        <v>7.0971586197196901E-2</v>
      </c>
      <c r="T11" s="15">
        <f>BSCall(E11,$B$3, $B$6 - D11,$B$8,$B$5) - BSPut(E11,$B$4, $B$7 - D11,$B$8, $B$5)</f>
        <v>0.44885219289843614</v>
      </c>
      <c r="U11" s="15">
        <f t="shared" si="13"/>
        <v>-1.7285643907761772E-3</v>
      </c>
    </row>
    <row r="12" spans="1:21" x14ac:dyDescent="0.25">
      <c r="A12" s="2" t="s">
        <v>0</v>
      </c>
      <c r="B12" s="2">
        <v>60.57</v>
      </c>
      <c r="D12" s="15">
        <v>2.777777777777778E-2</v>
      </c>
      <c r="E12" s="15">
        <v>62.034522929289793</v>
      </c>
      <c r="F12" s="15">
        <f t="shared" si="14"/>
        <v>0.75013147894135312</v>
      </c>
      <c r="G12" s="15">
        <f t="shared" si="0"/>
        <v>5.0598604240208275E-2</v>
      </c>
      <c r="H12" s="15">
        <f t="shared" si="1"/>
        <v>3.5180347270873713E-2</v>
      </c>
      <c r="I12" s="15">
        <f t="shared" si="2"/>
        <v>2.3781749650604367E-2</v>
      </c>
      <c r="J12" s="15">
        <f t="shared" si="3"/>
        <v>8.8575415366273216</v>
      </c>
      <c r="K12" s="15">
        <f t="shared" si="4"/>
        <v>12.786257070151233</v>
      </c>
      <c r="L12" s="15">
        <f t="shared" si="5"/>
        <v>13.219393769519046</v>
      </c>
      <c r="M12" s="15">
        <f t="shared" si="6"/>
        <v>-2.8464756368757773</v>
      </c>
      <c r="N12" s="15">
        <f t="shared" si="7"/>
        <v>2.0831687277434612</v>
      </c>
      <c r="O12" s="15">
        <f t="shared" si="8"/>
        <v>-2.9545737463560919</v>
      </c>
      <c r="P12" s="15">
        <f t="shared" si="9"/>
        <v>1.8176493332942851</v>
      </c>
      <c r="Q12" s="15">
        <f t="shared" si="10"/>
        <v>-5.7888262058641171E-2</v>
      </c>
      <c r="R12" s="15">
        <f t="shared" si="11"/>
        <v>-3.5910707200135121</v>
      </c>
      <c r="S12" s="15">
        <f t="shared" si="12"/>
        <v>3.204277785893058</v>
      </c>
      <c r="T12" s="15">
        <f>BSCall(E12,$B$3, $B$6 - D12,$B$8,$B$5) - BSPut(E12,$B$4, $B$7 - D12,$B$8, $B$5)</f>
        <v>0.75503207721093701</v>
      </c>
      <c r="U12" s="15">
        <f t="shared" si="13"/>
        <v>-4.900598269583889E-3</v>
      </c>
    </row>
    <row r="13" spans="1:21" x14ac:dyDescent="0.25">
      <c r="A13" s="1" t="s">
        <v>1</v>
      </c>
      <c r="B13" s="1">
        <v>70</v>
      </c>
      <c r="D13" s="15">
        <v>3.0555555555555558E-2</v>
      </c>
      <c r="E13" s="15">
        <v>61.302029589161457</v>
      </c>
      <c r="F13" s="15">
        <f t="shared" si="14"/>
        <v>0.58189729282857883</v>
      </c>
      <c r="G13" s="15">
        <f t="shared" si="0"/>
        <v>4.5012788929706199E-2</v>
      </c>
      <c r="H13" s="15">
        <f t="shared" si="1"/>
        <v>3.3234621484279768E-2</v>
      </c>
      <c r="I13" s="15">
        <f t="shared" si="2"/>
        <v>2.2426893332986211E-2</v>
      </c>
      <c r="J13" s="15">
        <f t="shared" si="3"/>
        <v>7.7743984973777458</v>
      </c>
      <c r="K13" s="15">
        <f t="shared" si="4"/>
        <v>11.726128340665014</v>
      </c>
      <c r="L13" s="15">
        <f t="shared" si="5"/>
        <v>12.126796318262443</v>
      </c>
      <c r="M13" s="15">
        <f t="shared" si="6"/>
        <v>-2.6526836989862224</v>
      </c>
      <c r="N13" s="15">
        <f t="shared" si="7"/>
        <v>1.9239468027502642</v>
      </c>
      <c r="O13" s="15">
        <f t="shared" si="8"/>
        <v>-2.3209963461685792</v>
      </c>
      <c r="P13" s="15">
        <f t="shared" si="9"/>
        <v>1.4448397995179776</v>
      </c>
      <c r="Q13" s="15">
        <f t="shared" si="10"/>
        <v>-4.3128595586026497E-2</v>
      </c>
      <c r="R13" s="15">
        <f t="shared" si="11"/>
        <v>-2.6438704427535744</v>
      </c>
      <c r="S13" s="15">
        <f t="shared" si="12"/>
        <v>2.3496111889315516</v>
      </c>
      <c r="T13" s="15">
        <f>BSCall(E13,$B$3, $B$6 - D13,$B$8,$B$5) - BSPut(E13,$B$4, $B$7 - D13,$B$8, $B$5)</f>
        <v>0.58717210195256841</v>
      </c>
      <c r="U13" s="15">
        <f t="shared" si="13"/>
        <v>-5.2748091239895878E-3</v>
      </c>
    </row>
    <row r="14" spans="1:21" x14ac:dyDescent="0.25">
      <c r="A14" s="1" t="s">
        <v>31</v>
      </c>
      <c r="B14" s="1">
        <v>0.5</v>
      </c>
      <c r="D14" s="15">
        <v>3.3333333333333333E-2</v>
      </c>
      <c r="E14" s="15">
        <v>60.078674297298626</v>
      </c>
      <c r="F14" s="15">
        <f t="shared" si="14"/>
        <v>0.36591015370584246</v>
      </c>
      <c r="G14" s="15">
        <f t="shared" si="0"/>
        <v>3.1650334090661196E-2</v>
      </c>
      <c r="H14" s="15">
        <f t="shared" si="1"/>
        <v>2.9605125646425416E-2</v>
      </c>
      <c r="I14" s="15">
        <f t="shared" si="2"/>
        <v>2.0063427001702421E-2</v>
      </c>
      <c r="J14" s="15">
        <f t="shared" si="3"/>
        <v>5.8934356522819167</v>
      </c>
      <c r="K14" s="15">
        <f t="shared" si="4"/>
        <v>9.9734259396008031</v>
      </c>
      <c r="L14" s="15">
        <f t="shared" si="5"/>
        <v>10.379895920356025</v>
      </c>
      <c r="M14" s="15">
        <f t="shared" si="6"/>
        <v>-1.9616651512003698</v>
      </c>
      <c r="N14" s="15">
        <f t="shared" si="7"/>
        <v>1.3170735580017137</v>
      </c>
      <c r="O14" s="15">
        <f t="shared" si="8"/>
        <v>-1.2732680482850478</v>
      </c>
      <c r="P14" s="15">
        <f t="shared" si="9"/>
        <v>0.76294321941771404</v>
      </c>
      <c r="Q14" s="15">
        <f t="shared" si="10"/>
        <v>-4.5910013132025029E-3</v>
      </c>
      <c r="R14" s="15">
        <f t="shared" si="11"/>
        <v>-0.27582127259436345</v>
      </c>
      <c r="S14" s="15">
        <f t="shared" si="12"/>
        <v>0.1314065974328722</v>
      </c>
      <c r="T14" s="15">
        <f>BSCall(E14,$B$3, $B$6 - D14,$B$8,$B$5) - BSPut(E14,$B$4, $B$7 - D14,$B$8, $B$5)</f>
        <v>0.37098682018775325</v>
      </c>
      <c r="U14" s="15">
        <f t="shared" si="13"/>
        <v>-5.0766664819107965E-3</v>
      </c>
    </row>
    <row r="15" spans="1:21" x14ac:dyDescent="0.25">
      <c r="D15" s="15">
        <v>3.6111111111111115E-2</v>
      </c>
      <c r="E15" s="15">
        <v>59.829428603803521</v>
      </c>
      <c r="F15" s="15">
        <f t="shared" si="14"/>
        <v>0.32401059428344814</v>
      </c>
      <c r="G15" s="15">
        <f t="shared" si="0"/>
        <v>2.8961606982566949E-2</v>
      </c>
      <c r="H15" s="15">
        <f t="shared" si="1"/>
        <v>2.8801306756451296E-2</v>
      </c>
      <c r="I15" s="15">
        <f t="shared" si="2"/>
        <v>1.95474739125861E-2</v>
      </c>
      <c r="J15" s="15">
        <f t="shared" si="3"/>
        <v>5.4677087199869501</v>
      </c>
      <c r="K15" s="15">
        <f t="shared" si="4"/>
        <v>9.5650197069127074</v>
      </c>
      <c r="L15" s="15">
        <f t="shared" si="5"/>
        <v>9.9903561485798527</v>
      </c>
      <c r="M15" s="15">
        <f t="shared" si="6"/>
        <v>-1.8107466159111638</v>
      </c>
      <c r="N15" s="15">
        <f t="shared" si="7"/>
        <v>1.1863559385831937</v>
      </c>
      <c r="O15" s="15">
        <f t="shared" si="8"/>
        <v>-1.0938287968607934</v>
      </c>
      <c r="P15" s="15">
        <f t="shared" si="9"/>
        <v>0.64648728739268624</v>
      </c>
      <c r="Q15" s="15">
        <f t="shared" si="10"/>
        <v>8.5535635229821994E-4</v>
      </c>
      <c r="R15" s="15">
        <f t="shared" si="11"/>
        <v>5.1175481810636164E-2</v>
      </c>
      <c r="S15" s="15">
        <f t="shared" si="12"/>
        <v>-0.17450639699529513</v>
      </c>
      <c r="T15" s="15">
        <f>BSCall(E15,$B$3, $B$6 - D15,$B$8,$B$5) - BSPut(E15,$B$4, $B$7 - D15,$B$8, $B$5)</f>
        <v>0.32952264049185759</v>
      </c>
      <c r="U15" s="15">
        <f t="shared" si="13"/>
        <v>-5.512046208409449E-3</v>
      </c>
    </row>
    <row r="16" spans="1:21" ht="15.75" x14ac:dyDescent="0.25">
      <c r="A16" s="73" t="s">
        <v>120</v>
      </c>
      <c r="B16" s="74"/>
      <c r="D16" s="15">
        <v>3.888888888888889E-2</v>
      </c>
      <c r="E16" s="15">
        <v>59.907623439712367</v>
      </c>
      <c r="F16" s="15">
        <f t="shared" si="14"/>
        <v>0.32850126619633757</v>
      </c>
      <c r="G16" s="15">
        <f t="shared" si="0"/>
        <v>3.112453023447102E-2</v>
      </c>
      <c r="H16" s="15">
        <f t="shared" si="1"/>
        <v>2.9022092928076483E-2</v>
      </c>
      <c r="I16" s="15">
        <f t="shared" si="2"/>
        <v>1.9672321189961157E-2</v>
      </c>
      <c r="J16" s="15">
        <f t="shared" si="3"/>
        <v>5.5460174917294625</v>
      </c>
      <c r="K16" s="15">
        <f t="shared" si="4"/>
        <v>9.6056883886607753</v>
      </c>
      <c r="L16" s="15">
        <f t="shared" si="5"/>
        <v>10.041237730486884</v>
      </c>
      <c r="M16" s="15">
        <f t="shared" si="6"/>
        <v>-1.9855802599690255</v>
      </c>
      <c r="N16" s="15">
        <f t="shared" si="7"/>
        <v>1.3471295192164676</v>
      </c>
      <c r="O16" s="15">
        <f t="shared" si="8"/>
        <v>-1.2108906956244665</v>
      </c>
      <c r="P16" s="15">
        <f t="shared" si="9"/>
        <v>0.74092229944701415</v>
      </c>
      <c r="Q16" s="15">
        <f t="shared" si="10"/>
        <v>-8.9437759193592703E-3</v>
      </c>
      <c r="R16" s="15">
        <f t="shared" si="11"/>
        <v>-0.5358003599061425</v>
      </c>
      <c r="S16" s="15">
        <f t="shared" si="12"/>
        <v>0.39433322992502773</v>
      </c>
      <c r="T16" s="15">
        <f>BSCall(E16,$B$3, $B$6 - D16,$B$8,$B$5) - BSPut(E16,$B$4, $B$7 - D16,$B$8, $B$5)</f>
        <v>0.3337358941749316</v>
      </c>
      <c r="U16" s="15">
        <f t="shared" si="13"/>
        <v>-5.2346279785940308E-3</v>
      </c>
    </row>
    <row r="17" spans="1:21" x14ac:dyDescent="0.25">
      <c r="A17" s="1" t="s">
        <v>0</v>
      </c>
      <c r="B17" s="1">
        <v>60.57</v>
      </c>
      <c r="D17" s="15">
        <v>4.1666666666666671E-2</v>
      </c>
      <c r="E17" s="15">
        <v>60.810292465969312</v>
      </c>
      <c r="F17" s="15">
        <f t="shared" si="14"/>
        <v>0.45548636196378334</v>
      </c>
      <c r="G17" s="15">
        <f t="shared" si="0"/>
        <v>4.2378566485745894E-2</v>
      </c>
      <c r="H17" s="15">
        <f t="shared" si="1"/>
        <v>3.1805220522116498E-2</v>
      </c>
      <c r="I17" s="15">
        <f t="shared" si="2"/>
        <v>2.1412365532868918E-2</v>
      </c>
      <c r="J17" s="15">
        <f t="shared" si="3"/>
        <v>6.787913152175955</v>
      </c>
      <c r="K17" s="15">
        <f t="shared" si="4"/>
        <v>10.781123835605053</v>
      </c>
      <c r="L17" s="15">
        <f t="shared" si="5"/>
        <v>11.217252819073785</v>
      </c>
      <c r="M17" s="15">
        <f t="shared" si="6"/>
        <v>-2.6209616484763725</v>
      </c>
      <c r="N17" s="15">
        <f t="shared" si="7"/>
        <v>1.9139266355763647</v>
      </c>
      <c r="O17" s="15">
        <f t="shared" si="8"/>
        <v>-1.9737484165369725</v>
      </c>
      <c r="P17" s="15">
        <f t="shared" si="9"/>
        <v>1.2648278283281866</v>
      </c>
      <c r="Q17" s="15">
        <f t="shared" si="10"/>
        <v>-4.3086324247739616E-2</v>
      </c>
      <c r="R17" s="15">
        <f t="shared" si="11"/>
        <v>-2.6200919787886314</v>
      </c>
      <c r="S17" s="15">
        <f t="shared" si="12"/>
        <v>2.3666577525436292</v>
      </c>
      <c r="T17" s="15">
        <f>BSCall(E17,$B$3, $B$6 - D17,$B$8,$B$5) - BSPut(E17,$B$4, $B$7 - D17,$B$8, $B$5)</f>
        <v>0.46025538329107424</v>
      </c>
      <c r="U17" s="15">
        <f t="shared" si="13"/>
        <v>-4.769021327290901E-3</v>
      </c>
    </row>
    <row r="18" spans="1:21" x14ac:dyDescent="0.25">
      <c r="A18" s="1" t="s">
        <v>1</v>
      </c>
      <c r="B18" s="1">
        <v>75</v>
      </c>
      <c r="D18" s="15">
        <v>4.4444444444444446E-2</v>
      </c>
      <c r="E18" s="15">
        <v>60.874541520599848</v>
      </c>
      <c r="F18" s="15">
        <f t="shared" si="14"/>
        <v>0.45697449275453672</v>
      </c>
      <c r="G18" s="15">
        <f t="shared" si="0"/>
        <v>4.3423558750908794E-2</v>
      </c>
      <c r="H18" s="15">
        <f t="shared" si="1"/>
        <v>3.1993730408141775E-2</v>
      </c>
      <c r="I18" s="15">
        <f t="shared" si="2"/>
        <v>2.1514852291538062E-2</v>
      </c>
      <c r="J18" s="15">
        <f t="shared" si="3"/>
        <v>6.7976478924003594</v>
      </c>
      <c r="K18" s="15">
        <f t="shared" si="4"/>
        <v>10.802085999558486</v>
      </c>
      <c r="L18" s="15">
        <f t="shared" si="5"/>
        <v>11.250478317058359</v>
      </c>
      <c r="M18" s="15">
        <f t="shared" si="6"/>
        <v>-2.6837603621542669</v>
      </c>
      <c r="N18" s="15">
        <f t="shared" si="7"/>
        <v>1.9725883394794987</v>
      </c>
      <c r="O18" s="15">
        <f t="shared" si="8"/>
        <v>-2.0332530381940521</v>
      </c>
      <c r="P18" s="15">
        <f t="shared" si="9"/>
        <v>1.311609316017833</v>
      </c>
      <c r="Q18" s="15">
        <f t="shared" si="10"/>
        <v>-4.7388651709422691E-2</v>
      </c>
      <c r="R18" s="15">
        <f t="shared" si="11"/>
        <v>-2.8847624460904964</v>
      </c>
      <c r="S18" s="15">
        <f t="shared" si="12"/>
        <v>2.6200932166688138</v>
      </c>
      <c r="T18" s="15">
        <f>BSCall(E18,$B$3, $B$6 - D18,$B$8,$B$5) - BSPut(E18,$B$4, $B$7 - D18,$B$8, $B$5)</f>
        <v>0.46163205726934725</v>
      </c>
      <c r="U18" s="15">
        <f t="shared" si="13"/>
        <v>-4.6575645148105305E-3</v>
      </c>
    </row>
    <row r="19" spans="1:21" x14ac:dyDescent="0.25">
      <c r="A19" s="1" t="s">
        <v>31</v>
      </c>
      <c r="B19" s="1">
        <v>0.75</v>
      </c>
      <c r="D19" s="15">
        <v>4.7222222222222221E-2</v>
      </c>
      <c r="E19" s="15">
        <v>60.725324005416034</v>
      </c>
      <c r="F19" s="15">
        <f t="shared" si="14"/>
        <v>0.42356308748004867</v>
      </c>
      <c r="G19" s="15">
        <f t="shared" si="0"/>
        <v>4.2447880505155897E-2</v>
      </c>
      <c r="H19" s="15">
        <f t="shared" si="1"/>
        <v>3.1529619213137711E-2</v>
      </c>
      <c r="I19" s="15">
        <f t="shared" si="2"/>
        <v>2.1201021869486626E-2</v>
      </c>
      <c r="J19" s="15">
        <f t="shared" si="3"/>
        <v>6.5103130226568204</v>
      </c>
      <c r="K19" s="15">
        <f t="shared" si="4"/>
        <v>10.528669821678413</v>
      </c>
      <c r="L19" s="15">
        <f t="shared" si="5"/>
        <v>10.988653811161614</v>
      </c>
      <c r="M19" s="15">
        <f t="shared" si="6"/>
        <v>-2.6646740580206649</v>
      </c>
      <c r="N19" s="15">
        <f t="shared" si="7"/>
        <v>1.9606733169399184</v>
      </c>
      <c r="O19" s="15">
        <f t="shared" si="8"/>
        <v>-1.9295570588846622</v>
      </c>
      <c r="P19" s="15">
        <f t="shared" si="9"/>
        <v>1.2547084097714141</v>
      </c>
      <c r="Q19" s="15">
        <f t="shared" si="10"/>
        <v>-4.6600486035347111E-2</v>
      </c>
      <c r="R19" s="15">
        <f t="shared" si="11"/>
        <v>-2.8298296133063188</v>
      </c>
      <c r="S19" s="15">
        <f t="shared" si="12"/>
        <v>2.5785440516731191</v>
      </c>
      <c r="T19" s="15">
        <f>BSCall(E19,$B$3, $B$6 - D19,$B$8,$B$5) - BSPut(E19,$B$4, $B$7 - D19,$B$8, $B$5)</f>
        <v>0.42833004704373434</v>
      </c>
      <c r="U19" s="15">
        <f t="shared" si="13"/>
        <v>-4.7669595636856688E-3</v>
      </c>
    </row>
    <row r="20" spans="1:21" x14ac:dyDescent="0.25">
      <c r="D20" s="15">
        <v>0.05</v>
      </c>
      <c r="E20" s="15">
        <v>61.383928817723081</v>
      </c>
      <c r="F20" s="15">
        <f t="shared" si="14"/>
        <v>0.52639400230967004</v>
      </c>
      <c r="G20" s="15">
        <f t="shared" si="0"/>
        <v>4.8204342459719565E-2</v>
      </c>
      <c r="H20" s="15">
        <f t="shared" si="1"/>
        <v>3.3517187872860135E-2</v>
      </c>
      <c r="I20" s="15">
        <f t="shared" si="2"/>
        <v>2.2459043472561231E-2</v>
      </c>
      <c r="J20" s="15">
        <f t="shared" si="3"/>
        <v>7.3073955893202625</v>
      </c>
      <c r="K20" s="15">
        <f t="shared" si="4"/>
        <v>11.366308682951269</v>
      </c>
      <c r="L20" s="15">
        <f t="shared" si="5"/>
        <v>11.847552847671286</v>
      </c>
      <c r="M20" s="15">
        <f t="shared" si="6"/>
        <v>-2.8697342309575431</v>
      </c>
      <c r="N20" s="15">
        <f t="shared" si="7"/>
        <v>2.1363812293734541</v>
      </c>
      <c r="O20" s="15">
        <f t="shared" si="8"/>
        <v>-2.4070653742676225</v>
      </c>
      <c r="P20" s="15">
        <f t="shared" si="9"/>
        <v>1.5546745874114825</v>
      </c>
      <c r="Q20" s="15">
        <f t="shared" si="10"/>
        <v>-6.0570204115954207E-2</v>
      </c>
      <c r="R20" s="15">
        <f t="shared" si="11"/>
        <v>-3.7180370979286907</v>
      </c>
      <c r="S20" s="15">
        <f t="shared" si="12"/>
        <v>3.3920403133822203</v>
      </c>
      <c r="T20" s="15">
        <f>BSCall(E20,$B$3, $B$6 - D20,$B$8,$B$5) - BSPut(E20,$B$4, $B$7 - D20,$B$8, $B$5)</f>
        <v>0.5307748733229456</v>
      </c>
      <c r="U20" s="15">
        <f t="shared" si="13"/>
        <v>-4.3808710132755557E-3</v>
      </c>
    </row>
    <row r="21" spans="1:21" x14ac:dyDescent="0.25">
      <c r="D21" s="15">
        <v>5.2777777777777778E-2</v>
      </c>
      <c r="E21" s="15">
        <v>61.994459895913202</v>
      </c>
      <c r="F21" s="15">
        <f t="shared" si="14"/>
        <v>0.6369105922320597</v>
      </c>
      <c r="G21" s="15">
        <f t="shared" si="0"/>
        <v>5.2784464865777432E-2</v>
      </c>
      <c r="H21" s="15">
        <f t="shared" si="1"/>
        <v>3.5281129300781623E-2</v>
      </c>
      <c r="I21" s="15">
        <f t="shared" si="2"/>
        <v>2.3603750775863453E-2</v>
      </c>
      <c r="J21" s="15">
        <f t="shared" si="3"/>
        <v>8.0105341554092977</v>
      </c>
      <c r="K21" s="15">
        <f t="shared" si="4"/>
        <v>12.128346896975509</v>
      </c>
      <c r="L21" s="15">
        <f t="shared" si="5"/>
        <v>12.649926386650085</v>
      </c>
      <c r="M21" s="15">
        <f t="shared" si="6"/>
        <v>-2.9909598384826599</v>
      </c>
      <c r="N21" s="15">
        <f t="shared" si="7"/>
        <v>2.2343896285799061</v>
      </c>
      <c r="O21" s="15">
        <f t="shared" si="8"/>
        <v>-2.8603532121922597</v>
      </c>
      <c r="P21" s="15">
        <f t="shared" si="9"/>
        <v>1.8247235354310316</v>
      </c>
      <c r="Q21" s="15">
        <f t="shared" si="10"/>
        <v>-7.095022742964574E-2</v>
      </c>
      <c r="R21" s="15">
        <f t="shared" si="11"/>
        <v>-4.3985210289930938</v>
      </c>
      <c r="S21" s="15">
        <f t="shared" si="12"/>
        <v>3.9998019444639259</v>
      </c>
      <c r="T21" s="15">
        <f>BSCall(E21,$B$3, $B$6 - D21,$B$8,$B$5) - BSPut(E21,$B$4, $B$7 - D21,$B$8, $B$5)</f>
        <v>0.64099969042853244</v>
      </c>
      <c r="U21" s="15">
        <f t="shared" si="13"/>
        <v>-4.0890981964727402E-3</v>
      </c>
    </row>
    <row r="22" spans="1:21" x14ac:dyDescent="0.25">
      <c r="D22" s="15">
        <v>5.5555555555555559E-2</v>
      </c>
      <c r="E22" s="15">
        <v>62.289076190177596</v>
      </c>
      <c r="F22" s="15">
        <f t="shared" si="14"/>
        <v>0.689888144112909</v>
      </c>
      <c r="G22" s="15">
        <f t="shared" si="0"/>
        <v>5.4911277897614436E-2</v>
      </c>
      <c r="H22" s="15">
        <f t="shared" si="1"/>
        <v>3.6113994560051606E-2</v>
      </c>
      <c r="I22" s="15">
        <f t="shared" si="2"/>
        <v>2.4141624174103739E-2</v>
      </c>
      <c r="J22" s="15">
        <f t="shared" si="3"/>
        <v>8.2876093934211248</v>
      </c>
      <c r="K22" s="15">
        <f t="shared" si="4"/>
        <v>12.455087578253574</v>
      </c>
      <c r="L22" s="15">
        <f t="shared" si="5"/>
        <v>13.009415006251702</v>
      </c>
      <c r="M22" s="15">
        <f t="shared" si="6"/>
        <v>-3.040674707463527</v>
      </c>
      <c r="N22" s="15">
        <f t="shared" si="7"/>
        <v>2.2740653880901553</v>
      </c>
      <c r="O22" s="15">
        <f t="shared" si="8"/>
        <v>-3.0801700623962609</v>
      </c>
      <c r="P22" s="15">
        <f t="shared" si="9"/>
        <v>1.9545785505649611</v>
      </c>
      <c r="Q22" s="15">
        <f t="shared" si="10"/>
        <v>-7.5956155535851888E-2</v>
      </c>
      <c r="R22" s="15">
        <f t="shared" si="11"/>
        <v>-4.7312387592856577</v>
      </c>
      <c r="S22" s="15">
        <f t="shared" si="12"/>
        <v>4.2955353915672667</v>
      </c>
      <c r="T22" s="15">
        <f>BSCall(E22,$B$3, $B$6 - D22,$B$8,$B$5) - BSPut(E22,$B$4, $B$7 - D22,$B$8, $B$5)</f>
        <v>0.69381317144265275</v>
      </c>
      <c r="U22" s="15">
        <f t="shared" si="13"/>
        <v>-3.9250273297437577E-3</v>
      </c>
    </row>
    <row r="23" spans="1:21" x14ac:dyDescent="0.25">
      <c r="D23" s="15">
        <v>5.8333333333333334E-2</v>
      </c>
      <c r="E23" s="15">
        <v>62.678231792305006</v>
      </c>
      <c r="F23" s="15">
        <f t="shared" si="14"/>
        <v>0.76961436542133432</v>
      </c>
      <c r="G23" s="15">
        <f t="shared" si="0"/>
        <v>5.7578061600938854E-2</v>
      </c>
      <c r="H23" s="15">
        <f t="shared" si="1"/>
        <v>3.7176014968980972E-2</v>
      </c>
      <c r="I23" s="15">
        <f t="shared" si="2"/>
        <v>2.4847649008727157E-2</v>
      </c>
      <c r="J23" s="15">
        <f t="shared" si="3"/>
        <v>8.6713047563361521</v>
      </c>
      <c r="K23" s="15">
        <f t="shared" si="4"/>
        <v>12.900927239452754</v>
      </c>
      <c r="L23" s="15">
        <f t="shared" si="5"/>
        <v>13.503477277579417</v>
      </c>
      <c r="M23" s="15">
        <f t="shared" si="6"/>
        <v>-3.0975444663744875</v>
      </c>
      <c r="N23" s="15">
        <f t="shared" si="7"/>
        <v>2.3171728571930865</v>
      </c>
      <c r="O23" s="15">
        <f t="shared" si="8"/>
        <v>-3.390556529583066</v>
      </c>
      <c r="P23" s="15">
        <f t="shared" si="9"/>
        <v>2.1333085530035705</v>
      </c>
      <c r="Q23" s="15">
        <f t="shared" si="10"/>
        <v>-8.2269753252727285E-2</v>
      </c>
      <c r="R23" s="15">
        <f t="shared" si="11"/>
        <v>-5.1565226638701791</v>
      </c>
      <c r="S23" s="15">
        <f t="shared" si="12"/>
        <v>4.6688890527120179</v>
      </c>
      <c r="T23" s="15">
        <f>BSCall(E23,$B$3, $B$6 - D23,$B$8,$B$5) - BSPut(E23,$B$4, $B$7 - D23,$B$8, $B$5)</f>
        <v>0.77334311458144167</v>
      </c>
      <c r="U23" s="15">
        <f t="shared" si="13"/>
        <v>-3.7287491601073475E-3</v>
      </c>
    </row>
    <row r="24" spans="1:21" x14ac:dyDescent="0.25">
      <c r="D24" s="15">
        <v>6.1111111111111116E-2</v>
      </c>
      <c r="E24" s="15">
        <v>64.480472120468519</v>
      </c>
      <c r="F24" s="15">
        <f t="shared" si="14"/>
        <v>1.2967634737474421</v>
      </c>
      <c r="G24" s="15">
        <f t="shared" si="0"/>
        <v>6.6646383162526177E-2</v>
      </c>
      <c r="H24" s="15">
        <f t="shared" si="1"/>
        <v>4.1195500920171414E-2</v>
      </c>
      <c r="I24" s="15">
        <f t="shared" si="2"/>
        <v>2.7901100039136598E-2</v>
      </c>
      <c r="J24" s="15">
        <f t="shared" si="3"/>
        <v>10.46813781392367</v>
      </c>
      <c r="K24" s="15">
        <f t="shared" si="4"/>
        <v>15.034562238656711</v>
      </c>
      <c r="L24" s="15">
        <f t="shared" si="5"/>
        <v>15.982949208766883</v>
      </c>
      <c r="M24" s="15">
        <f t="shared" si="6"/>
        <v>-3.2356145918659323</v>
      </c>
      <c r="N24" s="15">
        <f t="shared" si="7"/>
        <v>2.3886649859870284</v>
      </c>
      <c r="O24" s="15">
        <f t="shared" si="8"/>
        <v>-5.1011596314864445</v>
      </c>
      <c r="P24" s="15">
        <f t="shared" si="9"/>
        <v>3.0420719704127368</v>
      </c>
      <c r="Q24" s="15">
        <f t="shared" si="10"/>
        <v>-0.10573119852172741</v>
      </c>
      <c r="R24" s="15">
        <f t="shared" si="11"/>
        <v>-6.8175975985439665</v>
      </c>
      <c r="S24" s="15">
        <f t="shared" si="12"/>
        <v>6.0552734112177014</v>
      </c>
      <c r="T24" s="15">
        <f>BSCall(E24,$B$3, $B$6 - D24,$B$8,$B$5) - BSPut(E24,$B$4, $B$7 - D24,$B$8, $B$5)</f>
        <v>1.3018328584985059</v>
      </c>
      <c r="U24" s="15">
        <f t="shared" si="13"/>
        <v>-5.0693847510638879E-3</v>
      </c>
    </row>
    <row r="25" spans="1:21" x14ac:dyDescent="0.25">
      <c r="D25" s="15">
        <v>6.3888888888888898E-2</v>
      </c>
      <c r="E25" s="15">
        <v>64.202633632092954</v>
      </c>
      <c r="F25" s="15">
        <f t="shared" si="14"/>
        <v>1.1836881930000818</v>
      </c>
      <c r="G25" s="15">
        <f t="shared" si="0"/>
        <v>6.6030763997759645E-2</v>
      </c>
      <c r="H25" s="15">
        <f t="shared" si="1"/>
        <v>4.0758479609325278E-2</v>
      </c>
      <c r="I25" s="15">
        <f t="shared" si="2"/>
        <v>2.7471244596240566E-2</v>
      </c>
      <c r="J25" s="15">
        <f t="shared" si="3"/>
        <v>10.13104656846946</v>
      </c>
      <c r="K25" s="15">
        <f t="shared" si="4"/>
        <v>14.653818550584491</v>
      </c>
      <c r="L25" s="15">
        <f t="shared" si="5"/>
        <v>15.538477771449898</v>
      </c>
      <c r="M25" s="15">
        <f t="shared" si="6"/>
        <v>-3.2400994519122244</v>
      </c>
      <c r="N25" s="15">
        <f t="shared" si="7"/>
        <v>2.4036320310812225</v>
      </c>
      <c r="O25" s="15">
        <f t="shared" si="8"/>
        <v>-4.8030684197917139</v>
      </c>
      <c r="P25" s="15">
        <f t="shared" si="9"/>
        <v>2.8980990997819549</v>
      </c>
      <c r="Q25" s="15">
        <f t="shared" si="10"/>
        <v>-0.10412642492198287</v>
      </c>
      <c r="R25" s="15">
        <f t="shared" si="11"/>
        <v>-6.6851907106857</v>
      </c>
      <c r="S25" s="15">
        <f t="shared" si="12"/>
        <v>5.9639095836760223</v>
      </c>
      <c r="T25" s="15">
        <f>BSCall(E25,$B$3, $B$6 - D25,$B$8,$B$5) - BSPut(E25,$B$4, $B$7 - D25,$B$8, $B$5)</f>
        <v>1.1888225964681756</v>
      </c>
      <c r="U25" s="15">
        <f t="shared" si="13"/>
        <v>-5.1344034680937956E-3</v>
      </c>
    </row>
    <row r="26" spans="1:21" x14ac:dyDescent="0.25">
      <c r="D26" s="15">
        <v>6.6666666666666666E-2</v>
      </c>
      <c r="E26" s="15">
        <v>64.197363468285758</v>
      </c>
      <c r="F26" s="15">
        <f t="shared" si="14"/>
        <v>1.1658528808708031</v>
      </c>
      <c r="G26" s="15">
        <f t="shared" si="0"/>
        <v>6.6387702722747327E-2</v>
      </c>
      <c r="H26" s="15">
        <f t="shared" si="1"/>
        <v>4.0824278729846959E-2</v>
      </c>
      <c r="I26" s="15">
        <f t="shared" si="2"/>
        <v>2.7470500736075591E-2</v>
      </c>
      <c r="J26" s="15">
        <f t="shared" si="3"/>
        <v>10.032137037138387</v>
      </c>
      <c r="K26" s="15">
        <f t="shared" si="4"/>
        <v>14.581593883770459</v>
      </c>
      <c r="L26" s="15">
        <f t="shared" si="5"/>
        <v>15.472609415821315</v>
      </c>
      <c r="M26" s="15">
        <f t="shared" si="6"/>
        <v>-3.2523637784146442</v>
      </c>
      <c r="N26" s="15">
        <f t="shared" si="7"/>
        <v>2.4166906652315503</v>
      </c>
      <c r="O26" s="15">
        <f t="shared" si="8"/>
        <v>-4.7832751100053894</v>
      </c>
      <c r="P26" s="15">
        <f t="shared" si="9"/>
        <v>2.8945585017466171</v>
      </c>
      <c r="Q26" s="15">
        <f t="shared" si="10"/>
        <v>-0.10530461940895264</v>
      </c>
      <c r="R26" s="15">
        <f t="shared" si="11"/>
        <v>-6.7602789270860315</v>
      </c>
      <c r="S26" s="15">
        <f t="shared" si="12"/>
        <v>6.0374151996980618</v>
      </c>
      <c r="T26" s="15">
        <f>BSCall(E26,$B$3, $B$6 - D26,$B$8,$B$5) - BSPut(E26,$B$4, $B$7 - D26,$B$8, $B$5)</f>
        <v>1.1709727770114324</v>
      </c>
      <c r="U26" s="15">
        <f t="shared" si="13"/>
        <v>-5.1198961406293542E-3</v>
      </c>
    </row>
    <row r="27" spans="1:21" x14ac:dyDescent="0.25">
      <c r="D27" s="15">
        <v>6.9444444444444448E-2</v>
      </c>
      <c r="E27" s="15">
        <v>64.051398763720343</v>
      </c>
      <c r="F27" s="15">
        <f t="shared" si="14"/>
        <v>1.1014847145678495</v>
      </c>
      <c r="G27" s="15">
        <f t="shared" si="0"/>
        <v>6.6140010380502767E-2</v>
      </c>
      <c r="H27" s="15">
        <f t="shared" si="1"/>
        <v>4.060459406761463E-2</v>
      </c>
      <c r="I27" s="15">
        <f t="shared" si="2"/>
        <v>2.7238007499107847E-2</v>
      </c>
      <c r="J27" s="15">
        <f t="shared" si="3"/>
        <v>9.7985620468285468</v>
      </c>
      <c r="K27" s="15">
        <f t="shared" si="4"/>
        <v>14.344704390645497</v>
      </c>
      <c r="L27" s="15">
        <f t="shared" si="5"/>
        <v>15.209892729171775</v>
      </c>
      <c r="M27" s="15">
        <f t="shared" si="6"/>
        <v>-3.2577599603659917</v>
      </c>
      <c r="N27" s="15">
        <f t="shared" si="7"/>
        <v>2.4282249860623248</v>
      </c>
      <c r="O27" s="15">
        <f t="shared" si="8"/>
        <v>-4.6197437532477306</v>
      </c>
      <c r="P27" s="15">
        <f t="shared" si="9"/>
        <v>2.8167621333472823</v>
      </c>
      <c r="Q27" s="15">
        <f t="shared" si="10"/>
        <v>-0.10481790513291689</v>
      </c>
      <c r="R27" s="15">
        <f t="shared" si="11"/>
        <v>-6.7137334392462691</v>
      </c>
      <c r="S27" s="15">
        <f t="shared" si="12"/>
        <v>6.0122365339136703</v>
      </c>
      <c r="T27" s="15">
        <f>BSCall(E27,$B$3, $B$6 - D27,$B$8,$B$5) - BSPut(E27,$B$4, $B$7 - D27,$B$8, $B$5)</f>
        <v>1.1066427179498248</v>
      </c>
      <c r="U27" s="15">
        <f t="shared" si="13"/>
        <v>-5.1580033819753623E-3</v>
      </c>
    </row>
    <row r="28" spans="1:21" x14ac:dyDescent="0.25">
      <c r="D28" s="15">
        <v>7.2222222222222229E-2</v>
      </c>
      <c r="E28" s="15">
        <v>64.399170497404924</v>
      </c>
      <c r="F28" s="15">
        <f t="shared" si="14"/>
        <v>1.2022026840511506</v>
      </c>
      <c r="G28" s="15">
        <f t="shared" si="0"/>
        <v>6.7985952078307127E-2</v>
      </c>
      <c r="H28" s="15">
        <f t="shared" si="1"/>
        <v>4.1373254068019422E-2</v>
      </c>
      <c r="I28" s="15">
        <f t="shared" si="2"/>
        <v>2.7813389573956359E-2</v>
      </c>
      <c r="J28" s="15">
        <f t="shared" si="3"/>
        <v>10.025065053995316</v>
      </c>
      <c r="K28" s="15">
        <f t="shared" si="4"/>
        <v>14.680080689142649</v>
      </c>
      <c r="L28" s="15">
        <f t="shared" si="5"/>
        <v>15.636220526964342</v>
      </c>
      <c r="M28" s="15">
        <f t="shared" si="6"/>
        <v>-3.2864686914176575</v>
      </c>
      <c r="N28" s="15">
        <f t="shared" si="7"/>
        <v>2.4443605443173664</v>
      </c>
      <c r="O28" s="15">
        <f t="shared" si="8"/>
        <v>-4.96406248912038</v>
      </c>
      <c r="P28" s="15">
        <f t="shared" si="9"/>
        <v>3.0006216844056519</v>
      </c>
      <c r="Q28" s="15">
        <f t="shared" si="10"/>
        <v>-0.11020618223836576</v>
      </c>
      <c r="R28" s="15">
        <f t="shared" si="11"/>
        <v>-7.0971867198365945</v>
      </c>
      <c r="S28" s="15">
        <f t="shared" si="12"/>
        <v>6.3359485991730153</v>
      </c>
      <c r="T28" s="15">
        <f>BSCall(E28,$B$3, $B$6 - D28,$B$8,$B$5) - BSPut(E28,$B$4, $B$7 - D28,$B$8, $B$5)</f>
        <v>1.2072226484384339</v>
      </c>
      <c r="U28" s="15">
        <f t="shared" si="13"/>
        <v>-5.0199643872832489E-3</v>
      </c>
    </row>
    <row r="29" spans="1:21" x14ac:dyDescent="0.25">
      <c r="D29" s="15">
        <v>7.4999999999999997E-2</v>
      </c>
      <c r="E29" s="15">
        <v>63.778298564948564</v>
      </c>
      <c r="F29" s="15">
        <f t="shared" si="14"/>
        <v>0.98398042750236847</v>
      </c>
      <c r="G29" s="15">
        <f t="shared" si="0"/>
        <v>6.5521607158671488E-2</v>
      </c>
      <c r="H29" s="15">
        <f t="shared" si="1"/>
        <v>4.0154367408294048E-2</v>
      </c>
      <c r="I29" s="15">
        <f t="shared" si="2"/>
        <v>2.678507168327636E-2</v>
      </c>
      <c r="J29" s="15">
        <f t="shared" si="3"/>
        <v>9.3282127894959519</v>
      </c>
      <c r="K29" s="15">
        <f t="shared" si="4"/>
        <v>13.883455501036902</v>
      </c>
      <c r="L29" s="15">
        <f t="shared" si="5"/>
        <v>14.708637338165692</v>
      </c>
      <c r="M29" s="15">
        <f t="shared" si="6"/>
        <v>-3.2634859611877594</v>
      </c>
      <c r="N29" s="15">
        <f t="shared" si="7"/>
        <v>2.4461986860980032</v>
      </c>
      <c r="O29" s="15">
        <f t="shared" si="8"/>
        <v>-4.3120561888690627</v>
      </c>
      <c r="P29" s="15">
        <f t="shared" si="9"/>
        <v>2.6679150829517995</v>
      </c>
      <c r="Q29" s="15">
        <f t="shared" si="10"/>
        <v>-0.1036350568542147</v>
      </c>
      <c r="R29" s="15">
        <f t="shared" si="11"/>
        <v>-6.609667597843524</v>
      </c>
      <c r="S29" s="15">
        <f t="shared" si="12"/>
        <v>5.9495069194286287</v>
      </c>
      <c r="T29" s="15">
        <f>BSCall(E29,$B$3, $B$6 - D29,$B$8,$B$5) - BSPut(E29,$B$4, $B$7 - D29,$B$8, $B$5)</f>
        <v>0.98916890551887093</v>
      </c>
      <c r="U29" s="15">
        <f t="shared" si="13"/>
        <v>-5.1884780165024624E-3</v>
      </c>
    </row>
    <row r="30" spans="1:21" x14ac:dyDescent="0.25">
      <c r="D30" s="15">
        <v>7.7777777777777779E-2</v>
      </c>
      <c r="E30" s="15">
        <v>63.650419006885755</v>
      </c>
      <c r="F30" s="15">
        <f t="shared" si="14"/>
        <v>0.93020463404241127</v>
      </c>
      <c r="G30" s="15">
        <f t="shared" si="0"/>
        <v>6.5156417349376036E-2</v>
      </c>
      <c r="H30" s="15">
        <f t="shared" si="1"/>
        <v>3.9925318268668339E-2</v>
      </c>
      <c r="I30" s="15">
        <f t="shared" si="2"/>
        <v>2.6564670194715836E-2</v>
      </c>
      <c r="J30" s="15">
        <f t="shared" si="3"/>
        <v>9.0924079851956812</v>
      </c>
      <c r="K30" s="15">
        <f t="shared" si="4"/>
        <v>13.659097452150412</v>
      </c>
      <c r="L30" s="15">
        <f t="shared" si="5"/>
        <v>14.469376694622738</v>
      </c>
      <c r="M30" s="15">
        <f t="shared" si="6"/>
        <v>-3.2639147375567927</v>
      </c>
      <c r="N30" s="15">
        <f t="shared" si="7"/>
        <v>2.4527470836937675</v>
      </c>
      <c r="O30" s="15">
        <f t="shared" si="8"/>
        <v>-4.1671305142217561</v>
      </c>
      <c r="P30" s="15">
        <f t="shared" si="9"/>
        <v>2.596667644596915</v>
      </c>
      <c r="Q30" s="15">
        <f t="shared" si="10"/>
        <v>-0.10295627188147577</v>
      </c>
      <c r="R30" s="15">
        <f t="shared" si="11"/>
        <v>-6.5532098446427831</v>
      </c>
      <c r="S30" s="15">
        <f t="shared" si="12"/>
        <v>5.9129516090603529</v>
      </c>
      <c r="T30" s="15">
        <f>BSCall(E30,$B$3, $B$6 - D30,$B$8,$B$5) - BSPut(E30,$B$4, $B$7 - D30,$B$8, $B$5)</f>
        <v>0.93544256943937354</v>
      </c>
      <c r="U30" s="15">
        <f t="shared" si="13"/>
        <v>-5.2379353969622677E-3</v>
      </c>
    </row>
    <row r="31" spans="1:21" x14ac:dyDescent="0.25">
      <c r="D31" s="15">
        <v>8.0555555555555561E-2</v>
      </c>
      <c r="E31" s="15">
        <v>63.726004616484445</v>
      </c>
      <c r="F31" s="15">
        <f t="shared" si="14"/>
        <v>0.93699384765455918</v>
      </c>
      <c r="G31" s="15">
        <f t="shared" ref="G31:G62" si="15">BSGreeks(E31,$B$3,$B$6 - D31,$B$8, $B$5,$G$1)</f>
        <v>6.5921060651302377E-2</v>
      </c>
      <c r="H31" s="15">
        <f t="shared" si="1"/>
        <v>4.0165669377898582E-2</v>
      </c>
      <c r="I31" s="15">
        <f t="shared" si="2"/>
        <v>2.669860215517043E-2</v>
      </c>
      <c r="J31" s="15">
        <f t="shared" ref="J31:J62" si="16">BSGreeks(E31,$B$3,$B$6 - D31,$B$8, $B$5,$J$1)</f>
        <v>9.0722476670838095</v>
      </c>
      <c r="K31" s="15">
        <f t="shared" si="4"/>
        <v>13.683362505230761</v>
      </c>
      <c r="L31" s="15">
        <f t="shared" si="5"/>
        <v>14.516651225455695</v>
      </c>
      <c r="M31" s="15">
        <f t="shared" si="6"/>
        <v>-3.2824579633459754</v>
      </c>
      <c r="N31" s="15">
        <f t="shared" si="7"/>
        <v>2.469082848164625</v>
      </c>
      <c r="O31" s="15">
        <f t="shared" si="8"/>
        <v>-4.2259506542188623</v>
      </c>
      <c r="P31" s="15">
        <f t="shared" si="9"/>
        <v>2.6347379271017686</v>
      </c>
      <c r="Q31" s="15">
        <f t="shared" ref="Q31:Q62" si="17">BSGreeks(E31,$B$3,$B$6 - D31,$B$8, $B$5,$Q$1) + M31 *BSGreeks(E31,$B$13,$B$14 - D31,$B$8, $B$5,$Q$1) + N31 *BSGreeks(E31,$B$18,$B$19 - D31,$B$8, $B$5,$Q$1)</f>
        <v>-0.10527413705420896</v>
      </c>
      <c r="R31" s="15">
        <f t="shared" si="11"/>
        <v>-6.7087001439129361</v>
      </c>
      <c r="S31" s="15">
        <f t="shared" si="12"/>
        <v>6.0544812644504011</v>
      </c>
      <c r="T31" s="15">
        <f t="shared" ref="T31:T62" si="18">BSCall(E31,$B$3, $B$6 - D31,$B$8,$B$5)</f>
        <v>0.94217843186486383</v>
      </c>
      <c r="U31" s="15">
        <f t="shared" si="13"/>
        <v>-5.1845842103046547E-3</v>
      </c>
    </row>
    <row r="32" spans="1:21" x14ac:dyDescent="0.25">
      <c r="D32" s="15">
        <v>8.3333333333333343E-2</v>
      </c>
      <c r="E32" s="15">
        <v>64.330180689213805</v>
      </c>
      <c r="F32" s="15">
        <f t="shared" si="14"/>
        <v>1.1117830623506588</v>
      </c>
      <c r="G32" s="15">
        <f t="shared" si="15"/>
        <v>6.9406981493245298E-2</v>
      </c>
      <c r="H32" s="15">
        <f t="shared" si="1"/>
        <v>4.1562275969702994E-2</v>
      </c>
      <c r="I32" s="15">
        <f t="shared" si="2"/>
        <v>2.7735526609273212E-2</v>
      </c>
      <c r="J32" s="15">
        <f t="shared" si="16"/>
        <v>9.5743973018057673</v>
      </c>
      <c r="K32" s="15">
        <f t="shared" si="4"/>
        <v>14.333347105001174</v>
      </c>
      <c r="L32" s="15">
        <f t="shared" si="5"/>
        <v>15.303990775500356</v>
      </c>
      <c r="M32" s="15">
        <f t="shared" si="6"/>
        <v>-3.3399028264881276</v>
      </c>
      <c r="N32" s="15">
        <f t="shared" si="7"/>
        <v>2.5024576771525768</v>
      </c>
      <c r="O32" s="15">
        <f t="shared" si="8"/>
        <v>-4.8379704212913328</v>
      </c>
      <c r="P32" s="15">
        <f t="shared" si="9"/>
        <v>2.9649657059474914</v>
      </c>
      <c r="Q32" s="15">
        <f t="shared" si="17"/>
        <v>-0.11513914194582076</v>
      </c>
      <c r="R32" s="15">
        <f t="shared" si="11"/>
        <v>-7.4069218057756858</v>
      </c>
      <c r="S32" s="15">
        <f t="shared" si="12"/>
        <v>6.6457001527825046</v>
      </c>
      <c r="T32" s="15">
        <f t="shared" si="18"/>
        <v>1.1167352883081525</v>
      </c>
      <c r="U32" s="15">
        <f t="shared" si="13"/>
        <v>-4.9522259574936722E-3</v>
      </c>
    </row>
    <row r="33" spans="4:21" x14ac:dyDescent="0.25">
      <c r="D33" s="15">
        <v>8.611111111111111E-2</v>
      </c>
      <c r="E33" s="15">
        <v>64.402704766876369</v>
      </c>
      <c r="F33" s="15">
        <f t="shared" si="14"/>
        <v>1.119314058521339</v>
      </c>
      <c r="G33" s="15">
        <f t="shared" si="15"/>
        <v>7.0181554476689917E-2</v>
      </c>
      <c r="H33" s="15">
        <f t="shared" si="1"/>
        <v>4.1792437331993823E-2</v>
      </c>
      <c r="I33" s="15">
        <f t="shared" si="2"/>
        <v>2.7864285810501262E-2</v>
      </c>
      <c r="J33" s="15">
        <f t="shared" si="16"/>
        <v>9.5413692673213344</v>
      </c>
      <c r="K33" s="15">
        <f t="shared" si="4"/>
        <v>14.348935303815139</v>
      </c>
      <c r="L33" s="15">
        <f t="shared" si="5"/>
        <v>15.345517054984256</v>
      </c>
      <c r="M33" s="15">
        <f t="shared" si="6"/>
        <v>-3.3585767644598739</v>
      </c>
      <c r="N33" s="15">
        <f t="shared" si="7"/>
        <v>2.5186920258419292</v>
      </c>
      <c r="O33" s="15">
        <f t="shared" si="8"/>
        <v>-4.9023504570924308</v>
      </c>
      <c r="P33" s="15">
        <f t="shared" si="9"/>
        <v>3.0058768428621834</v>
      </c>
      <c r="Q33" s="15">
        <f t="shared" si="17"/>
        <v>-0.11761487119693348</v>
      </c>
      <c r="R33" s="15">
        <f t="shared" si="11"/>
        <v>-7.5747158258902978</v>
      </c>
      <c r="S33" s="15">
        <f t="shared" si="12"/>
        <v>6.7975562701813894</v>
      </c>
      <c r="T33" s="15">
        <f t="shared" si="18"/>
        <v>1.1242143344469631</v>
      </c>
      <c r="U33" s="15">
        <f t="shared" si="13"/>
        <v>-4.9002759256240314E-3</v>
      </c>
    </row>
    <row r="34" spans="4:21" x14ac:dyDescent="0.25">
      <c r="D34" s="15">
        <v>8.8888888888888892E-2</v>
      </c>
      <c r="E34" s="15">
        <v>64.281567394054605</v>
      </c>
      <c r="F34" s="15">
        <f t="shared" si="14"/>
        <v>1.0618152986773888</v>
      </c>
      <c r="G34" s="15">
        <f t="shared" si="15"/>
        <v>7.0061523365617065E-2</v>
      </c>
      <c r="H34" s="15">
        <f t="shared" ref="H34:H65" si="19">BSGreeks(E34,$B$13,$B$14 - D34,$B$8, $B$5,$G$1)</f>
        <v>4.1622379854092575E-2</v>
      </c>
      <c r="I34" s="15">
        <f t="shared" ref="I34:I65" si="20">BSGreeks(E34,$B$18,$B$19 - D34,$B$8, $B$5,$G$1)</f>
        <v>2.7669100427267293E-2</v>
      </c>
      <c r="J34" s="15">
        <f t="shared" si="16"/>
        <v>9.3284176069575082</v>
      </c>
      <c r="K34" s="15">
        <f t="shared" ref="K34:K65" si="21">BSGreeks(E34,$B$13,$B$14 - D34,$B$8, $B$5,$J$1)</f>
        <v>14.141290180437899</v>
      </c>
      <c r="L34" s="15">
        <f t="shared" ref="L34:L65" si="22">BSGreeks(E34,$B$18,$B$19 - D34,$B$8, $B$5,$J$1)</f>
        <v>15.117236489148516</v>
      </c>
      <c r="M34" s="15">
        <f t="shared" ref="M34:M65" si="23">(-J34 + G34/I34*L34)/(K34-H34/I34*L34)</f>
        <v>-3.3665313521820739</v>
      </c>
      <c r="N34" s="15">
        <f t="shared" ref="N34:N65" si="24">(-G34-M34*H34)/I34</f>
        <v>2.5321214742700136</v>
      </c>
      <c r="O34" s="15">
        <f t="shared" ref="O34:O65" si="25">M34*BSCall(E34,$B$13,$B$14 - D34,$B$8,$B$5)</f>
        <v>-4.7589789334356682</v>
      </c>
      <c r="P34" s="15">
        <f t="shared" ref="P34:P65" si="26">N34*BSCall(E34,$B$18,$B$19 - D34,$B$8,$B$5)</f>
        <v>2.9388958633968127</v>
      </c>
      <c r="Q34" s="15">
        <f t="shared" si="17"/>
        <v>-0.11754295600742892</v>
      </c>
      <c r="R34" s="15">
        <f t="shared" ref="R34:R65" si="27">Q34 * E34</f>
        <v>-7.555845448287938</v>
      </c>
      <c r="S34" s="15">
        <f t="shared" ref="S34:S65" si="28">F34 - R34 + P34 + O34</f>
        <v>6.7975776769264717</v>
      </c>
      <c r="T34" s="15">
        <f t="shared" si="18"/>
        <v>1.0667471994684077</v>
      </c>
      <c r="U34" s="15">
        <f t="shared" ref="U34:U65" si="29">F34 - T34</f>
        <v>-4.9319007910189061E-3</v>
      </c>
    </row>
    <row r="35" spans="4:21" x14ac:dyDescent="0.25">
      <c r="D35" s="15">
        <v>9.1666666666666674E-2</v>
      </c>
      <c r="E35" s="15">
        <v>64.299827531066057</v>
      </c>
      <c r="F35" s="15">
        <f t="shared" ref="F35:F66" si="30">E35 * Q34 - M34*BSCall(E35,$B$13,$B$14-D35,$B$8,$B$5) - N34*BSCall(E35,$B$18,$B$19-D35,$B$8,$B$5)+ S34 * EXP($B$8*(D35 - D34))</f>
        <v>1.0508001769956588</v>
      </c>
      <c r="G35" s="15">
        <f t="shared" si="15"/>
        <v>7.0604291416057993E-2</v>
      </c>
      <c r="H35" s="15">
        <f t="shared" si="19"/>
        <v>4.174210941146634E-2</v>
      </c>
      <c r="I35" s="15">
        <f t="shared" si="20"/>
        <v>2.7707174080104698E-2</v>
      </c>
      <c r="J35" s="15">
        <f t="shared" si="16"/>
        <v>9.2438537436039176</v>
      </c>
      <c r="K35" s="15">
        <f t="shared" si="21"/>
        <v>14.094148330006997</v>
      </c>
      <c r="L35" s="15">
        <f t="shared" si="22"/>
        <v>15.082998584863256</v>
      </c>
      <c r="M35" s="15">
        <f t="shared" si="23"/>
        <v>-3.3828808563595674</v>
      </c>
      <c r="N35" s="15">
        <f t="shared" si="24"/>
        <v>2.548231415153805</v>
      </c>
      <c r="O35" s="15">
        <f t="shared" si="25"/>
        <v>-4.7651064831167442</v>
      </c>
      <c r="P35" s="15">
        <f t="shared" si="26"/>
        <v>2.949813232754261</v>
      </c>
      <c r="Q35" s="15">
        <f t="shared" si="17"/>
        <v>-0.11938583133934122</v>
      </c>
      <c r="R35" s="15">
        <f t="shared" si="27"/>
        <v>-7.6764883647725819</v>
      </c>
      <c r="S35" s="15">
        <f t="shared" si="28"/>
        <v>6.9119952914057574</v>
      </c>
      <c r="T35" s="15">
        <f t="shared" si="18"/>
        <v>1.0557016798732681</v>
      </c>
      <c r="U35" s="15">
        <f t="shared" si="29"/>
        <v>-4.9015028776093761E-3</v>
      </c>
    </row>
    <row r="36" spans="4:21" x14ac:dyDescent="0.25">
      <c r="D36" s="15">
        <v>9.4444444444444442E-2</v>
      </c>
      <c r="E36" s="15">
        <v>63.79694469843794</v>
      </c>
      <c r="F36" s="15">
        <f t="shared" si="30"/>
        <v>0.87827696110708509</v>
      </c>
      <c r="G36" s="15">
        <f t="shared" si="15"/>
        <v>6.8146272810072087E-2</v>
      </c>
      <c r="H36" s="15">
        <f t="shared" si="19"/>
        <v>4.0664810920270154E-2</v>
      </c>
      <c r="I36" s="15">
        <f t="shared" si="20"/>
        <v>2.6832011201188385E-2</v>
      </c>
      <c r="J36" s="15">
        <f t="shared" si="16"/>
        <v>8.6289388287563948</v>
      </c>
      <c r="K36" s="15">
        <f t="shared" si="21"/>
        <v>13.424523169819766</v>
      </c>
      <c r="L36" s="15">
        <f t="shared" si="22"/>
        <v>14.318333880351769</v>
      </c>
      <c r="M36" s="15">
        <f t="shared" si="23"/>
        <v>-3.3516089841747316</v>
      </c>
      <c r="N36" s="15">
        <f t="shared" si="24"/>
        <v>2.5397377892811068</v>
      </c>
      <c r="O36" s="15">
        <f t="shared" si="25"/>
        <v>-4.2144405196675834</v>
      </c>
      <c r="P36" s="15">
        <f t="shared" si="26"/>
        <v>2.6624332620567754</v>
      </c>
      <c r="Q36" s="15">
        <f t="shared" si="17"/>
        <v>-0.11292519947075347</v>
      </c>
      <c r="R36" s="15">
        <f t="shared" si="27"/>
        <v>-7.2042827056957321</v>
      </c>
      <c r="S36" s="15">
        <f t="shared" si="28"/>
        <v>6.5305524091920084</v>
      </c>
      <c r="T36" s="15">
        <f t="shared" si="18"/>
        <v>0.88338403498933049</v>
      </c>
      <c r="U36" s="15">
        <f t="shared" si="29"/>
        <v>-5.1070738822454054E-3</v>
      </c>
    </row>
    <row r="37" spans="4:21" x14ac:dyDescent="0.25">
      <c r="D37" s="15">
        <v>9.7222222222222224E-2</v>
      </c>
      <c r="E37" s="15">
        <v>64.003775103800464</v>
      </c>
      <c r="F37" s="15">
        <f t="shared" si="30"/>
        <v>0.92343410707679574</v>
      </c>
      <c r="G37" s="15">
        <f t="shared" si="15"/>
        <v>6.9835593219745057E-2</v>
      </c>
      <c r="H37" s="15">
        <f t="shared" si="19"/>
        <v>4.1230618412247212E-2</v>
      </c>
      <c r="I37" s="15">
        <f t="shared" si="20"/>
        <v>2.7203465676029027E-2</v>
      </c>
      <c r="J37" s="15">
        <f t="shared" si="16"/>
        <v>8.7413436094674246</v>
      </c>
      <c r="K37" s="15">
        <f t="shared" si="21"/>
        <v>13.605876574490988</v>
      </c>
      <c r="L37" s="15">
        <f t="shared" si="22"/>
        <v>14.548920613943016</v>
      </c>
      <c r="M37" s="15">
        <f t="shared" si="23"/>
        <v>-3.3875598236965061</v>
      </c>
      <c r="N37" s="15">
        <f t="shared" si="24"/>
        <v>2.5671579515430016</v>
      </c>
      <c r="O37" s="15">
        <f t="shared" si="25"/>
        <v>-4.4172927306129974</v>
      </c>
      <c r="P37" s="15">
        <f t="shared" si="26"/>
        <v>2.7798754525157934</v>
      </c>
      <c r="Q37" s="15">
        <f t="shared" si="17"/>
        <v>-0.11790976319218649</v>
      </c>
      <c r="R37" s="15">
        <f t="shared" si="27"/>
        <v>-7.5466699658950738</v>
      </c>
      <c r="S37" s="15">
        <f t="shared" si="28"/>
        <v>6.8326867948746663</v>
      </c>
      <c r="T37" s="15">
        <f t="shared" si="18"/>
        <v>0.92839924783998873</v>
      </c>
      <c r="U37" s="15">
        <f t="shared" si="29"/>
        <v>-4.9651407631929878E-3</v>
      </c>
    </row>
    <row r="38" spans="4:21" x14ac:dyDescent="0.25">
      <c r="D38" s="15">
        <v>0.1</v>
      </c>
      <c r="E38" s="15">
        <v>63.989419903303784</v>
      </c>
      <c r="F38" s="15">
        <f t="shared" si="30"/>
        <v>0.9023678044793817</v>
      </c>
      <c r="G38" s="15">
        <f t="shared" si="15"/>
        <v>7.016878807844798E-2</v>
      </c>
      <c r="H38" s="15">
        <f t="shared" si="19"/>
        <v>4.1269639069012216E-2</v>
      </c>
      <c r="I38" s="15">
        <f t="shared" si="20"/>
        <v>2.7181101706624716E-2</v>
      </c>
      <c r="J38" s="15">
        <f t="shared" si="16"/>
        <v>8.6194901272756059</v>
      </c>
      <c r="K38" s="15">
        <f t="shared" si="21"/>
        <v>13.518764539161712</v>
      </c>
      <c r="L38" s="15">
        <f t="shared" si="22"/>
        <v>14.468608122975022</v>
      </c>
      <c r="M38" s="15">
        <f t="shared" si="23"/>
        <v>-3.4005040829705253</v>
      </c>
      <c r="N38" s="15">
        <f t="shared" si="24"/>
        <v>2.5815284765056483</v>
      </c>
      <c r="O38" s="15">
        <f t="shared" si="25"/>
        <v>-4.386286390008074</v>
      </c>
      <c r="P38" s="15">
        <f t="shared" si="26"/>
        <v>2.7706583543305534</v>
      </c>
      <c r="Q38" s="15">
        <f t="shared" si="17"/>
        <v>-0.1192178950173326</v>
      </c>
      <c r="R38" s="15">
        <f t="shared" si="27"/>
        <v>-7.6286839442520833</v>
      </c>
      <c r="S38" s="15">
        <f t="shared" si="28"/>
        <v>6.9154237130539435</v>
      </c>
      <c r="T38" s="15">
        <f t="shared" si="18"/>
        <v>0.90732216761450424</v>
      </c>
      <c r="U38" s="15">
        <f t="shared" si="29"/>
        <v>-4.9543631351225415E-3</v>
      </c>
    </row>
    <row r="39" spans="4:21" x14ac:dyDescent="0.25">
      <c r="D39" s="15">
        <v>0.10277777777777779</v>
      </c>
      <c r="E39" s="15">
        <v>64.309276649795848</v>
      </c>
      <c r="F39" s="15">
        <f t="shared" si="30"/>
        <v>0.9847260091255281</v>
      </c>
      <c r="G39" s="15">
        <f t="shared" si="15"/>
        <v>7.2552739437122232E-2</v>
      </c>
      <c r="H39" s="15">
        <f t="shared" si="19"/>
        <v>4.2090092356682242E-2</v>
      </c>
      <c r="I39" s="15">
        <f t="shared" si="20"/>
        <v>2.7750467284980221E-2</v>
      </c>
      <c r="J39" s="15">
        <f t="shared" si="16"/>
        <v>8.8349567728093774</v>
      </c>
      <c r="K39" s="15">
        <f t="shared" si="21"/>
        <v>13.828996299284464</v>
      </c>
      <c r="L39" s="15">
        <f t="shared" si="22"/>
        <v>14.855968360241853</v>
      </c>
      <c r="M39" s="15">
        <f t="shared" si="23"/>
        <v>-3.4474972790409524</v>
      </c>
      <c r="N39" s="15">
        <f t="shared" si="24"/>
        <v>2.6144691075667374</v>
      </c>
      <c r="O39" s="15">
        <f t="shared" si="25"/>
        <v>-4.7222107772813269</v>
      </c>
      <c r="P39" s="15">
        <f t="shared" si="26"/>
        <v>2.9593157763471116</v>
      </c>
      <c r="Q39" s="15">
        <f t="shared" si="17"/>
        <v>-0.12632511489283815</v>
      </c>
      <c r="R39" s="15">
        <f t="shared" si="27"/>
        <v>-8.1238767614607745</v>
      </c>
      <c r="S39" s="15">
        <f t="shared" si="28"/>
        <v>7.345707769652086</v>
      </c>
      <c r="T39" s="15">
        <f t="shared" si="18"/>
        <v>0.98947734608504168</v>
      </c>
      <c r="U39" s="15">
        <f t="shared" si="29"/>
        <v>-4.7513369595135746E-3</v>
      </c>
    </row>
    <row r="40" spans="4:21" x14ac:dyDescent="0.25">
      <c r="D40" s="15">
        <v>0.10555555555555556</v>
      </c>
      <c r="E40" s="15">
        <v>65.131449229337861</v>
      </c>
      <c r="F40" s="15">
        <f t="shared" si="30"/>
        <v>1.2547018648246979</v>
      </c>
      <c r="G40" s="15">
        <f t="shared" si="15"/>
        <v>7.6950247116272449E-2</v>
      </c>
      <c r="H40" s="15">
        <f t="shared" si="19"/>
        <v>4.3850772767299741E-2</v>
      </c>
      <c r="I40" s="15">
        <f t="shared" si="20"/>
        <v>2.9136719340544789E-2</v>
      </c>
      <c r="J40" s="15">
        <f t="shared" si="16"/>
        <v>9.43023120781071</v>
      </c>
      <c r="K40" s="15">
        <f t="shared" si="21"/>
        <v>14.674880515803054</v>
      </c>
      <c r="L40" s="15">
        <f t="shared" si="22"/>
        <v>15.930801042821582</v>
      </c>
      <c r="M40" s="15">
        <f t="shared" si="23"/>
        <v>-3.5096415529377207</v>
      </c>
      <c r="N40" s="15">
        <f t="shared" si="24"/>
        <v>2.6410058804799452</v>
      </c>
      <c r="O40" s="15">
        <f t="shared" si="25"/>
        <v>-5.6497402783103459</v>
      </c>
      <c r="P40" s="15">
        <f t="shared" si="26"/>
        <v>3.4479412792087722</v>
      </c>
      <c r="Q40" s="15">
        <f t="shared" si="17"/>
        <v>-0.13985592738528896</v>
      </c>
      <c r="R40" s="15">
        <f t="shared" si="27"/>
        <v>-9.1090192339169107</v>
      </c>
      <c r="S40" s="15">
        <f t="shared" si="28"/>
        <v>8.1619220996400337</v>
      </c>
      <c r="T40" s="15">
        <f t="shared" si="18"/>
        <v>1.2592382139596439</v>
      </c>
      <c r="U40" s="15">
        <f t="shared" si="29"/>
        <v>-4.5363491349459384E-3</v>
      </c>
    </row>
    <row r="41" spans="4:21" x14ac:dyDescent="0.25">
      <c r="D41" s="15">
        <v>0.10833333333333334</v>
      </c>
      <c r="E41" s="15">
        <v>64.907448312799971</v>
      </c>
      <c r="F41" s="15">
        <f t="shared" si="30"/>
        <v>1.1524326238776368</v>
      </c>
      <c r="G41" s="15">
        <f t="shared" si="15"/>
        <v>7.6696624359926358E-2</v>
      </c>
      <c r="H41" s="15">
        <f t="shared" si="19"/>
        <v>4.3532929851007297E-2</v>
      </c>
      <c r="I41" s="15">
        <f t="shared" si="20"/>
        <v>2.8786617362441709E-2</v>
      </c>
      <c r="J41" s="15">
        <f t="shared" si="16"/>
        <v>9.1550979078911308</v>
      </c>
      <c r="K41" s="15">
        <f t="shared" si="21"/>
        <v>14.366585999198232</v>
      </c>
      <c r="L41" s="15">
        <f t="shared" si="22"/>
        <v>15.563926896006148</v>
      </c>
      <c r="M41" s="15">
        <f t="shared" si="23"/>
        <v>-3.5236141754034374</v>
      </c>
      <c r="N41" s="15">
        <f t="shared" si="24"/>
        <v>2.6643152751942831</v>
      </c>
      <c r="O41" s="15">
        <f t="shared" si="25"/>
        <v>-5.3827939261320212</v>
      </c>
      <c r="P41" s="15">
        <f t="shared" si="26"/>
        <v>3.3226789723239691</v>
      </c>
      <c r="Q41" s="15">
        <f t="shared" si="17"/>
        <v>-0.13936909883132798</v>
      </c>
      <c r="R41" s="15">
        <f t="shared" si="27"/>
        <v>-9.0460925787959319</v>
      </c>
      <c r="S41" s="15">
        <f t="shared" si="28"/>
        <v>8.1384102488655152</v>
      </c>
      <c r="T41" s="15">
        <f t="shared" si="18"/>
        <v>1.157016635382714</v>
      </c>
      <c r="U41" s="15">
        <f t="shared" si="29"/>
        <v>-4.5840115050772567E-3</v>
      </c>
    </row>
    <row r="42" spans="4:21" x14ac:dyDescent="0.25">
      <c r="D42" s="15">
        <v>0.11111111111111112</v>
      </c>
      <c r="E42" s="15">
        <v>64.556451827085411</v>
      </c>
      <c r="F42" s="15">
        <f t="shared" si="30"/>
        <v>1.0116820118439573</v>
      </c>
      <c r="G42" s="15">
        <f t="shared" si="15"/>
        <v>7.5543926082215593E-2</v>
      </c>
      <c r="H42" s="15">
        <f t="shared" si="19"/>
        <v>4.2899025070956547E-2</v>
      </c>
      <c r="I42" s="15">
        <f t="shared" si="20"/>
        <v>2.8202698904175878E-2</v>
      </c>
      <c r="J42" s="15">
        <f t="shared" si="16"/>
        <v>8.7453331022156373</v>
      </c>
      <c r="K42" s="15">
        <f t="shared" si="21"/>
        <v>13.905360678144312</v>
      </c>
      <c r="L42" s="15">
        <f t="shared" si="22"/>
        <v>15.018456702109903</v>
      </c>
      <c r="M42" s="15">
        <f t="shared" si="23"/>
        <v>-3.5219413941115527</v>
      </c>
      <c r="N42" s="15">
        <f t="shared" si="24"/>
        <v>2.6786062688145789</v>
      </c>
      <c r="O42" s="15">
        <f t="shared" si="25"/>
        <v>-4.966496289081145</v>
      </c>
      <c r="P42" s="15">
        <f t="shared" si="26"/>
        <v>3.1153919613480907</v>
      </c>
      <c r="Q42" s="15">
        <f t="shared" si="17"/>
        <v>-0.13625118920628887</v>
      </c>
      <c r="R42" s="15">
        <f t="shared" si="27"/>
        <v>-8.7958933323788866</v>
      </c>
      <c r="S42" s="15">
        <f t="shared" si="28"/>
        <v>7.9564710164897905</v>
      </c>
      <c r="T42" s="15">
        <f t="shared" si="18"/>
        <v>1.0163936148165664</v>
      </c>
      <c r="U42" s="15">
        <f t="shared" si="29"/>
        <v>-4.7116029726090858E-3</v>
      </c>
    </row>
    <row r="43" spans="4:21" x14ac:dyDescent="0.25">
      <c r="D43" s="15">
        <v>0.11388888888888889</v>
      </c>
      <c r="E43" s="15">
        <v>64.188437157901518</v>
      </c>
      <c r="F43" s="15">
        <f t="shared" si="30"/>
        <v>0.876317070326186</v>
      </c>
      <c r="G43" s="15">
        <f t="shared" si="15"/>
        <v>7.3786350696245978E-2</v>
      </c>
      <c r="H43" s="15">
        <f t="shared" si="19"/>
        <v>4.2131694525672503E-2</v>
      </c>
      <c r="I43" s="15">
        <f t="shared" si="20"/>
        <v>2.755679895149021E-2</v>
      </c>
      <c r="J43" s="15">
        <f t="shared" si="16"/>
        <v>8.2758614257200591</v>
      </c>
      <c r="K43" s="15">
        <f t="shared" si="21"/>
        <v>13.404938483432494</v>
      </c>
      <c r="L43" s="15">
        <f t="shared" si="22"/>
        <v>14.444594297938625</v>
      </c>
      <c r="M43" s="15">
        <f t="shared" si="23"/>
        <v>-3.5026528852897214</v>
      </c>
      <c r="N43" s="15">
        <f t="shared" si="24"/>
        <v>2.677609646393845</v>
      </c>
      <c r="O43" s="15">
        <f t="shared" si="25"/>
        <v>-4.5319145047172862</v>
      </c>
      <c r="P43" s="15">
        <f t="shared" si="26"/>
        <v>2.890551778919793</v>
      </c>
      <c r="Q43" s="15">
        <f t="shared" si="17"/>
        <v>-0.13158067615616764</v>
      </c>
      <c r="R43" s="15">
        <f t="shared" si="27"/>
        <v>-8.4459579626443571</v>
      </c>
      <c r="S43" s="15">
        <f t="shared" si="28"/>
        <v>7.6809123071730498</v>
      </c>
      <c r="T43" s="15">
        <f t="shared" si="18"/>
        <v>0.88121349623278289</v>
      </c>
      <c r="U43" s="15">
        <f t="shared" si="29"/>
        <v>-4.8964259065968907E-3</v>
      </c>
    </row>
    <row r="44" spans="4:21" x14ac:dyDescent="0.25">
      <c r="D44" s="15">
        <v>0.11666666666666667</v>
      </c>
      <c r="E44" s="15">
        <v>63.490936122695729</v>
      </c>
      <c r="F44" s="15">
        <f t="shared" si="30"/>
        <v>0.66583176205493988</v>
      </c>
      <c r="G44" s="15">
        <f t="shared" si="15"/>
        <v>6.8700532673022605E-2</v>
      </c>
      <c r="H44" s="15">
        <f t="shared" si="19"/>
        <v>4.0358439625624909E-2</v>
      </c>
      <c r="I44" s="15">
        <f t="shared" si="20"/>
        <v>2.6249867237535106E-2</v>
      </c>
      <c r="J44" s="15">
        <f t="shared" si="16"/>
        <v>7.3850305727613739</v>
      </c>
      <c r="K44" s="15">
        <f t="shared" si="21"/>
        <v>12.47281293695141</v>
      </c>
      <c r="L44" s="15">
        <f t="shared" si="22"/>
        <v>13.40333628507914</v>
      </c>
      <c r="M44" s="15">
        <f t="shared" si="23"/>
        <v>-3.4045187727923141</v>
      </c>
      <c r="N44" s="15">
        <f t="shared" si="24"/>
        <v>2.6171763861261215</v>
      </c>
      <c r="O44" s="15">
        <f t="shared" si="25"/>
        <v>-3.7436421063030427</v>
      </c>
      <c r="P44" s="15">
        <f t="shared" si="26"/>
        <v>2.4560795854335189</v>
      </c>
      <c r="Q44" s="15">
        <f t="shared" si="17"/>
        <v>-0.11821843887918265</v>
      </c>
      <c r="R44" s="15">
        <f t="shared" si="27"/>
        <v>-7.5057993514029953</v>
      </c>
      <c r="S44" s="15">
        <f t="shared" si="28"/>
        <v>6.8840685925884113</v>
      </c>
      <c r="T44" s="15">
        <f t="shared" si="18"/>
        <v>0.67108062354180065</v>
      </c>
      <c r="U44" s="15">
        <f t="shared" si="29"/>
        <v>-5.2488614868607675E-3</v>
      </c>
    </row>
    <row r="45" spans="4:21" x14ac:dyDescent="0.25">
      <c r="D45" s="15">
        <v>0.11944444444444445</v>
      </c>
      <c r="E45" s="15">
        <v>63.543831673654815</v>
      </c>
      <c r="F45" s="15">
        <f t="shared" si="30"/>
        <v>0.66303605850411351</v>
      </c>
      <c r="G45" s="15">
        <f t="shared" si="15"/>
        <v>6.9511074670110862E-2</v>
      </c>
      <c r="H45" s="15">
        <f t="shared" si="19"/>
        <v>4.0566759635048799E-2</v>
      </c>
      <c r="I45" s="15">
        <f t="shared" si="20"/>
        <v>2.6348072968190521E-2</v>
      </c>
      <c r="J45" s="15">
        <f t="shared" si="16"/>
        <v>7.328686664508858</v>
      </c>
      <c r="K45" s="15">
        <f t="shared" si="21"/>
        <v>12.467092422867795</v>
      </c>
      <c r="L45" s="15">
        <f t="shared" si="22"/>
        <v>13.416801911415481</v>
      </c>
      <c r="M45" s="15">
        <f t="shared" si="23"/>
        <v>-3.4269966492494919</v>
      </c>
      <c r="N45" s="15">
        <f t="shared" si="24"/>
        <v>2.6381843846428614</v>
      </c>
      <c r="O45" s="15">
        <f t="shared" si="25"/>
        <v>-3.7803190281744161</v>
      </c>
      <c r="P45" s="15">
        <f t="shared" si="26"/>
        <v>2.4845945625103734</v>
      </c>
      <c r="Q45" s="15">
        <f t="shared" si="17"/>
        <v>-0.12094644314861958</v>
      </c>
      <c r="R45" s="15">
        <f t="shared" si="27"/>
        <v>-7.6854004249631442</v>
      </c>
      <c r="S45" s="15">
        <f t="shared" si="28"/>
        <v>7.0527120178032146</v>
      </c>
      <c r="T45" s="15">
        <f t="shared" si="18"/>
        <v>0.66822130924808421</v>
      </c>
      <c r="U45" s="15">
        <f t="shared" si="29"/>
        <v>-5.185250743970693E-3</v>
      </c>
    </row>
    <row r="46" spans="4:21" x14ac:dyDescent="0.25">
      <c r="D46" s="15">
        <v>0.12222222222222223</v>
      </c>
      <c r="E46" s="15">
        <v>63.036780082577025</v>
      </c>
      <c r="F46" s="15">
        <f t="shared" si="30"/>
        <v>0.52864313504637739</v>
      </c>
      <c r="G46" s="15">
        <f t="shared" si="15"/>
        <v>6.4869061017582733E-2</v>
      </c>
      <c r="H46" s="15">
        <f t="shared" si="19"/>
        <v>3.910267972691453E-2</v>
      </c>
      <c r="I46" s="15">
        <f t="shared" si="20"/>
        <v>2.5337798383413705E-2</v>
      </c>
      <c r="J46" s="15">
        <f t="shared" si="16"/>
        <v>6.587353665530812</v>
      </c>
      <c r="K46" s="15">
        <f t="shared" si="21"/>
        <v>11.739807255171945</v>
      </c>
      <c r="L46" s="15">
        <f t="shared" si="22"/>
        <v>12.641332446322574</v>
      </c>
      <c r="M46" s="15">
        <f t="shared" si="23"/>
        <v>-3.3178831461483229</v>
      </c>
      <c r="N46" s="15">
        <f t="shared" si="24"/>
        <v>2.56016959468927</v>
      </c>
      <c r="O46" s="15">
        <f t="shared" si="25"/>
        <v>-3.2251883276640774</v>
      </c>
      <c r="P46" s="15">
        <f t="shared" si="26"/>
        <v>2.1655710470583296</v>
      </c>
      <c r="Q46" s="15">
        <f t="shared" si="17"/>
        <v>-0.10967748068747779</v>
      </c>
      <c r="R46" s="15">
        <f t="shared" si="27"/>
        <v>-6.9137152301076261</v>
      </c>
      <c r="S46" s="15">
        <f t="shared" si="28"/>
        <v>6.3827410845482548</v>
      </c>
      <c r="T46" s="15">
        <f t="shared" si="18"/>
        <v>0.53423980306609364</v>
      </c>
      <c r="U46" s="15">
        <f t="shared" si="29"/>
        <v>-5.5966680197162555E-3</v>
      </c>
    </row>
    <row r="47" spans="4:21" x14ac:dyDescent="0.25">
      <c r="D47" s="15">
        <v>0.125</v>
      </c>
      <c r="E47" s="15">
        <v>63.181441418317348</v>
      </c>
      <c r="F47" s="15">
        <f t="shared" si="30"/>
        <v>0.54528115892352869</v>
      </c>
      <c r="G47" s="15">
        <f t="shared" si="15"/>
        <v>6.6579438643840097E-2</v>
      </c>
      <c r="H47" s="15">
        <f t="shared" si="19"/>
        <v>3.9595541147680949E-2</v>
      </c>
      <c r="I47" s="15">
        <f t="shared" si="20"/>
        <v>2.5619657542597072E-2</v>
      </c>
      <c r="J47" s="15">
        <f t="shared" si="16"/>
        <v>6.6444524394596991</v>
      </c>
      <c r="K47" s="15">
        <f t="shared" si="21"/>
        <v>11.854591837780982</v>
      </c>
      <c r="L47" s="15">
        <f t="shared" si="22"/>
        <v>12.783871381647694</v>
      </c>
      <c r="M47" s="15">
        <f t="shared" si="23"/>
        <v>-3.362976573322551</v>
      </c>
      <c r="N47" s="15">
        <f t="shared" si="24"/>
        <v>2.5987638020976789</v>
      </c>
      <c r="O47" s="15">
        <f t="shared" si="25"/>
        <v>-3.3502967348194401</v>
      </c>
      <c r="P47" s="15">
        <f t="shared" si="26"/>
        <v>2.2469043646913778</v>
      </c>
      <c r="Q47" s="15">
        <f t="shared" si="17"/>
        <v>-0.11463545788205004</v>
      </c>
      <c r="R47" s="15">
        <f t="shared" si="27"/>
        <v>-7.2428334666367302</v>
      </c>
      <c r="S47" s="15">
        <f t="shared" si="28"/>
        <v>6.6847222554321961</v>
      </c>
      <c r="T47" s="15">
        <f t="shared" si="18"/>
        <v>0.55071210238730206</v>
      </c>
      <c r="U47" s="15">
        <f t="shared" si="29"/>
        <v>-5.4309434637733744E-3</v>
      </c>
    </row>
    <row r="48" spans="4:21" x14ac:dyDescent="0.25">
      <c r="D48" s="15">
        <v>0.1277777777777778</v>
      </c>
      <c r="E48" s="15">
        <v>62.951666148075589</v>
      </c>
      <c r="F48" s="15">
        <f t="shared" si="30"/>
        <v>0.48111164590663424</v>
      </c>
      <c r="G48" s="15">
        <f t="shared" si="15"/>
        <v>6.4307980296316888E-2</v>
      </c>
      <c r="H48" s="15">
        <f t="shared" si="19"/>
        <v>3.8910512804399361E-2</v>
      </c>
      <c r="I48" s="15">
        <f t="shared" si="20"/>
        <v>2.5142523391455198E-2</v>
      </c>
      <c r="J48" s="15">
        <f t="shared" si="16"/>
        <v>6.2295905033473362</v>
      </c>
      <c r="K48" s="15">
        <f t="shared" si="21"/>
        <v>11.479255066643479</v>
      </c>
      <c r="L48" s="15">
        <f t="shared" si="22"/>
        <v>12.399347578158572</v>
      </c>
      <c r="M48" s="15">
        <f t="shared" si="23"/>
        <v>-3.3054295953172828</v>
      </c>
      <c r="N48" s="15">
        <f t="shared" si="24"/>
        <v>2.5577377137162052</v>
      </c>
      <c r="O48" s="15">
        <f t="shared" si="25"/>
        <v>-3.0886291293070793</v>
      </c>
      <c r="P48" s="15">
        <f t="shared" si="26"/>
        <v>2.0961933674307862</v>
      </c>
      <c r="Q48" s="15">
        <f t="shared" si="17"/>
        <v>-0.10964237206360372</v>
      </c>
      <c r="R48" s="15">
        <f t="shared" si="27"/>
        <v>-6.9021700018310712</v>
      </c>
      <c r="S48" s="15">
        <f t="shared" si="28"/>
        <v>6.3908458858614114</v>
      </c>
      <c r="T48" s="15">
        <f t="shared" si="18"/>
        <v>0.48679941492121459</v>
      </c>
      <c r="U48" s="15">
        <f t="shared" si="29"/>
        <v>-5.6877690145803461E-3</v>
      </c>
    </row>
    <row r="49" spans="4:21" x14ac:dyDescent="0.25">
      <c r="D49" s="15">
        <v>0.13055555555555556</v>
      </c>
      <c r="E49" s="15">
        <v>63.720950386489612</v>
      </c>
      <c r="F49" s="15">
        <f t="shared" si="30"/>
        <v>0.64116300712136987</v>
      </c>
      <c r="G49" s="15">
        <f t="shared" si="15"/>
        <v>7.2668840819868463E-2</v>
      </c>
      <c r="H49" s="15">
        <f t="shared" si="19"/>
        <v>4.1320983720093768E-2</v>
      </c>
      <c r="I49" s="15">
        <f t="shared" si="20"/>
        <v>2.6678826179976051E-2</v>
      </c>
      <c r="J49" s="15">
        <f t="shared" si="16"/>
        <v>7.0486942435256612</v>
      </c>
      <c r="K49" s="15">
        <f t="shared" si="21"/>
        <v>12.396933661010657</v>
      </c>
      <c r="L49" s="15">
        <f t="shared" si="22"/>
        <v>13.420341420182773</v>
      </c>
      <c r="M49" s="15">
        <f t="shared" si="23"/>
        <v>-3.5172851310667466</v>
      </c>
      <c r="N49" s="15">
        <f t="shared" si="24"/>
        <v>2.7238395096411874</v>
      </c>
      <c r="O49" s="15">
        <f t="shared" si="25"/>
        <v>-3.897946412719234</v>
      </c>
      <c r="P49" s="15">
        <f t="shared" si="26"/>
        <v>2.5841998615597248</v>
      </c>
      <c r="Q49" s="15">
        <f t="shared" si="17"/>
        <v>-0.13206036337088967</v>
      </c>
      <c r="R49" s="15">
        <f t="shared" si="27"/>
        <v>-8.4150118623782504</v>
      </c>
      <c r="S49" s="15">
        <f t="shared" si="28"/>
        <v>7.7424283183401119</v>
      </c>
      <c r="T49" s="15">
        <f t="shared" si="18"/>
        <v>0.64631351517687141</v>
      </c>
      <c r="U49" s="15">
        <f t="shared" si="29"/>
        <v>-5.1505080555015459E-3</v>
      </c>
    </row>
    <row r="50" spans="4:21" x14ac:dyDescent="0.25">
      <c r="D50" s="15">
        <v>0.13333333333333333</v>
      </c>
      <c r="E50" s="15">
        <v>63.6867473065616</v>
      </c>
      <c r="F50" s="15">
        <f t="shared" si="30"/>
        <v>0.61549419778867254</v>
      </c>
      <c r="G50" s="15">
        <f t="shared" si="15"/>
        <v>7.2723531193805327E-2</v>
      </c>
      <c r="H50" s="15">
        <f t="shared" si="19"/>
        <v>4.1284822335768426E-2</v>
      </c>
      <c r="I50" s="15">
        <f t="shared" si="20"/>
        <v>2.660808148909485E-2</v>
      </c>
      <c r="J50" s="15">
        <f t="shared" si="16"/>
        <v>6.8825580168573479</v>
      </c>
      <c r="K50" s="15">
        <f t="shared" si="21"/>
        <v>12.279762952134536</v>
      </c>
      <c r="L50" s="15">
        <f t="shared" si="22"/>
        <v>13.310432533636419</v>
      </c>
      <c r="M50" s="15">
        <f t="shared" si="23"/>
        <v>-3.5230153397462485</v>
      </c>
      <c r="N50" s="15">
        <f t="shared" si="24"/>
        <v>2.7331369690674863</v>
      </c>
      <c r="O50" s="15">
        <f t="shared" si="25"/>
        <v>-3.8387570903549948</v>
      </c>
      <c r="P50" s="15">
        <f t="shared" si="26"/>
        <v>2.5579982510597117</v>
      </c>
      <c r="Q50" s="15">
        <f t="shared" si="17"/>
        <v>-0.13293960031881091</v>
      </c>
      <c r="R50" s="15">
        <f t="shared" si="27"/>
        <v>-8.4664907325394072</v>
      </c>
      <c r="S50" s="15">
        <f t="shared" si="28"/>
        <v>7.8012260910327962</v>
      </c>
      <c r="T50" s="15">
        <f t="shared" si="18"/>
        <v>0.62066697237410373</v>
      </c>
      <c r="U50" s="15">
        <f t="shared" si="29"/>
        <v>-5.1727745854311946E-3</v>
      </c>
    </row>
    <row r="51" spans="4:21" x14ac:dyDescent="0.25">
      <c r="D51" s="15">
        <v>0.13611111111111113</v>
      </c>
      <c r="E51" s="15">
        <v>63.101796267908441</v>
      </c>
      <c r="F51" s="15">
        <f t="shared" si="30"/>
        <v>0.46675475888222184</v>
      </c>
      <c r="G51" s="15">
        <f t="shared" si="15"/>
        <v>6.651974563326199E-2</v>
      </c>
      <c r="H51" s="15">
        <f t="shared" si="19"/>
        <v>3.9516004939651135E-2</v>
      </c>
      <c r="I51" s="15">
        <f t="shared" si="20"/>
        <v>2.5417053208776359E-2</v>
      </c>
      <c r="J51" s="15">
        <f t="shared" si="16"/>
        <v>6.0331674004175264</v>
      </c>
      <c r="K51" s="15">
        <f t="shared" si="21"/>
        <v>11.45131248350509</v>
      </c>
      <c r="L51" s="15">
        <f t="shared" si="22"/>
        <v>12.425915928681794</v>
      </c>
      <c r="M51" s="15">
        <f t="shared" si="23"/>
        <v>-3.3667242290738129</v>
      </c>
      <c r="N51" s="15">
        <f t="shared" si="24"/>
        <v>2.6171305181158093</v>
      </c>
      <c r="O51" s="15">
        <f t="shared" si="25"/>
        <v>-3.1662490470054747</v>
      </c>
      <c r="P51" s="15">
        <f t="shared" si="26"/>
        <v>2.1634283897024615</v>
      </c>
      <c r="Q51" s="15">
        <f t="shared" si="17"/>
        <v>-0.11742644530370544</v>
      </c>
      <c r="R51" s="15">
        <f t="shared" si="27"/>
        <v>-7.4098196280191146</v>
      </c>
      <c r="S51" s="15">
        <f t="shared" si="28"/>
        <v>6.8737537295983229</v>
      </c>
      <c r="T51" s="15">
        <f t="shared" si="18"/>
        <v>0.47246081841660215</v>
      </c>
      <c r="U51" s="15">
        <f t="shared" si="29"/>
        <v>-5.7060595343803033E-3</v>
      </c>
    </row>
    <row r="52" spans="4:21" x14ac:dyDescent="0.25">
      <c r="D52" s="15">
        <v>0.1388888888888889</v>
      </c>
      <c r="E52" s="15">
        <v>63.423267404711488</v>
      </c>
      <c r="F52" s="15">
        <f t="shared" si="30"/>
        <v>0.51992084718811338</v>
      </c>
      <c r="G52" s="15">
        <f t="shared" si="15"/>
        <v>7.0527802568663006E-2</v>
      </c>
      <c r="H52" s="15">
        <f t="shared" si="19"/>
        <v>4.059671561278512E-2</v>
      </c>
      <c r="I52" s="15">
        <f t="shared" si="20"/>
        <v>2.6067708353445407E-2</v>
      </c>
      <c r="J52" s="15">
        <f t="shared" si="16"/>
        <v>6.3044189097437719</v>
      </c>
      <c r="K52" s="15">
        <f t="shared" si="21"/>
        <v>11.793941535808861</v>
      </c>
      <c r="L52" s="15">
        <f t="shared" si="22"/>
        <v>12.815933733995578</v>
      </c>
      <c r="M52" s="15">
        <f t="shared" si="23"/>
        <v>-3.4745570671954393</v>
      </c>
      <c r="N52" s="15">
        <f t="shared" si="24"/>
        <v>2.7055620544926491</v>
      </c>
      <c r="O52" s="15">
        <f t="shared" si="25"/>
        <v>-3.4938225180884808</v>
      </c>
      <c r="P52" s="15">
        <f t="shared" si="26"/>
        <v>2.3694055567575165</v>
      </c>
      <c r="Q52" s="15">
        <f t="shared" si="17"/>
        <v>-0.12862719425572561</v>
      </c>
      <c r="R52" s="15">
        <f t="shared" si="27"/>
        <v>-8.1579569367986551</v>
      </c>
      <c r="S52" s="15">
        <f t="shared" si="28"/>
        <v>7.553460822655806</v>
      </c>
      <c r="T52" s="15">
        <f t="shared" si="18"/>
        <v>0.52520975473339571</v>
      </c>
      <c r="U52" s="15">
        <f t="shared" si="29"/>
        <v>-5.2889075452823286E-3</v>
      </c>
    </row>
    <row r="53" spans="4:21" x14ac:dyDescent="0.25">
      <c r="D53" s="15">
        <v>0.14166666666666666</v>
      </c>
      <c r="E53" s="15">
        <v>63.871587656841989</v>
      </c>
      <c r="F53" s="15">
        <f t="shared" si="30"/>
        <v>0.60972506647825853</v>
      </c>
      <c r="G53" s="15">
        <f t="shared" si="15"/>
        <v>7.5951767898831832E-2</v>
      </c>
      <c r="H53" s="15">
        <f t="shared" si="19"/>
        <v>4.2028740252216645E-2</v>
      </c>
      <c r="I53" s="15">
        <f t="shared" si="20"/>
        <v>2.6964583834814551E-2</v>
      </c>
      <c r="J53" s="15">
        <f t="shared" si="16"/>
        <v>6.7134446436187529</v>
      </c>
      <c r="K53" s="15">
        <f t="shared" si="21"/>
        <v>12.287937710583845</v>
      </c>
      <c r="L53" s="15">
        <f t="shared" si="22"/>
        <v>13.383840573329985</v>
      </c>
      <c r="M53" s="15">
        <f t="shared" si="23"/>
        <v>-3.6142776320699275</v>
      </c>
      <c r="N53" s="15">
        <f t="shared" si="24"/>
        <v>2.8167231641368353</v>
      </c>
      <c r="O53" s="15">
        <f t="shared" si="25"/>
        <v>-3.9980182107006206</v>
      </c>
      <c r="P53" s="15">
        <f t="shared" si="26"/>
        <v>2.6775813006598947</v>
      </c>
      <c r="Q53" s="15">
        <f t="shared" si="17"/>
        <v>-0.14427444061372496</v>
      </c>
      <c r="R53" s="15">
        <f t="shared" si="27"/>
        <v>-9.2150375803013773</v>
      </c>
      <c r="S53" s="15">
        <f t="shared" si="28"/>
        <v>8.5043257367389096</v>
      </c>
      <c r="T53" s="15">
        <f t="shared" si="18"/>
        <v>0.61447813037748056</v>
      </c>
      <c r="U53" s="15">
        <f t="shared" si="29"/>
        <v>-4.753063899222032E-3</v>
      </c>
    </row>
    <row r="54" spans="4:21" x14ac:dyDescent="0.25">
      <c r="D54" s="15">
        <v>0.14444444444444446</v>
      </c>
      <c r="E54" s="15">
        <v>64.069397205532368</v>
      </c>
      <c r="F54" s="15">
        <f t="shared" si="30"/>
        <v>0.64282654528926209</v>
      </c>
      <c r="G54" s="15">
        <f t="shared" si="15"/>
        <v>7.8586578075290042E-2</v>
      </c>
      <c r="H54" s="15">
        <f t="shared" si="19"/>
        <v>4.2679166833283821E-2</v>
      </c>
      <c r="I54" s="15">
        <f t="shared" si="20"/>
        <v>2.7353854042526403E-2</v>
      </c>
      <c r="J54" s="15">
        <f t="shared" si="16"/>
        <v>6.8102137938966845</v>
      </c>
      <c r="K54" s="15">
        <f t="shared" si="21"/>
        <v>12.458182058640478</v>
      </c>
      <c r="L54" s="15">
        <f t="shared" si="22"/>
        <v>13.598900297051971</v>
      </c>
      <c r="M54" s="15">
        <f t="shared" si="23"/>
        <v>-3.682666926571931</v>
      </c>
      <c r="N54" s="15">
        <f t="shared" si="24"/>
        <v>2.8729618120032834</v>
      </c>
      <c r="O54" s="15">
        <f t="shared" si="25"/>
        <v>-4.2243929433324183</v>
      </c>
      <c r="P54" s="15">
        <f t="shared" si="26"/>
        <v>2.8194350589750705</v>
      </c>
      <c r="Q54" s="15">
        <f t="shared" si="17"/>
        <v>-0.15265207741129561</v>
      </c>
      <c r="R54" s="15">
        <f t="shared" si="27"/>
        <v>-9.7803265819139735</v>
      </c>
      <c r="S54" s="15">
        <f t="shared" si="28"/>
        <v>9.0181952428458878</v>
      </c>
      <c r="T54" s="15">
        <f t="shared" si="18"/>
        <v>0.6473044129875023</v>
      </c>
      <c r="U54" s="15">
        <f t="shared" si="29"/>
        <v>-4.4778676982402121E-3</v>
      </c>
    </row>
    <row r="55" spans="4:21" x14ac:dyDescent="0.25">
      <c r="D55" s="15">
        <v>0.14722222222222223</v>
      </c>
      <c r="E55" s="15">
        <v>64.598637801465088</v>
      </c>
      <c r="F55" s="15">
        <f t="shared" si="30"/>
        <v>0.774227293789993</v>
      </c>
      <c r="G55" s="15">
        <f t="shared" si="15"/>
        <v>8.4505329983322441E-2</v>
      </c>
      <c r="H55" s="15">
        <f t="shared" si="19"/>
        <v>4.4216144729735021E-2</v>
      </c>
      <c r="I55" s="15">
        <f t="shared" si="20"/>
        <v>2.837623679916871E-2</v>
      </c>
      <c r="J55" s="15">
        <f t="shared" si="16"/>
        <v>7.2486985809720572</v>
      </c>
      <c r="K55" s="15">
        <f t="shared" si="21"/>
        <v>13.018435902196272</v>
      </c>
      <c r="L55" s="15">
        <f t="shared" si="22"/>
        <v>14.275415200447894</v>
      </c>
      <c r="M55" s="15">
        <f t="shared" si="23"/>
        <v>-3.8223744064458538</v>
      </c>
      <c r="N55" s="15">
        <f t="shared" si="24"/>
        <v>2.9780316037466257</v>
      </c>
      <c r="O55" s="15">
        <f t="shared" si="25"/>
        <v>-4.8971705365231273</v>
      </c>
      <c r="P55" s="15">
        <f t="shared" si="26"/>
        <v>3.2148572367907313</v>
      </c>
      <c r="Q55" s="15">
        <f t="shared" si="17"/>
        <v>-0.17121290065282091</v>
      </c>
      <c r="R55" s="15">
        <f t="shared" si="27"/>
        <v>-11.060120156209804</v>
      </c>
      <c r="S55" s="15">
        <f t="shared" si="28"/>
        <v>10.152034150267401</v>
      </c>
      <c r="T55" s="15">
        <f t="shared" si="18"/>
        <v>0.77814931886307326</v>
      </c>
      <c r="U55" s="15">
        <f t="shared" si="29"/>
        <v>-3.9220250730802597E-3</v>
      </c>
    </row>
    <row r="56" spans="4:21" x14ac:dyDescent="0.25">
      <c r="D56" s="15">
        <v>0.15</v>
      </c>
      <c r="E56" s="15">
        <v>63.929215846296174</v>
      </c>
      <c r="F56" s="15">
        <f t="shared" si="30"/>
        <v>0.5699521487382917</v>
      </c>
      <c r="G56" s="15">
        <f t="shared" si="15"/>
        <v>7.8041022974305013E-2</v>
      </c>
      <c r="H56" s="15">
        <f t="shared" si="19"/>
        <v>4.2412422264722902E-2</v>
      </c>
      <c r="I56" s="15">
        <f t="shared" si="20"/>
        <v>2.7071967550654844E-2</v>
      </c>
      <c r="J56" s="15">
        <f t="shared" si="16"/>
        <v>6.3789868089048358</v>
      </c>
      <c r="K56" s="15">
        <f t="shared" si="21"/>
        <v>12.133605525302567</v>
      </c>
      <c r="L56" s="15">
        <f t="shared" si="22"/>
        <v>13.276995916897633</v>
      </c>
      <c r="M56" s="15">
        <f t="shared" si="23"/>
        <v>-3.6801021402268108</v>
      </c>
      <c r="N56" s="15">
        <f t="shared" si="24"/>
        <v>2.8827244576250703</v>
      </c>
      <c r="O56" s="15">
        <f t="shared" si="25"/>
        <v>-4.0117151334527525</v>
      </c>
      <c r="P56" s="15">
        <f t="shared" si="26"/>
        <v>2.7141020082292471</v>
      </c>
      <c r="Q56" s="15">
        <f t="shared" si="17"/>
        <v>-0.15294706611412934</v>
      </c>
      <c r="R56" s="15">
        <f t="shared" si="27"/>
        <v>-9.7777860026679058</v>
      </c>
      <c r="S56" s="15">
        <f t="shared" si="28"/>
        <v>9.0501250261826911</v>
      </c>
      <c r="T56" s="15">
        <f t="shared" si="18"/>
        <v>0.57442269521178857</v>
      </c>
      <c r="U56" s="15">
        <f t="shared" si="29"/>
        <v>-4.4705464734968725E-3</v>
      </c>
    </row>
    <row r="57" spans="4:21" x14ac:dyDescent="0.25">
      <c r="D57" s="15">
        <v>0.15277777777777779</v>
      </c>
      <c r="E57" s="15">
        <v>64.518154108795201</v>
      </c>
      <c r="F57" s="15">
        <f t="shared" si="30"/>
        <v>0.7093993406506236</v>
      </c>
      <c r="G57" s="15">
        <f t="shared" si="15"/>
        <v>8.5276516785698933E-2</v>
      </c>
      <c r="H57" s="15">
        <f t="shared" si="19"/>
        <v>4.4192966089644806E-2</v>
      </c>
      <c r="I57" s="15">
        <f t="shared" si="20"/>
        <v>2.8233720925853134E-2</v>
      </c>
      <c r="J57" s="15">
        <f t="shared" si="16"/>
        <v>6.9022209751154078</v>
      </c>
      <c r="K57" s="15">
        <f t="shared" si="21"/>
        <v>12.774812247510315</v>
      </c>
      <c r="L57" s="15">
        <f t="shared" si="22"/>
        <v>14.037764086912736</v>
      </c>
      <c r="M57" s="15">
        <f t="shared" si="23"/>
        <v>-3.8592800769568965</v>
      </c>
      <c r="N57" s="15">
        <f t="shared" si="24"/>
        <v>3.0203782565411967</v>
      </c>
      <c r="O57" s="15">
        <f t="shared" si="25"/>
        <v>-4.7721059558931795</v>
      </c>
      <c r="P57" s="15">
        <f t="shared" si="26"/>
        <v>3.1682040100152769</v>
      </c>
      <c r="Q57" s="15">
        <f t="shared" si="17"/>
        <v>-0.17540377677887276</v>
      </c>
      <c r="R57" s="15">
        <f t="shared" si="27"/>
        <v>-11.316727901484025</v>
      </c>
      <c r="S57" s="15">
        <f t="shared" si="28"/>
        <v>10.422225296256746</v>
      </c>
      <c r="T57" s="15">
        <f t="shared" si="18"/>
        <v>0.71320430298886028</v>
      </c>
      <c r="U57" s="15">
        <f t="shared" si="29"/>
        <v>-3.8049623382366837E-3</v>
      </c>
    </row>
    <row r="58" spans="4:21" x14ac:dyDescent="0.25">
      <c r="D58" s="15">
        <v>0.15555555555555556</v>
      </c>
      <c r="E58" s="15">
        <v>63.954986467523561</v>
      </c>
      <c r="F58" s="15">
        <f t="shared" si="30"/>
        <v>0.53922953462444667</v>
      </c>
      <c r="G58" s="15">
        <f t="shared" si="15"/>
        <v>7.9355444576998987E-2</v>
      </c>
      <c r="H58" s="15">
        <f t="shared" si="19"/>
        <v>4.2634885095228288E-2</v>
      </c>
      <c r="I58" s="15">
        <f t="shared" si="20"/>
        <v>2.7118371881518197E-2</v>
      </c>
      <c r="J58" s="15">
        <f t="shared" si="16"/>
        <v>6.1310091426150919</v>
      </c>
      <c r="K58" s="15">
        <f t="shared" si="21"/>
        <v>12.013321496498291</v>
      </c>
      <c r="L58" s="15">
        <f t="shared" si="22"/>
        <v>13.187233710628693</v>
      </c>
      <c r="M58" s="15">
        <f t="shared" si="23"/>
        <v>-3.7225593266993702</v>
      </c>
      <c r="N58" s="15">
        <f t="shared" si="24"/>
        <v>2.9262613892791118</v>
      </c>
      <c r="O58" s="15">
        <f t="shared" si="25"/>
        <v>-4.0054362037095101</v>
      </c>
      <c r="P58" s="15">
        <f t="shared" si="26"/>
        <v>2.7302466823061589</v>
      </c>
      <c r="Q58" s="15">
        <f t="shared" si="17"/>
        <v>-0.15879840001522649</v>
      </c>
      <c r="R58" s="15">
        <f t="shared" si="27"/>
        <v>-10.155949524038205</v>
      </c>
      <c r="S58" s="15">
        <f t="shared" si="28"/>
        <v>9.4199895372593012</v>
      </c>
      <c r="T58" s="15">
        <f t="shared" si="18"/>
        <v>0.54362655407205696</v>
      </c>
      <c r="U58" s="15">
        <f t="shared" si="29"/>
        <v>-4.3970194476102842E-3</v>
      </c>
    </row>
    <row r="59" spans="4:21" x14ac:dyDescent="0.25">
      <c r="D59" s="15">
        <v>0.15833333333333333</v>
      </c>
      <c r="E59" s="15">
        <v>65.113509781237113</v>
      </c>
      <c r="F59" s="15">
        <f t="shared" si="30"/>
        <v>0.85268768895830327</v>
      </c>
      <c r="G59" s="15">
        <f t="shared" si="15"/>
        <v>9.2750000742461508E-2</v>
      </c>
      <c r="H59" s="15">
        <f t="shared" si="19"/>
        <v>4.5929038251015117E-2</v>
      </c>
      <c r="I59" s="15">
        <f t="shared" si="20"/>
        <v>2.9371325099965158E-2</v>
      </c>
      <c r="J59" s="15">
        <f t="shared" si="16"/>
        <v>7.209374193445691</v>
      </c>
      <c r="K59" s="15">
        <f t="shared" si="21"/>
        <v>13.30644884909365</v>
      </c>
      <c r="L59" s="15">
        <f t="shared" si="22"/>
        <v>14.735770523954226</v>
      </c>
      <c r="M59" s="15">
        <f t="shared" si="23"/>
        <v>-4.0388392300120302</v>
      </c>
      <c r="N59" s="15">
        <f t="shared" si="24"/>
        <v>3.1578418892163467</v>
      </c>
      <c r="O59" s="15">
        <f t="shared" si="25"/>
        <v>-5.6031576556935443</v>
      </c>
      <c r="P59" s="15">
        <f t="shared" si="26"/>
        <v>3.6606283148320951</v>
      </c>
      <c r="Q59" s="15">
        <f t="shared" si="17"/>
        <v>-0.20124940407144398</v>
      </c>
      <c r="R59" s="15">
        <f t="shared" si="27"/>
        <v>-13.104055040474108</v>
      </c>
      <c r="S59" s="15">
        <f t="shared" si="28"/>
        <v>12.014213388570962</v>
      </c>
      <c r="T59" s="15">
        <f t="shared" si="18"/>
        <v>0.85708924301620393</v>
      </c>
      <c r="U59" s="15">
        <f t="shared" si="29"/>
        <v>-4.4015540579006585E-3</v>
      </c>
    </row>
    <row r="60" spans="4:21" x14ac:dyDescent="0.25">
      <c r="D60" s="15">
        <v>0.16111111111111112</v>
      </c>
      <c r="E60" s="15">
        <v>64.081773362730516</v>
      </c>
      <c r="F60" s="15">
        <f t="shared" si="30"/>
        <v>0.53152876853807918</v>
      </c>
      <c r="G60" s="15">
        <f t="shared" si="15"/>
        <v>8.2108108327327109E-2</v>
      </c>
      <c r="H60" s="15">
        <f t="shared" si="19"/>
        <v>4.3177863552526202E-2</v>
      </c>
      <c r="I60" s="15">
        <f t="shared" si="20"/>
        <v>2.737169987359377E-2</v>
      </c>
      <c r="J60" s="15">
        <f t="shared" si="16"/>
        <v>5.9942184096014284</v>
      </c>
      <c r="K60" s="15">
        <f t="shared" si="21"/>
        <v>12.01759374153672</v>
      </c>
      <c r="L60" s="15">
        <f t="shared" si="22"/>
        <v>13.238359437362138</v>
      </c>
      <c r="M60" s="15">
        <f t="shared" si="23"/>
        <v>-3.8032501644015801</v>
      </c>
      <c r="N60" s="15">
        <f t="shared" si="24"/>
        <v>2.9997445794931834</v>
      </c>
      <c r="O60" s="15">
        <f t="shared" si="25"/>
        <v>-4.1357549885713123</v>
      </c>
      <c r="P60" s="15">
        <f t="shared" si="26"/>
        <v>2.8296100658457943</v>
      </c>
      <c r="Q60" s="15">
        <f t="shared" si="17"/>
        <v>-0.16913054483297285</v>
      </c>
      <c r="R60" s="15">
        <f t="shared" si="27"/>
        <v>-10.8381852427017</v>
      </c>
      <c r="S60" s="15">
        <f t="shared" si="28"/>
        <v>10.063569088514262</v>
      </c>
      <c r="T60" s="15">
        <f t="shared" si="18"/>
        <v>0.5363232832014786</v>
      </c>
      <c r="U60" s="15">
        <f t="shared" si="29"/>
        <v>-4.7945146633994185E-3</v>
      </c>
    </row>
    <row r="61" spans="4:21" x14ac:dyDescent="0.25">
      <c r="D61" s="15">
        <v>0.16388888888888889</v>
      </c>
      <c r="E61" s="15">
        <v>63.042948524952976</v>
      </c>
      <c r="F61" s="15">
        <f t="shared" si="30"/>
        <v>0.30402608468688008</v>
      </c>
      <c r="G61" s="15">
        <f t="shared" si="15"/>
        <v>6.6415609238093365E-2</v>
      </c>
      <c r="H61" s="15">
        <f t="shared" si="19"/>
        <v>3.9679853895568308E-2</v>
      </c>
      <c r="I61" s="15">
        <f t="shared" si="20"/>
        <v>2.515627166669622E-2</v>
      </c>
      <c r="J61" s="15">
        <f t="shared" si="16"/>
        <v>4.5460309011585061</v>
      </c>
      <c r="K61" s="15">
        <f t="shared" si="21"/>
        <v>10.601222838192513</v>
      </c>
      <c r="L61" s="15">
        <f t="shared" si="22"/>
        <v>11.720044487436374</v>
      </c>
      <c r="M61" s="15">
        <f t="shared" si="23"/>
        <v>-3.3475732754908676</v>
      </c>
      <c r="N61" s="15">
        <f t="shared" si="24"/>
        <v>2.6401213231458036</v>
      </c>
      <c r="O61" s="15">
        <f t="shared" si="25"/>
        <v>-2.7927337138048136</v>
      </c>
      <c r="P61" s="15">
        <f t="shared" si="26"/>
        <v>1.9982025295514427</v>
      </c>
      <c r="Q61" s="15">
        <f t="shared" si="17"/>
        <v>-0.12712616370085145</v>
      </c>
      <c r="R61" s="15">
        <f t="shared" si="27"/>
        <v>-8.0144081943675225</v>
      </c>
      <c r="S61" s="15">
        <f t="shared" si="28"/>
        <v>7.5239030948010326</v>
      </c>
      <c r="T61" s="15">
        <f t="shared" si="18"/>
        <v>0.30923555730134855</v>
      </c>
      <c r="U61" s="15">
        <f t="shared" si="29"/>
        <v>-5.2094726144684689E-3</v>
      </c>
    </row>
    <row r="62" spans="4:21" x14ac:dyDescent="0.25">
      <c r="D62" s="15">
        <v>0.16666666666666669</v>
      </c>
      <c r="E62" s="15">
        <v>63.589048630833624</v>
      </c>
      <c r="F62" s="15">
        <f t="shared" si="30"/>
        <v>0.38656367884419662</v>
      </c>
      <c r="G62" s="15">
        <f t="shared" si="15"/>
        <v>7.5521117596702728E-2</v>
      </c>
      <c r="H62" s="15">
        <f t="shared" si="19"/>
        <v>4.1686584754910508E-2</v>
      </c>
      <c r="I62" s="15">
        <f t="shared" si="20"/>
        <v>2.6329226943059465E-2</v>
      </c>
      <c r="J62" s="15">
        <f t="shared" si="16"/>
        <v>5.0895784484226105</v>
      </c>
      <c r="K62" s="15">
        <f t="shared" si="21"/>
        <v>11.237500191135858</v>
      </c>
      <c r="L62" s="15">
        <f t="shared" si="22"/>
        <v>12.420799531866548</v>
      </c>
      <c r="M62" s="15">
        <f t="shared" si="23"/>
        <v>-3.6232815924219675</v>
      </c>
      <c r="N62" s="15">
        <f t="shared" si="24"/>
        <v>2.8683378270097872</v>
      </c>
      <c r="O62" s="15">
        <f t="shared" si="25"/>
        <v>-3.4284798859271746</v>
      </c>
      <c r="P62" s="15">
        <f t="shared" si="26"/>
        <v>2.4134614408852304</v>
      </c>
      <c r="Q62" s="15">
        <f t="shared" si="17"/>
        <v>-0.15284279060440059</v>
      </c>
      <c r="R62" s="15">
        <f t="shared" si="27"/>
        <v>-9.7191276446155488</v>
      </c>
      <c r="S62" s="15">
        <f t="shared" si="28"/>
        <v>9.0906728784178004</v>
      </c>
      <c r="T62" s="15">
        <f t="shared" si="18"/>
        <v>0.39081566935299172</v>
      </c>
      <c r="U62" s="15">
        <f t="shared" si="29"/>
        <v>-4.2519905087951004E-3</v>
      </c>
    </row>
    <row r="63" spans="4:21" x14ac:dyDescent="0.25">
      <c r="D63" s="15">
        <v>0.16944444444444445</v>
      </c>
      <c r="E63" s="15">
        <v>63.386418872389385</v>
      </c>
      <c r="F63" s="15">
        <f t="shared" si="30"/>
        <v>0.3311503438383987</v>
      </c>
      <c r="G63" s="15">
        <f t="shared" ref="G63:G91" si="31">BSGreeks(E63,$B$3,$B$6 - D63,$B$8, $B$5,$G$1)</f>
        <v>7.2241478216168664E-2</v>
      </c>
      <c r="H63" s="15">
        <f t="shared" si="19"/>
        <v>4.1017302704336331E-2</v>
      </c>
      <c r="I63" s="15">
        <f t="shared" si="20"/>
        <v>2.5880226601726185E-2</v>
      </c>
      <c r="J63" s="15">
        <f t="shared" ref="J63:J91" si="32">BSGreeks(E63,$B$3,$B$6 - D63,$B$8, $B$5,$J$1)</f>
        <v>4.6763235213507199</v>
      </c>
      <c r="K63" s="15">
        <f t="shared" si="21"/>
        <v>10.89516938546253</v>
      </c>
      <c r="L63" s="15">
        <f t="shared" si="22"/>
        <v>12.073530625553845</v>
      </c>
      <c r="M63" s="15">
        <f t="shared" si="23"/>
        <v>-3.5224879966829876</v>
      </c>
      <c r="N63" s="15">
        <f t="shared" si="24"/>
        <v>2.7913773448703223</v>
      </c>
      <c r="O63" s="15">
        <f t="shared" si="25"/>
        <v>-3.1352433217182356</v>
      </c>
      <c r="P63" s="15">
        <f t="shared" si="26"/>
        <v>2.2351020687165728</v>
      </c>
      <c r="Q63" s="15">
        <f t="shared" ref="Q63:Q91" si="33">BSGreeks(E63,$B$3,$B$6 - D63,$B$8, $B$5,$Q$1) + M63 *BSGreeks(E63,$B$13,$B$14 - D63,$B$8, $B$5,$Q$1) + N63 *BSGreeks(E63,$B$18,$B$19 - D63,$B$8, $B$5,$Q$1)</f>
        <v>-0.14519885416384792</v>
      </c>
      <c r="R63" s="15">
        <f t="shared" si="27"/>
        <v>-9.2036353898206436</v>
      </c>
      <c r="S63" s="15">
        <f t="shared" si="28"/>
        <v>8.6346444806573803</v>
      </c>
      <c r="T63" s="15">
        <f t="shared" ref="T63:T91" si="34">BSCall(E63,$B$3, $B$6 - D63,$B$8,$B$5)</f>
        <v>0.3358552197046154</v>
      </c>
      <c r="U63" s="15">
        <f t="shared" si="29"/>
        <v>-4.7048758662167067E-3</v>
      </c>
    </row>
    <row r="64" spans="4:21" x14ac:dyDescent="0.25">
      <c r="D64" s="15">
        <v>0.17222222222222222</v>
      </c>
      <c r="E64" s="15">
        <v>63.328161321315449</v>
      </c>
      <c r="F64" s="15">
        <f t="shared" si="30"/>
        <v>0.30444300766775889</v>
      </c>
      <c r="G64" s="15">
        <f t="shared" si="31"/>
        <v>7.1221475045149668E-2</v>
      </c>
      <c r="H64" s="15">
        <f t="shared" si="19"/>
        <v>4.0847942620744357E-2</v>
      </c>
      <c r="I64" s="15">
        <f t="shared" si="20"/>
        <v>2.5739520494955714E-2</v>
      </c>
      <c r="J64" s="15">
        <f t="shared" si="32"/>
        <v>4.4431425591361942</v>
      </c>
      <c r="K64" s="15">
        <f t="shared" si="21"/>
        <v>10.739237507851733</v>
      </c>
      <c r="L64" s="15">
        <f t="shared" si="22"/>
        <v>11.928478157747914</v>
      </c>
      <c r="M64" s="15">
        <f t="shared" si="23"/>
        <v>-3.4871511501281991</v>
      </c>
      <c r="N64" s="15">
        <f t="shared" si="24"/>
        <v>2.7670086184825116</v>
      </c>
      <c r="O64" s="15">
        <f t="shared" si="25"/>
        <v>-3.0248275344441744</v>
      </c>
      <c r="P64" s="15">
        <f t="shared" si="26"/>
        <v>2.1717617784543655</v>
      </c>
      <c r="Q64" s="15">
        <f t="shared" si="33"/>
        <v>-0.14386711747214886</v>
      </c>
      <c r="R64" s="15">
        <f t="shared" si="27"/>
        <v>-9.1108400241088834</v>
      </c>
      <c r="S64" s="15">
        <f t="shared" si="28"/>
        <v>8.5622172757868338</v>
      </c>
      <c r="T64" s="15">
        <f t="shared" si="34"/>
        <v>0.30931109500157994</v>
      </c>
      <c r="U64" s="15">
        <f t="shared" si="29"/>
        <v>-4.8680873338210473E-3</v>
      </c>
    </row>
    <row r="65" spans="4:21" x14ac:dyDescent="0.25">
      <c r="D65" s="15">
        <v>0.17500000000000002</v>
      </c>
      <c r="E65" s="15">
        <v>62.545104617317598</v>
      </c>
      <c r="F65" s="15">
        <f t="shared" si="30"/>
        <v>0.17925309544658674</v>
      </c>
      <c r="G65" s="15">
        <f t="shared" si="31"/>
        <v>5.6215704996367195E-2</v>
      </c>
      <c r="H65" s="15">
        <f t="shared" si="19"/>
        <v>3.7814993564130588E-2</v>
      </c>
      <c r="I65" s="15">
        <f t="shared" si="20"/>
        <v>2.3956940852208359E-2</v>
      </c>
      <c r="J65" s="15">
        <f t="shared" si="32"/>
        <v>3.2986449073712549</v>
      </c>
      <c r="K65" s="15">
        <f t="shared" si="21"/>
        <v>9.615326460571481</v>
      </c>
      <c r="L65" s="15">
        <f t="shared" si="22"/>
        <v>10.777445802728858</v>
      </c>
      <c r="M65" s="15">
        <f t="shared" si="23"/>
        <v>-2.973196592035948</v>
      </c>
      <c r="N65" s="15">
        <f t="shared" si="24"/>
        <v>2.3465310259421202</v>
      </c>
      <c r="O65" s="15">
        <f t="shared" si="25"/>
        <v>-2.0769209361301808</v>
      </c>
      <c r="P65" s="15">
        <f t="shared" si="26"/>
        <v>1.5443668766522487</v>
      </c>
      <c r="Q65" s="15">
        <f t="shared" si="33"/>
        <v>-0.10670654611380648</v>
      </c>
      <c r="R65" s="15">
        <f t="shared" si="27"/>
        <v>-6.6739720900406505</v>
      </c>
      <c r="S65" s="15">
        <f t="shared" si="28"/>
        <v>6.3206711260093051</v>
      </c>
      <c r="T65" s="15">
        <f t="shared" si="34"/>
        <v>0.18517120191776038</v>
      </c>
      <c r="U65" s="15">
        <f t="shared" si="29"/>
        <v>-5.9181064711736342E-3</v>
      </c>
    </row>
    <row r="66" spans="4:21" x14ac:dyDescent="0.25">
      <c r="D66" s="15">
        <v>0.17777777777777778</v>
      </c>
      <c r="E66" s="15">
        <v>61.758102315298295</v>
      </c>
      <c r="F66" s="15">
        <f t="shared" si="30"/>
        <v>9.5669496897028417E-2</v>
      </c>
      <c r="G66" s="15">
        <f t="shared" si="31"/>
        <v>4.0955335284408693E-2</v>
      </c>
      <c r="H66" s="15">
        <f t="shared" ref="H66:H91" si="35">BSGreeks(E66,$B$13,$B$14 - D66,$B$8, $B$5,$G$1)</f>
        <v>3.4468478351887349E-2</v>
      </c>
      <c r="I66" s="15">
        <f t="shared" ref="I66:I91" si="36">BSGreeks(E66,$B$18,$B$19 - D66,$B$8, $B$5,$G$1)</f>
        <v>2.2094624536309251E-2</v>
      </c>
      <c r="J66" s="15">
        <f t="shared" si="32"/>
        <v>2.2563123153554359</v>
      </c>
      <c r="K66" s="15">
        <f t="shared" ref="K66:K91" si="37">BSGreeks(E66,$B$13,$B$14 - D66,$B$8, $B$5,$J$1)</f>
        <v>8.472185982227046</v>
      </c>
      <c r="L66" s="15">
        <f t="shared" ref="L66:L91" si="38">BSGreeks(E66,$B$18,$B$19 - D66,$B$8, $B$5,$J$1)</f>
        <v>9.6442670254132832</v>
      </c>
      <c r="M66" s="15">
        <f t="shared" ref="M66:M91" si="39">(-J66 + G66/I66*L66)/(K66-H66/I66*L66)</f>
        <v>-2.3763935771284861</v>
      </c>
      <c r="N66" s="15">
        <f t="shared" ref="N66:N91" si="40">(-G66-M66*H66)/I66</f>
        <v>1.8536334580886236</v>
      </c>
      <c r="O66" s="15">
        <f t="shared" ref="O66:O91" si="41">M66*BSCall(E66,$B$13,$B$14 - D66,$B$8,$B$5)</f>
        <v>-1.3169691994926893</v>
      </c>
      <c r="P66" s="15">
        <f t="shared" ref="P66:P91" si="42">N66*BSCall(E66,$B$18,$B$19 - D66,$B$8,$B$5)</f>
        <v>1.0135003914227703</v>
      </c>
      <c r="Q66" s="15">
        <f t="shared" si="33"/>
        <v>-7.2523941491196564E-2</v>
      </c>
      <c r="R66" s="15">
        <f t="shared" ref="R66:R91" si="43">Q66 * E66</f>
        <v>-4.4789409989220248</v>
      </c>
      <c r="S66" s="15">
        <f t="shared" ref="S66:S91" si="44">F66 - R66 + P66 + O66</f>
        <v>4.2711416877491342</v>
      </c>
      <c r="T66" s="15">
        <f t="shared" si="34"/>
        <v>0.10258196357536599</v>
      </c>
      <c r="U66" s="15">
        <f t="shared" ref="U66:U91" si="45">F66 - T66</f>
        <v>-6.9124666783375727E-3</v>
      </c>
    </row>
    <row r="67" spans="4:21" x14ac:dyDescent="0.25">
      <c r="D67" s="15">
        <v>0.18055555555555555</v>
      </c>
      <c r="E67" s="15">
        <v>61.149336555242364</v>
      </c>
      <c r="F67" s="15">
        <f t="shared" ref="F67:F98" si="46">E67 * Q66 - M66*BSCall(E67,$B$13,$B$14-D67,$B$8,$B$5) - N66*BSCall(E67,$B$18,$B$19-D67,$B$8,$B$5)+ S66 * EXP($B$8*(D67 - D66))</f>
        <v>5.1870102974977961E-2</v>
      </c>
      <c r="G67" s="15">
        <f t="shared" si="31"/>
        <v>2.9868861372850629E-2</v>
      </c>
      <c r="H67" s="15">
        <f t="shared" si="35"/>
        <v>3.172134861571245E-2</v>
      </c>
      <c r="I67" s="15">
        <f t="shared" si="36"/>
        <v>2.06140482917293E-2</v>
      </c>
      <c r="J67" s="15">
        <f t="shared" si="32"/>
        <v>1.5512066924403909</v>
      </c>
      <c r="K67" s="15">
        <f t="shared" si="37"/>
        <v>7.578102532860826</v>
      </c>
      <c r="L67" s="15">
        <f t="shared" si="38"/>
        <v>8.7786582825476618</v>
      </c>
      <c r="M67" s="15">
        <f t="shared" si="39"/>
        <v>-1.8832024914637946</v>
      </c>
      <c r="N67" s="15">
        <f t="shared" si="40"/>
        <v>1.4489566023202989</v>
      </c>
      <c r="O67" s="15">
        <f t="shared" si="41"/>
        <v>-0.86073575497485311</v>
      </c>
      <c r="P67" s="15">
        <f t="shared" si="42"/>
        <v>0.68070963561785602</v>
      </c>
      <c r="Q67" s="15">
        <f t="shared" si="33"/>
        <v>-5.0036147015847132E-2</v>
      </c>
      <c r="R67" s="15">
        <f t="shared" si="43"/>
        <v>-3.0596771937996223</v>
      </c>
      <c r="S67" s="15">
        <f t="shared" si="44"/>
        <v>2.9315211774176033</v>
      </c>
      <c r="T67" s="15">
        <f t="shared" si="34"/>
        <v>5.9774369277441106E-2</v>
      </c>
      <c r="U67" s="15">
        <f t="shared" si="45"/>
        <v>-7.9042663024631449E-3</v>
      </c>
    </row>
    <row r="68" spans="4:21" x14ac:dyDescent="0.25">
      <c r="D68" s="15">
        <v>0.18333333333333335</v>
      </c>
      <c r="E68" s="15">
        <v>60.079892915368845</v>
      </c>
      <c r="F68" s="15">
        <f t="shared" si="46"/>
        <v>1.3926703230197734E-2</v>
      </c>
      <c r="G68" s="15">
        <f t="shared" si="31"/>
        <v>1.5260100926695466E-2</v>
      </c>
      <c r="H68" s="15">
        <f t="shared" si="35"/>
        <v>2.6791200476337367E-2</v>
      </c>
      <c r="I68" s="15">
        <f t="shared" si="36"/>
        <v>1.8024065063565103E-2</v>
      </c>
      <c r="J68" s="15">
        <f t="shared" si="32"/>
        <v>0.73443682151583733</v>
      </c>
      <c r="K68" s="15">
        <f t="shared" si="37"/>
        <v>6.1246717849725609</v>
      </c>
      <c r="L68" s="15">
        <f t="shared" si="38"/>
        <v>7.3734155178382998</v>
      </c>
      <c r="M68" s="15">
        <f t="shared" si="39"/>
        <v>-1.1391875433259182</v>
      </c>
      <c r="N68" s="15">
        <f t="shared" si="40"/>
        <v>0.84665145586625334</v>
      </c>
      <c r="O68" s="15">
        <f t="shared" si="41"/>
        <v>-0.36700631902990288</v>
      </c>
      <c r="P68" s="15">
        <f t="shared" si="42"/>
        <v>0.30282882385088528</v>
      </c>
      <c r="Q68" s="15">
        <f t="shared" si="33"/>
        <v>-2.2914198046501952E-2</v>
      </c>
      <c r="R68" s="15">
        <f t="shared" si="43"/>
        <v>-1.3766825648753913</v>
      </c>
      <c r="S68" s="15">
        <f t="shared" si="44"/>
        <v>1.3264317729265716</v>
      </c>
      <c r="T68" s="15">
        <f t="shared" si="34"/>
        <v>2.1740058731724219E-2</v>
      </c>
      <c r="U68" s="15">
        <f t="shared" si="45"/>
        <v>-7.8133555015264845E-3</v>
      </c>
    </row>
    <row r="69" spans="4:21" x14ac:dyDescent="0.25">
      <c r="D69" s="15">
        <v>0.18611111111111112</v>
      </c>
      <c r="E69" s="15">
        <v>60.441966268966198</v>
      </c>
      <c r="F69" s="15">
        <f t="shared" si="46"/>
        <v>1.8614738446376844E-2</v>
      </c>
      <c r="G69" s="15">
        <f t="shared" si="31"/>
        <v>1.7948639197179494E-2</v>
      </c>
      <c r="H69" s="15">
        <f t="shared" si="35"/>
        <v>2.8350475419780714E-2</v>
      </c>
      <c r="I69" s="15">
        <f t="shared" si="36"/>
        <v>1.8835334006992631E-2</v>
      </c>
      <c r="J69" s="15">
        <f t="shared" si="32"/>
        <v>0.83784566449080455</v>
      </c>
      <c r="K69" s="15">
        <f t="shared" si="37"/>
        <v>6.5019474156757644</v>
      </c>
      <c r="L69" s="15">
        <f t="shared" si="38"/>
        <v>7.7602198841696097</v>
      </c>
      <c r="M69" s="15">
        <f t="shared" si="39"/>
        <v>-1.2661966990970714</v>
      </c>
      <c r="N69" s="15">
        <f t="shared" si="40"/>
        <v>0.9529238605758763</v>
      </c>
      <c r="O69" s="15">
        <f t="shared" si="41"/>
        <v>-0.45041888174955608</v>
      </c>
      <c r="P69" s="15">
        <f t="shared" si="42"/>
        <v>0.36932305912361024</v>
      </c>
      <c r="Q69" s="15">
        <f t="shared" si="33"/>
        <v>-2.8277044936168366E-2</v>
      </c>
      <c r="R69" s="15">
        <f t="shared" si="43"/>
        <v>-1.7091201962179299</v>
      </c>
      <c r="S69" s="15">
        <f t="shared" si="44"/>
        <v>1.6466391120383608</v>
      </c>
      <c r="T69" s="15">
        <f t="shared" si="34"/>
        <v>2.6044217007637455E-2</v>
      </c>
      <c r="U69" s="15">
        <f t="shared" si="45"/>
        <v>-7.4294785612606107E-3</v>
      </c>
    </row>
    <row r="70" spans="4:21" x14ac:dyDescent="0.25">
      <c r="D70" s="15">
        <v>0.18888888888888888</v>
      </c>
      <c r="E70" s="15">
        <v>60.497449914640242</v>
      </c>
      <c r="F70" s="15">
        <f t="shared" si="46"/>
        <v>1.6182530984511612E-2</v>
      </c>
      <c r="G70" s="15">
        <f t="shared" si="31"/>
        <v>1.7325333273671237E-2</v>
      </c>
      <c r="H70" s="15">
        <f t="shared" si="35"/>
        <v>2.8517474724226319E-2</v>
      </c>
      <c r="I70" s="15">
        <f t="shared" si="36"/>
        <v>1.8919593856829706E-2</v>
      </c>
      <c r="J70" s="15">
        <f t="shared" si="32"/>
        <v>0.77500750943114693</v>
      </c>
      <c r="K70" s="15">
        <f t="shared" si="37"/>
        <v>6.494275678079898</v>
      </c>
      <c r="L70" s="15">
        <f t="shared" si="38"/>
        <v>7.7707835287124079</v>
      </c>
      <c r="M70" s="15">
        <f t="shared" si="39"/>
        <v>-1.2150678446260135</v>
      </c>
      <c r="N70" s="15">
        <f t="shared" si="40"/>
        <v>0.91573494678465606</v>
      </c>
      <c r="O70" s="15">
        <f t="shared" si="41"/>
        <v>-0.43250957318316235</v>
      </c>
      <c r="P70" s="15">
        <f t="shared" si="42"/>
        <v>0.35608868720201625</v>
      </c>
      <c r="Q70" s="15">
        <f t="shared" si="33"/>
        <v>-2.7683014240334425E-2</v>
      </c>
      <c r="R70" s="15">
        <f t="shared" si="43"/>
        <v>-1.6747517674909045</v>
      </c>
      <c r="S70" s="15">
        <f t="shared" si="44"/>
        <v>1.6145134124942699</v>
      </c>
      <c r="T70" s="15">
        <f t="shared" si="34"/>
        <v>2.3645608987469341E-2</v>
      </c>
      <c r="U70" s="15">
        <f t="shared" si="45"/>
        <v>-7.4630780029577293E-3</v>
      </c>
    </row>
    <row r="71" spans="4:21" x14ac:dyDescent="0.25">
      <c r="D71" s="15">
        <v>0.19166666666666668</v>
      </c>
      <c r="E71" s="15">
        <v>60.598043753620011</v>
      </c>
      <c r="F71" s="15">
        <f t="shared" si="46"/>
        <v>1.4790876656275653E-2</v>
      </c>
      <c r="G71" s="15">
        <f t="shared" si="31"/>
        <v>1.7165458973760223E-2</v>
      </c>
      <c r="H71" s="15">
        <f t="shared" si="35"/>
        <v>2.8896670056050573E-2</v>
      </c>
      <c r="I71" s="15">
        <f t="shared" si="36"/>
        <v>1.9113097934348389E-2</v>
      </c>
      <c r="J71" s="15">
        <f t="shared" si="32"/>
        <v>0.73539287619805949</v>
      </c>
      <c r="K71" s="15">
        <f t="shared" si="37"/>
        <v>6.5435809825944524</v>
      </c>
      <c r="L71" s="15">
        <f t="shared" si="38"/>
        <v>7.8373969964106385</v>
      </c>
      <c r="M71" s="15">
        <f t="shared" si="39"/>
        <v>-1.188057927814143</v>
      </c>
      <c r="N71" s="15">
        <f t="shared" si="40"/>
        <v>0.8980992528119659</v>
      </c>
      <c r="O71" s="15">
        <f t="shared" si="41"/>
        <v>-0.42928218904814391</v>
      </c>
      <c r="P71" s="15">
        <f t="shared" si="42"/>
        <v>0.35434140413266862</v>
      </c>
      <c r="Q71" s="15">
        <f t="shared" si="33"/>
        <v>-2.7966323252426151E-2</v>
      </c>
      <c r="R71" s="15">
        <f t="shared" si="43"/>
        <v>-1.6947044800784006</v>
      </c>
      <c r="S71" s="15">
        <f t="shared" si="44"/>
        <v>1.6345545718192009</v>
      </c>
      <c r="T71" s="15">
        <f t="shared" si="34"/>
        <v>2.2217653907109208E-2</v>
      </c>
      <c r="U71" s="15">
        <f t="shared" si="45"/>
        <v>-7.4267772508335543E-3</v>
      </c>
    </row>
    <row r="72" spans="4:21" x14ac:dyDescent="0.25">
      <c r="D72" s="15">
        <v>0.19444444444444445</v>
      </c>
      <c r="E72" s="15">
        <v>60.100414190802063</v>
      </c>
      <c r="F72" s="15">
        <f t="shared" si="46"/>
        <v>3.3164350789645081E-3</v>
      </c>
      <c r="G72" s="15">
        <f t="shared" si="31"/>
        <v>1.0880598490132601E-2</v>
      </c>
      <c r="H72" s="15">
        <f t="shared" si="35"/>
        <v>2.6475148552578168E-2</v>
      </c>
      <c r="I72" s="15">
        <f t="shared" si="36"/>
        <v>1.7864939820945357E-2</v>
      </c>
      <c r="J72" s="15">
        <f t="shared" si="32"/>
        <v>0.43668191391996775</v>
      </c>
      <c r="K72" s="15">
        <f t="shared" si="37"/>
        <v>5.8440445196621935</v>
      </c>
      <c r="L72" s="15">
        <f t="shared" si="38"/>
        <v>7.1699145227629755</v>
      </c>
      <c r="M72" s="15">
        <f t="shared" si="39"/>
        <v>-0.82194805959440387</v>
      </c>
      <c r="N72" s="15">
        <f t="shared" si="40"/>
        <v>0.60904758701598849</v>
      </c>
      <c r="O72" s="15">
        <f t="shared" si="41"/>
        <v>-0.24810907561449988</v>
      </c>
      <c r="P72" s="15">
        <f t="shared" si="42"/>
        <v>0.20964676358938353</v>
      </c>
      <c r="Q72" s="15">
        <f t="shared" si="33"/>
        <v>-1.6881237027727113E-2</v>
      </c>
      <c r="R72" s="15">
        <f t="shared" si="43"/>
        <v>-1.0145693374195037</v>
      </c>
      <c r="S72" s="15">
        <f t="shared" si="44"/>
        <v>0.97942346047335183</v>
      </c>
      <c r="T72" s="15">
        <f t="shared" si="34"/>
        <v>1.1386139282661035E-2</v>
      </c>
      <c r="U72" s="15">
        <f t="shared" si="45"/>
        <v>-8.0697042036965271E-3</v>
      </c>
    </row>
    <row r="73" spans="4:21" x14ac:dyDescent="0.25">
      <c r="D73" s="15">
        <v>0.19722222222222224</v>
      </c>
      <c r="E73" s="15">
        <v>60.052224228228624</v>
      </c>
      <c r="F73" s="15">
        <f t="shared" si="46"/>
        <v>5.7882141981868696E-4</v>
      </c>
      <c r="G73" s="15">
        <f t="shared" si="31"/>
        <v>9.3267918910239257E-3</v>
      </c>
      <c r="H73" s="15">
        <f t="shared" si="35"/>
        <v>2.6140618260693051E-2</v>
      </c>
      <c r="I73" s="15">
        <f t="shared" si="36"/>
        <v>1.7695680801358797E-2</v>
      </c>
      <c r="J73" s="15">
        <f t="shared" si="32"/>
        <v>0.35503533407762777</v>
      </c>
      <c r="K73" s="15">
        <f t="shared" si="37"/>
        <v>5.7085793597434744</v>
      </c>
      <c r="L73" s="15">
        <f t="shared" si="38"/>
        <v>7.055146595399898</v>
      </c>
      <c r="M73" s="15">
        <f t="shared" si="39"/>
        <v>-0.71358617443630823</v>
      </c>
      <c r="N73" s="15">
        <f t="shared" si="40"/>
        <v>0.52706601095040961</v>
      </c>
      <c r="O73" s="15">
        <f t="shared" si="41"/>
        <v>-0.20804823790338403</v>
      </c>
      <c r="P73" s="15">
        <f t="shared" si="42"/>
        <v>0.17720999305697399</v>
      </c>
      <c r="Q73" s="15">
        <f t="shared" si="33"/>
        <v>-1.4503762543253682E-2</v>
      </c>
      <c r="R73" s="15">
        <f t="shared" si="43"/>
        <v>-0.87098320040045352</v>
      </c>
      <c r="S73" s="15">
        <f t="shared" si="44"/>
        <v>0.84072377697386214</v>
      </c>
      <c r="T73" s="15">
        <f t="shared" si="34"/>
        <v>8.8178424076100371E-3</v>
      </c>
      <c r="U73" s="15">
        <f t="shared" si="45"/>
        <v>-8.2390209877913501E-3</v>
      </c>
    </row>
    <row r="74" spans="4:21" x14ac:dyDescent="0.25">
      <c r="D74" s="15">
        <v>0.2</v>
      </c>
      <c r="E74" s="15">
        <v>60.474615816000856</v>
      </c>
      <c r="F74" s="15">
        <f t="shared" si="46"/>
        <v>3.3889814503338389E-3</v>
      </c>
      <c r="G74" s="15">
        <f t="shared" si="31"/>
        <v>1.1708785351695821E-2</v>
      </c>
      <c r="H74" s="15">
        <f t="shared" si="35"/>
        <v>2.8031483402866687E-2</v>
      </c>
      <c r="I74" s="15">
        <f t="shared" si="36"/>
        <v>1.8664506045396261E-2</v>
      </c>
      <c r="J74" s="15">
        <f t="shared" si="32"/>
        <v>0.428211257548054</v>
      </c>
      <c r="K74" s="15">
        <f t="shared" si="37"/>
        <v>6.1509694122834659</v>
      </c>
      <c r="L74" s="15">
        <f t="shared" si="38"/>
        <v>7.508538675585438</v>
      </c>
      <c r="M74" s="15">
        <f t="shared" si="39"/>
        <v>-0.8354024782361964</v>
      </c>
      <c r="N74" s="15">
        <f t="shared" si="40"/>
        <v>0.62732896992920295</v>
      </c>
      <c r="O74" s="15">
        <f t="shared" si="41"/>
        <v>-0.27509903801623359</v>
      </c>
      <c r="P74" s="15">
        <f t="shared" si="42"/>
        <v>0.23238910541380622</v>
      </c>
      <c r="Q74" s="15">
        <f t="shared" si="33"/>
        <v>-1.9285409784686243E-2</v>
      </c>
      <c r="R74" s="15">
        <f t="shared" si="43"/>
        <v>-1.1662777475830444</v>
      </c>
      <c r="S74" s="15">
        <f t="shared" si="44"/>
        <v>1.1269567964309508</v>
      </c>
      <c r="T74" s="15">
        <f t="shared" si="34"/>
        <v>1.1258195243872244E-2</v>
      </c>
      <c r="U74" s="15">
        <f t="shared" si="45"/>
        <v>-7.869213793538405E-3</v>
      </c>
    </row>
    <row r="75" spans="4:21" x14ac:dyDescent="0.25">
      <c r="D75" s="15">
        <v>0.20277777777777778</v>
      </c>
      <c r="E75" s="15">
        <v>60.911909794933891</v>
      </c>
      <c r="F75" s="15">
        <f t="shared" si="46"/>
        <v>7.1966129748286534E-3</v>
      </c>
      <c r="G75" s="15">
        <f t="shared" si="31"/>
        <v>1.4849736480062929E-2</v>
      </c>
      <c r="H75" s="15">
        <f t="shared" si="35"/>
        <v>3.0038053834813793E-2</v>
      </c>
      <c r="I75" s="15">
        <f t="shared" si="36"/>
        <v>1.9684590170318386E-2</v>
      </c>
      <c r="J75" s="15">
        <f t="shared" si="32"/>
        <v>0.52035483677521788</v>
      </c>
      <c r="K75" s="15">
        <f t="shared" si="37"/>
        <v>6.6250246198098512</v>
      </c>
      <c r="L75" s="15">
        <f t="shared" si="38"/>
        <v>7.9932708831986909</v>
      </c>
      <c r="M75" s="15">
        <f t="shared" si="39"/>
        <v>-0.98872826859723029</v>
      </c>
      <c r="N75" s="15">
        <f t="shared" si="40"/>
        <v>0.75438382773415491</v>
      </c>
      <c r="O75" s="15">
        <f t="shared" si="41"/>
        <v>-0.36860939240511287</v>
      </c>
      <c r="P75" s="15">
        <f t="shared" si="42"/>
        <v>0.30850611231346536</v>
      </c>
      <c r="Q75" s="15">
        <f t="shared" si="33"/>
        <v>-2.5968465318466444E-2</v>
      </c>
      <c r="R75" s="15">
        <f t="shared" si="43"/>
        <v>-1.5817888169912973</v>
      </c>
      <c r="S75" s="15">
        <f t="shared" si="44"/>
        <v>1.5288821498744785</v>
      </c>
      <c r="T75" s="15">
        <f t="shared" si="34"/>
        <v>1.4575751363556357E-2</v>
      </c>
      <c r="U75" s="15">
        <f t="shared" si="45"/>
        <v>-7.3791383887277032E-3</v>
      </c>
    </row>
    <row r="76" spans="4:21" x14ac:dyDescent="0.25">
      <c r="D76" s="15">
        <v>0.20555555555555557</v>
      </c>
      <c r="E76" s="15">
        <v>60.750175861907259</v>
      </c>
      <c r="F76" s="15">
        <f t="shared" si="46"/>
        <v>1.8780204077328833E-3</v>
      </c>
      <c r="G76" s="15">
        <f t="shared" si="31"/>
        <v>1.1459171026844904E-2</v>
      </c>
      <c r="H76" s="15">
        <f t="shared" si="35"/>
        <v>2.9162691012699863E-2</v>
      </c>
      <c r="I76" s="15">
        <f t="shared" si="36"/>
        <v>1.9237643569720807E-2</v>
      </c>
      <c r="J76" s="15">
        <f t="shared" si="32"/>
        <v>0.3759202819890034</v>
      </c>
      <c r="K76" s="15">
        <f t="shared" si="37"/>
        <v>6.3380554664318254</v>
      </c>
      <c r="L76" s="15">
        <f t="shared" si="38"/>
        <v>7.7309082513690113</v>
      </c>
      <c r="M76" s="15">
        <f t="shared" si="39"/>
        <v>-0.78587884923614382</v>
      </c>
      <c r="N76" s="15">
        <f t="shared" si="40"/>
        <v>0.59566396400446464</v>
      </c>
      <c r="O76" s="15">
        <f t="shared" si="41"/>
        <v>-0.2731602462572959</v>
      </c>
      <c r="P76" s="15">
        <f t="shared" si="42"/>
        <v>0.23147303735806177</v>
      </c>
      <c r="Q76" s="15">
        <f t="shared" si="33"/>
        <v>-1.9842765610484862E-2</v>
      </c>
      <c r="R76" s="15">
        <f t="shared" si="43"/>
        <v>-1.2054515004235609</v>
      </c>
      <c r="S76" s="15">
        <f t="shared" si="44"/>
        <v>1.1656423119320596</v>
      </c>
      <c r="T76" s="15">
        <f t="shared" si="34"/>
        <v>9.6847925794114019E-3</v>
      </c>
      <c r="U76" s="15">
        <f t="shared" si="45"/>
        <v>-7.8067721716785186E-3</v>
      </c>
    </row>
    <row r="77" spans="4:21" x14ac:dyDescent="0.25">
      <c r="D77" s="15">
        <v>0.20833333333333334</v>
      </c>
      <c r="E77" s="15">
        <v>61.584971748908835</v>
      </c>
      <c r="F77" s="15">
        <f t="shared" si="46"/>
        <v>1.254186876956731E-2</v>
      </c>
      <c r="G77" s="15">
        <f t="shared" si="31"/>
        <v>2.031513628097496E-2</v>
      </c>
      <c r="H77" s="15">
        <f t="shared" si="35"/>
        <v>3.3162932062921958E-2</v>
      </c>
      <c r="I77" s="15">
        <f t="shared" si="36"/>
        <v>2.1258274060968304E-2</v>
      </c>
      <c r="J77" s="15">
        <f t="shared" si="32"/>
        <v>0.64207829195914501</v>
      </c>
      <c r="K77" s="15">
        <f t="shared" si="37"/>
        <v>7.3370116432255301</v>
      </c>
      <c r="L77" s="15">
        <f t="shared" si="38"/>
        <v>8.7345312103090276</v>
      </c>
      <c r="M77" s="15">
        <f t="shared" si="39"/>
        <v>-1.22517129923433</v>
      </c>
      <c r="N77" s="15">
        <f t="shared" si="40"/>
        <v>0.95563432020452599</v>
      </c>
      <c r="O77" s="15">
        <f t="shared" si="41"/>
        <v>-0.54593024418341241</v>
      </c>
      <c r="P77" s="15">
        <f t="shared" si="42"/>
        <v>0.45132637526067609</v>
      </c>
      <c r="Q77" s="15">
        <f t="shared" si="33"/>
        <v>-3.9195302604160945E-2</v>
      </c>
      <c r="R77" s="15">
        <f t="shared" si="43"/>
        <v>-2.4138416035671848</v>
      </c>
      <c r="S77" s="15">
        <f t="shared" si="44"/>
        <v>2.3317796034140161</v>
      </c>
      <c r="T77" s="15">
        <f t="shared" si="34"/>
        <v>1.955211637781519E-2</v>
      </c>
      <c r="U77" s="15">
        <f t="shared" si="45"/>
        <v>-7.0102476082478798E-3</v>
      </c>
    </row>
    <row r="78" spans="4:21" x14ac:dyDescent="0.25">
      <c r="D78" s="15">
        <v>0.21111111111111111</v>
      </c>
      <c r="E78" s="15">
        <v>62.017439341214086</v>
      </c>
      <c r="F78" s="15">
        <f t="shared" si="46"/>
        <v>1.8951148165160969E-2</v>
      </c>
      <c r="G78" s="15">
        <f t="shared" si="31"/>
        <v>2.5630826928223598E-2</v>
      </c>
      <c r="H78" s="15">
        <f t="shared" si="35"/>
        <v>3.5221211199018637E-2</v>
      </c>
      <c r="I78" s="15">
        <f t="shared" si="36"/>
        <v>2.2293318375516714E-2</v>
      </c>
      <c r="J78" s="15">
        <f t="shared" si="32"/>
        <v>0.76673592033519078</v>
      </c>
      <c r="K78" s="15">
        <f t="shared" si="37"/>
        <v>7.826954007378454</v>
      </c>
      <c r="L78" s="15">
        <f t="shared" si="38"/>
        <v>9.2412688322259395</v>
      </c>
      <c r="M78" s="15">
        <f t="shared" si="39"/>
        <v>-1.4554199617608692</v>
      </c>
      <c r="N78" s="15">
        <f t="shared" si="40"/>
        <v>1.1497089171064034</v>
      </c>
      <c r="O78" s="15">
        <f t="shared" si="41"/>
        <v>-0.72856919905940676</v>
      </c>
      <c r="P78" s="15">
        <f t="shared" si="42"/>
        <v>0.59606672755233048</v>
      </c>
      <c r="Q78" s="15">
        <f t="shared" si="33"/>
        <v>-5.2585680152588105E-2</v>
      </c>
      <c r="R78" s="15">
        <f t="shared" si="43"/>
        <v>-3.2612292290796181</v>
      </c>
      <c r="S78" s="15">
        <f t="shared" si="44"/>
        <v>3.1476779057377025</v>
      </c>
      <c r="T78" s="15">
        <f t="shared" si="34"/>
        <v>2.5066732265474151E-2</v>
      </c>
      <c r="U78" s="15">
        <f t="shared" si="45"/>
        <v>-6.1155841003131817E-3</v>
      </c>
    </row>
    <row r="79" spans="4:21" x14ac:dyDescent="0.25">
      <c r="D79" s="15">
        <v>0.21388888888888891</v>
      </c>
      <c r="E79" s="15">
        <v>61.137881975409911</v>
      </c>
      <c r="F79" s="15">
        <f t="shared" si="46"/>
        <v>-7.6540344053910303E-5</v>
      </c>
      <c r="G79" s="15">
        <f t="shared" si="31"/>
        <v>1.0232528048724506E-2</v>
      </c>
      <c r="H79" s="15">
        <f t="shared" si="35"/>
        <v>3.0798635392616319E-2</v>
      </c>
      <c r="I79" s="15">
        <f t="shared" si="36"/>
        <v>2.0052437149094365E-2</v>
      </c>
      <c r="J79" s="15">
        <f t="shared" si="32"/>
        <v>0.27623236989432642</v>
      </c>
      <c r="K79" s="15">
        <f t="shared" si="37"/>
        <v>6.5874445490874418</v>
      </c>
      <c r="L79" s="15">
        <f t="shared" si="38"/>
        <v>8.0366072739854548</v>
      </c>
      <c r="M79" s="15">
        <f t="shared" si="39"/>
        <v>-0.66447931333851629</v>
      </c>
      <c r="N79" s="15">
        <f t="shared" si="40"/>
        <v>0.51028849873176862</v>
      </c>
      <c r="O79" s="15">
        <f t="shared" si="41"/>
        <v>-0.24824996420850698</v>
      </c>
      <c r="P79" s="15">
        <f t="shared" si="42"/>
        <v>0.21156290377299011</v>
      </c>
      <c r="Q79" s="15">
        <f t="shared" si="33"/>
        <v>-1.9107824045774095E-2</v>
      </c>
      <c r="R79" s="15">
        <f t="shared" si="43"/>
        <v>-1.1682118913174362</v>
      </c>
      <c r="S79" s="15">
        <f t="shared" si="44"/>
        <v>1.1314482905378653</v>
      </c>
      <c r="T79" s="15">
        <f t="shared" si="34"/>
        <v>6.7365175888201775E-3</v>
      </c>
      <c r="U79" s="15">
        <f t="shared" si="45"/>
        <v>-6.8130579328740878E-3</v>
      </c>
    </row>
    <row r="80" spans="4:21" x14ac:dyDescent="0.25">
      <c r="D80" s="15">
        <v>0.21666666666666667</v>
      </c>
      <c r="E80" s="15">
        <v>61.362280160334144</v>
      </c>
      <c r="F80" s="15">
        <f t="shared" si="46"/>
        <v>-1.0866278496401982E-4</v>
      </c>
      <c r="G80" s="15">
        <f t="shared" si="31"/>
        <v>1.0627018514858515E-2</v>
      </c>
      <c r="H80" s="15">
        <f t="shared" si="35"/>
        <v>3.1840848706593303E-2</v>
      </c>
      <c r="I80" s="15">
        <f t="shared" si="36"/>
        <v>2.056809253826326E-2</v>
      </c>
      <c r="J80" s="15">
        <f t="shared" si="32"/>
        <v>0.26676150353130001</v>
      </c>
      <c r="K80" s="15">
        <f t="shared" si="37"/>
        <v>6.7938394606034818</v>
      </c>
      <c r="L80" s="15">
        <f t="shared" si="38"/>
        <v>8.2608687019509812</v>
      </c>
      <c r="M80" s="15">
        <f t="shared" si="39"/>
        <v>-0.66750849594395245</v>
      </c>
      <c r="N80" s="15">
        <f t="shared" si="40"/>
        <v>0.51667496609560915</v>
      </c>
      <c r="O80" s="15">
        <f t="shared" si="41"/>
        <v>-0.26338653316220156</v>
      </c>
      <c r="P80" s="15">
        <f t="shared" si="42"/>
        <v>0.22406850723796781</v>
      </c>
      <c r="Q80" s="15">
        <f t="shared" si="33"/>
        <v>-2.0609895438357888E-2</v>
      </c>
      <c r="R80" s="15">
        <f t="shared" si="43"/>
        <v>-1.2646701779637095</v>
      </c>
      <c r="S80" s="15">
        <f t="shared" si="44"/>
        <v>1.2252434892545117</v>
      </c>
      <c r="T80" s="15">
        <f t="shared" si="34"/>
        <v>6.5109907461458234E-3</v>
      </c>
      <c r="U80" s="15">
        <f t="shared" si="45"/>
        <v>-6.6196535311098433E-3</v>
      </c>
    </row>
    <row r="81" spans="4:21" x14ac:dyDescent="0.25">
      <c r="D81" s="15">
        <v>0.21944444444444444</v>
      </c>
      <c r="E81" s="15">
        <v>61.728680759859138</v>
      </c>
      <c r="F81" s="15">
        <f t="shared" si="46"/>
        <v>1.4011778960252297E-3</v>
      </c>
      <c r="G81" s="15">
        <f t="shared" si="31"/>
        <v>1.2754657862145677E-2</v>
      </c>
      <c r="H81" s="15">
        <f t="shared" si="35"/>
        <v>3.3619983486848651E-2</v>
      </c>
      <c r="I81" s="15">
        <f t="shared" si="36"/>
        <v>2.1447483271124657E-2</v>
      </c>
      <c r="J81" s="15">
        <f t="shared" si="32"/>
        <v>0.29700446917339934</v>
      </c>
      <c r="K81" s="15">
        <f t="shared" si="37"/>
        <v>7.1882033654064914</v>
      </c>
      <c r="L81" s="15">
        <f t="shared" si="38"/>
        <v>8.671838693987084</v>
      </c>
      <c r="M81" s="15">
        <f t="shared" si="39"/>
        <v>-0.75875455840928685</v>
      </c>
      <c r="N81" s="15">
        <f t="shared" si="40"/>
        <v>0.59469251943968815</v>
      </c>
      <c r="O81" s="15">
        <f t="shared" si="41"/>
        <v>-0.33063740811475484</v>
      </c>
      <c r="P81" s="15">
        <f t="shared" si="42"/>
        <v>0.27917583614125924</v>
      </c>
      <c r="Q81" s="15">
        <f t="shared" si="33"/>
        <v>-2.6164111301776927E-2</v>
      </c>
      <c r="R81" s="15">
        <f t="shared" si="43"/>
        <v>-1.6150760739128105</v>
      </c>
      <c r="S81" s="15">
        <f t="shared" si="44"/>
        <v>1.5650156798353403</v>
      </c>
      <c r="T81" s="15">
        <f t="shared" si="34"/>
        <v>7.535807837290495E-3</v>
      </c>
      <c r="U81" s="15">
        <f t="shared" si="45"/>
        <v>-6.1346299412652653E-3</v>
      </c>
    </row>
    <row r="82" spans="4:21" x14ac:dyDescent="0.25">
      <c r="D82" s="15">
        <v>0.22222222222222224</v>
      </c>
      <c r="E82" s="15">
        <v>60.330897354958005</v>
      </c>
      <c r="F82" s="15">
        <f t="shared" si="46"/>
        <v>-3.6089730366659634E-3</v>
      </c>
      <c r="G82" s="15">
        <f t="shared" si="31"/>
        <v>1.5483083123606317E-3</v>
      </c>
      <c r="H82" s="15">
        <f t="shared" si="35"/>
        <v>2.6411361457050624E-2</v>
      </c>
      <c r="I82" s="15">
        <f t="shared" si="36"/>
        <v>1.7874712363785697E-2</v>
      </c>
      <c r="J82" s="15">
        <f t="shared" si="32"/>
        <v>3.1308662158549022E-2</v>
      </c>
      <c r="K82" s="15">
        <f t="shared" si="37"/>
        <v>5.3406959479884213</v>
      </c>
      <c r="L82" s="15">
        <f t="shared" si="38"/>
        <v>6.8675167575567908</v>
      </c>
      <c r="M82" s="15">
        <f t="shared" si="39"/>
        <v>-0.11724562665036752</v>
      </c>
      <c r="N82" s="15">
        <f t="shared" si="40"/>
        <v>8.6620040694893471E-2</v>
      </c>
      <c r="O82" s="15">
        <f t="shared" si="41"/>
        <v>-3.1482719732423517E-2</v>
      </c>
      <c r="P82" s="15">
        <f t="shared" si="42"/>
        <v>2.8246933549211876E-2</v>
      </c>
      <c r="Q82" s="15">
        <f t="shared" si="33"/>
        <v>-2.6946819049725942E-3</v>
      </c>
      <c r="R82" s="15">
        <f t="shared" si="43"/>
        <v>-0.16257257741316428</v>
      </c>
      <c r="S82" s="15">
        <f t="shared" si="44"/>
        <v>0.15572781819328668</v>
      </c>
      <c r="T82" s="15">
        <f t="shared" si="34"/>
        <v>5.037999369768122E-4</v>
      </c>
      <c r="U82" s="15">
        <f t="shared" si="45"/>
        <v>-4.1127729736427756E-3</v>
      </c>
    </row>
    <row r="83" spans="4:21" x14ac:dyDescent="0.25">
      <c r="D83" s="15">
        <v>0.22500000000000001</v>
      </c>
      <c r="E83" s="15">
        <v>60.223267036249766</v>
      </c>
      <c r="F83" s="15">
        <f t="shared" si="46"/>
        <v>-4.0038190738049262E-3</v>
      </c>
      <c r="G83" s="15">
        <f t="shared" si="31"/>
        <v>7.8255779766565816E-4</v>
      </c>
      <c r="H83" s="15">
        <f t="shared" si="35"/>
        <v>2.5737215500072221E-2</v>
      </c>
      <c r="I83" s="15">
        <f t="shared" si="36"/>
        <v>1.75480956380933E-2</v>
      </c>
      <c r="J83" s="15">
        <f t="shared" si="32"/>
        <v>1.4191067019457829E-2</v>
      </c>
      <c r="K83" s="15">
        <f t="shared" si="37"/>
        <v>5.1339646254854552</v>
      </c>
      <c r="L83" s="15">
        <f t="shared" si="38"/>
        <v>6.6826376813883304</v>
      </c>
      <c r="M83" s="15">
        <f t="shared" si="39"/>
        <v>-6.0811380132669172E-2</v>
      </c>
      <c r="N83" s="15">
        <f t="shared" si="40"/>
        <v>4.4595026936534755E-2</v>
      </c>
      <c r="O83" s="15">
        <f t="shared" si="41"/>
        <v>-1.5391486746448682E-2</v>
      </c>
      <c r="P83" s="15">
        <f t="shared" si="42"/>
        <v>1.3968050961908738E-2</v>
      </c>
      <c r="Q83" s="15">
        <f t="shared" si="33"/>
        <v>-1.3565001432733733E-3</v>
      </c>
      <c r="R83" s="15">
        <f t="shared" si="43"/>
        <v>-8.1692870363063427E-2</v>
      </c>
      <c r="S83" s="15">
        <f t="shared" si="44"/>
        <v>7.6265615504718567E-2</v>
      </c>
      <c r="T83" s="15">
        <f t="shared" si="34"/>
        <v>2.0361945469858818E-4</v>
      </c>
      <c r="U83" s="15">
        <f t="shared" si="45"/>
        <v>-4.2074385285035144E-3</v>
      </c>
    </row>
    <row r="84" spans="4:21" x14ac:dyDescent="0.25">
      <c r="D84" s="15">
        <v>0.22777777777777777</v>
      </c>
      <c r="E84" s="15">
        <v>60.068372177987669</v>
      </c>
      <c r="F84" s="15">
        <f t="shared" si="46"/>
        <v>-4.2097584928170728E-3</v>
      </c>
      <c r="G84" s="15">
        <f t="shared" si="31"/>
        <v>2.9978017213236027E-4</v>
      </c>
      <c r="H84" s="15">
        <f t="shared" si="35"/>
        <v>2.4818053111502845E-2</v>
      </c>
      <c r="I84" s="15">
        <f t="shared" si="36"/>
        <v>1.7102534376870558E-2</v>
      </c>
      <c r="J84" s="15">
        <f t="shared" si="32"/>
        <v>4.807420514976078E-3</v>
      </c>
      <c r="K84" s="15">
        <f t="shared" si="37"/>
        <v>4.875430906792074</v>
      </c>
      <c r="L84" s="15">
        <f t="shared" si="38"/>
        <v>6.4452169730258566</v>
      </c>
      <c r="M84" s="15">
        <f t="shared" si="39"/>
        <v>-2.4158234393770087E-2</v>
      </c>
      <c r="N84" s="15">
        <f t="shared" si="40"/>
        <v>1.7528406347645336E-2</v>
      </c>
      <c r="O84" s="15">
        <f t="shared" si="41"/>
        <v>-5.6588242944158639E-3</v>
      </c>
      <c r="P84" s="15">
        <f t="shared" si="42"/>
        <v>5.2042628652256553E-3</v>
      </c>
      <c r="Q84" s="15">
        <f t="shared" si="33"/>
        <v>-5.1433520858148486E-4</v>
      </c>
      <c r="R84" s="15">
        <f t="shared" si="43"/>
        <v>-3.0895278733315549E-2</v>
      </c>
      <c r="S84" s="15">
        <f t="shared" si="44"/>
        <v>2.6230958811308266E-2</v>
      </c>
      <c r="T84" s="15">
        <f t="shared" si="34"/>
        <v>6.0011846795842802E-5</v>
      </c>
      <c r="U84" s="15">
        <f t="shared" si="45"/>
        <v>-4.2697703396129159E-3</v>
      </c>
    </row>
    <row r="85" spans="4:21" x14ac:dyDescent="0.25">
      <c r="D85" s="15">
        <v>0.23055555555555557</v>
      </c>
      <c r="E85" s="15">
        <v>59.693114960832112</v>
      </c>
      <c r="F85" s="15">
        <f t="shared" si="46"/>
        <v>-4.2948972865807233E-3</v>
      </c>
      <c r="G85" s="15">
        <f t="shared" si="31"/>
        <v>5.0309912171658E-5</v>
      </c>
      <c r="H85" s="15">
        <f t="shared" si="35"/>
        <v>2.2800381967375358E-2</v>
      </c>
      <c r="I85" s="15">
        <f t="shared" si="36"/>
        <v>1.6113104394109484E-2</v>
      </c>
      <c r="J85" s="15">
        <f t="shared" si="32"/>
        <v>6.9715216200891728E-4</v>
      </c>
      <c r="K85" s="15">
        <f t="shared" si="37"/>
        <v>4.3781419293056176</v>
      </c>
      <c r="L85" s="15">
        <f t="shared" si="38"/>
        <v>5.9648126411040705</v>
      </c>
      <c r="M85" s="15">
        <f t="shared" si="39"/>
        <v>-4.4130762584280846E-3</v>
      </c>
      <c r="N85" s="15">
        <f t="shared" si="40"/>
        <v>3.1222979098956224E-3</v>
      </c>
      <c r="O85" s="15">
        <f t="shared" si="41"/>
        <v>-8.7969817665028429E-4</v>
      </c>
      <c r="P85" s="15">
        <f t="shared" si="42"/>
        <v>8.2658985007742108E-4</v>
      </c>
      <c r="Q85" s="15">
        <f t="shared" si="33"/>
        <v>-8.298007042402411E-5</v>
      </c>
      <c r="R85" s="15">
        <f t="shared" si="43"/>
        <v>-4.9533388832792161E-3</v>
      </c>
      <c r="S85" s="15">
        <f t="shared" si="44"/>
        <v>6.0533327012562965E-4</v>
      </c>
      <c r="T85" s="15">
        <f t="shared" si="34"/>
        <v>7.0438299845030695E-6</v>
      </c>
      <c r="U85" s="15">
        <f t="shared" si="45"/>
        <v>-4.3019411165652263E-3</v>
      </c>
    </row>
    <row r="86" spans="4:21" x14ac:dyDescent="0.25">
      <c r="D86" s="15">
        <v>0.23333333333333334</v>
      </c>
      <c r="E86" s="15">
        <v>61.067513978105268</v>
      </c>
      <c r="F86" s="15">
        <f t="shared" si="46"/>
        <v>-4.2296303265365268E-3</v>
      </c>
      <c r="G86" s="15">
        <f t="shared" si="31"/>
        <v>4.3600623049088307E-4</v>
      </c>
      <c r="H86" s="15">
        <f t="shared" si="35"/>
        <v>2.9728760289531111E-2</v>
      </c>
      <c r="I86" s="15">
        <f t="shared" si="36"/>
        <v>1.9516508058913466E-2</v>
      </c>
      <c r="J86" s="15">
        <f t="shared" si="32"/>
        <v>5.4199080862496812E-3</v>
      </c>
      <c r="K86" s="15">
        <f t="shared" si="37"/>
        <v>5.9128383777819344</v>
      </c>
      <c r="L86" s="15">
        <f t="shared" si="38"/>
        <v>7.5207826077804034</v>
      </c>
      <c r="M86" s="15">
        <f t="shared" si="39"/>
        <v>-2.9332284713158473E-2</v>
      </c>
      <c r="N86" s="15">
        <f t="shared" si="40"/>
        <v>2.2340381239037928E-2</v>
      </c>
      <c r="O86" s="15">
        <f t="shared" si="41"/>
        <v>-9.3695698798219457E-3</v>
      </c>
      <c r="P86" s="15">
        <f t="shared" si="42"/>
        <v>8.4234702249098466E-3</v>
      </c>
      <c r="Q86" s="15">
        <f t="shared" si="33"/>
        <v>-8.7156587790364814E-4</v>
      </c>
      <c r="R86" s="15">
        <f t="shared" si="43"/>
        <v>-5.3224361431720622E-2</v>
      </c>
      <c r="S86" s="15">
        <f t="shared" si="44"/>
        <v>4.8048631450271995E-2</v>
      </c>
      <c r="T86" s="15">
        <f t="shared" si="34"/>
        <v>6.9925028506299892E-5</v>
      </c>
      <c r="U86" s="15">
        <f t="shared" si="45"/>
        <v>-4.2995553550428268E-3</v>
      </c>
    </row>
    <row r="87" spans="4:21" x14ac:dyDescent="0.25">
      <c r="D87" s="15">
        <v>0.23611111111111113</v>
      </c>
      <c r="E87" s="15">
        <v>61.617958961643836</v>
      </c>
      <c r="F87" s="15">
        <f t="shared" si="46"/>
        <v>-4.1662390370060462E-3</v>
      </c>
      <c r="G87" s="15">
        <f t="shared" si="31"/>
        <v>5.3780400836292029E-4</v>
      </c>
      <c r="H87" s="15">
        <f t="shared" si="35"/>
        <v>3.2569907889079874E-2</v>
      </c>
      <c r="I87" s="15">
        <f t="shared" si="36"/>
        <v>2.0888162419517634E-2</v>
      </c>
      <c r="J87" s="15">
        <f t="shared" si="32"/>
        <v>5.6719990736122765E-3</v>
      </c>
      <c r="K87" s="15">
        <f t="shared" si="37"/>
        <v>6.5265286341020747</v>
      </c>
      <c r="L87" s="15">
        <f t="shared" si="38"/>
        <v>8.1510597427187506</v>
      </c>
      <c r="M87" s="15">
        <f t="shared" si="39"/>
        <v>-3.3024594984699757E-2</v>
      </c>
      <c r="N87" s="15">
        <f t="shared" si="40"/>
        <v>2.5746831988456897E-2</v>
      </c>
      <c r="O87" s="15">
        <f t="shared" si="41"/>
        <v>-1.2456258649666378E-2</v>
      </c>
      <c r="P87" s="15">
        <f t="shared" si="42"/>
        <v>1.1036701637948248E-2</v>
      </c>
      <c r="Q87" s="15">
        <f t="shared" si="33"/>
        <v>-1.172061403450208E-3</v>
      </c>
      <c r="R87" s="15">
        <f t="shared" si="43"/>
        <v>-7.2220031458321593E-2</v>
      </c>
      <c r="S87" s="15">
        <f t="shared" si="44"/>
        <v>6.6634235409597412E-2</v>
      </c>
      <c r="T87" s="15">
        <f t="shared" si="34"/>
        <v>7.4469000570088215E-5</v>
      </c>
      <c r="U87" s="15">
        <f t="shared" si="45"/>
        <v>-4.2407080375761342E-3</v>
      </c>
    </row>
    <row r="88" spans="4:21" x14ac:dyDescent="0.25">
      <c r="D88" s="15">
        <v>0.2388888888888889</v>
      </c>
      <c r="E88" s="15">
        <v>61.954038275395583</v>
      </c>
      <c r="F88" s="15">
        <f t="shared" si="46"/>
        <v>-4.1894402959188615E-3</v>
      </c>
      <c r="G88" s="15">
        <f t="shared" si="31"/>
        <v>3.3115647021182774E-4</v>
      </c>
      <c r="H88" s="15">
        <f t="shared" si="35"/>
        <v>3.4301859813106586E-2</v>
      </c>
      <c r="I88" s="15">
        <f t="shared" si="36"/>
        <v>2.1716289987717775E-2</v>
      </c>
      <c r="J88" s="15">
        <f t="shared" si="32"/>
        <v>2.8246196139280139E-3</v>
      </c>
      <c r="K88" s="15">
        <f t="shared" si="37"/>
        <v>6.8756261656848761</v>
      </c>
      <c r="L88" s="15">
        <f t="shared" si="38"/>
        <v>8.5206002337314661</v>
      </c>
      <c r="M88" s="15">
        <f t="shared" si="39"/>
        <v>-1.9308368235199561E-2</v>
      </c>
      <c r="N88" s="15">
        <f t="shared" si="40"/>
        <v>1.5249219383196771E-2</v>
      </c>
      <c r="O88" s="15">
        <f t="shared" si="41"/>
        <v>-7.9837129444572698E-3</v>
      </c>
      <c r="P88" s="15">
        <f t="shared" si="42"/>
        <v>7.0290444793837661E-3</v>
      </c>
      <c r="Q88" s="15">
        <f t="shared" si="33"/>
        <v>-7.661502228944433E-4</v>
      </c>
      <c r="R88" s="15">
        <f t="shared" si="43"/>
        <v>-4.7466100233905198E-2</v>
      </c>
      <c r="S88" s="15">
        <f t="shared" si="44"/>
        <v>4.2321991472912837E-2</v>
      </c>
      <c r="T88" s="15">
        <f t="shared" si="34"/>
        <v>3.4384149012331081E-5</v>
      </c>
      <c r="U88" s="15">
        <f t="shared" si="45"/>
        <v>-4.2238244449311927E-3</v>
      </c>
    </row>
    <row r="89" spans="4:21" x14ac:dyDescent="0.25">
      <c r="D89" s="15">
        <v>0.24166666666666667</v>
      </c>
      <c r="E89" s="15">
        <v>61.82093122020293</v>
      </c>
      <c r="F89" s="15">
        <f t="shared" si="46"/>
        <v>-4.2698860735677774E-3</v>
      </c>
      <c r="G89" s="15">
        <f t="shared" si="31"/>
        <v>2.3088418457769656E-5</v>
      </c>
      <c r="H89" s="15">
        <f t="shared" si="35"/>
        <v>3.3493983896038151E-2</v>
      </c>
      <c r="I89" s="15">
        <f t="shared" si="36"/>
        <v>2.132140574413828E-2</v>
      </c>
      <c r="J89" s="15">
        <f t="shared" si="32"/>
        <v>1.4706658907689605E-4</v>
      </c>
      <c r="K89" s="15">
        <f t="shared" si="37"/>
        <v>6.6137585487326724</v>
      </c>
      <c r="L89" s="15">
        <f t="shared" si="38"/>
        <v>8.2844847859054944</v>
      </c>
      <c r="M89" s="15">
        <f t="shared" si="39"/>
        <v>-1.3786606292899466E-3</v>
      </c>
      <c r="N89" s="15">
        <f t="shared" si="40"/>
        <v>1.0828750568717615E-3</v>
      </c>
      <c r="O89" s="15">
        <f t="shared" si="41"/>
        <v>-5.3540134856958305E-4</v>
      </c>
      <c r="P89" s="15">
        <f t="shared" si="42"/>
        <v>4.7776919317914815E-4</v>
      </c>
      <c r="Q89" s="15">
        <f t="shared" si="33"/>
        <v>-5.3219179634091679E-5</v>
      </c>
      <c r="R89" s="15">
        <f t="shared" si="43"/>
        <v>-3.2900592437548064E-3</v>
      </c>
      <c r="S89" s="15">
        <f t="shared" si="44"/>
        <v>-1.0374589852034061E-3</v>
      </c>
      <c r="T89" s="15">
        <f t="shared" si="34"/>
        <v>1.329791810523577E-6</v>
      </c>
      <c r="U89" s="15">
        <f t="shared" si="45"/>
        <v>-4.2712158653783012E-3</v>
      </c>
    </row>
    <row r="90" spans="4:21" x14ac:dyDescent="0.25">
      <c r="D90" s="15">
        <v>0.24444444444444446</v>
      </c>
      <c r="E90" s="15">
        <v>62.231901079452832</v>
      </c>
      <c r="F90" s="15">
        <f t="shared" si="46"/>
        <v>-4.2711626585724156E-3</v>
      </c>
      <c r="G90" s="15">
        <f t="shared" si="31"/>
        <v>2.1710731972297114E-6</v>
      </c>
      <c r="H90" s="15">
        <f t="shared" si="35"/>
        <v>3.5676684694446383E-2</v>
      </c>
      <c r="I90" s="15">
        <f t="shared" si="36"/>
        <v>2.2355956311438389E-2</v>
      </c>
      <c r="J90" s="15">
        <f t="shared" si="32"/>
        <v>9.3423921437763232E-6</v>
      </c>
      <c r="K90" s="15">
        <f t="shared" si="37"/>
        <v>7.061971307375206</v>
      </c>
      <c r="L90" s="15">
        <f t="shared" si="38"/>
        <v>8.7542364254763037</v>
      </c>
      <c r="M90" s="15">
        <f t="shared" si="39"/>
        <v>-1.2170823695216683E-4</v>
      </c>
      <c r="N90" s="15">
        <f t="shared" si="40"/>
        <v>9.7113859366368787E-5</v>
      </c>
      <c r="O90" s="15">
        <f t="shared" si="41"/>
        <v>-5.3091971626717502E-5</v>
      </c>
      <c r="P90" s="15">
        <f t="shared" si="42"/>
        <v>4.6915151436257327E-5</v>
      </c>
      <c r="Q90" s="15">
        <f t="shared" si="33"/>
        <v>-5.3883595078693681E-6</v>
      </c>
      <c r="R90" s="15">
        <f t="shared" si="43"/>
        <v>-3.3532785587425565E-4</v>
      </c>
      <c r="S90" s="15">
        <f t="shared" si="44"/>
        <v>-3.9420116228886196E-3</v>
      </c>
      <c r="T90" s="15">
        <f t="shared" si="34"/>
        <v>6.8512311298128163E-8</v>
      </c>
      <c r="U90" s="15">
        <f t="shared" si="45"/>
        <v>-4.2712311708837138E-3</v>
      </c>
    </row>
    <row r="91" spans="4:21" x14ac:dyDescent="0.25">
      <c r="D91" s="15">
        <v>0.24722222222222223</v>
      </c>
      <c r="E91" s="15">
        <v>61.846801878262021</v>
      </c>
      <c r="F91" s="15">
        <f t="shared" si="46"/>
        <v>-4.2717720250537924E-3</v>
      </c>
      <c r="G91" s="15">
        <f t="shared" si="31"/>
        <v>1.9962516284126081E-13</v>
      </c>
      <c r="H91" s="15">
        <f t="shared" si="35"/>
        <v>3.3456471283066565E-2</v>
      </c>
      <c r="I91" s="15">
        <f t="shared" si="36"/>
        <v>2.1292824808036761E-2</v>
      </c>
      <c r="J91" s="15">
        <f t="shared" si="32"/>
        <v>4.2420645460974249E-13</v>
      </c>
      <c r="K91" s="15">
        <f t="shared" si="37"/>
        <v>6.4696906376504728</v>
      </c>
      <c r="L91" s="15">
        <f t="shared" si="38"/>
        <v>8.1898103431998148</v>
      </c>
      <c r="M91" s="15">
        <f t="shared" si="39"/>
        <v>-1.1933426041992523E-11</v>
      </c>
      <c r="N91" s="15">
        <f t="shared" si="40"/>
        <v>9.3752315458827339E-12</v>
      </c>
      <c r="O91" s="15">
        <f t="shared" si="41"/>
        <v>-4.4961494408211468E-12</v>
      </c>
      <c r="P91" s="15">
        <f t="shared" si="42"/>
        <v>4.0728004541380361E-12</v>
      </c>
      <c r="Q91" s="15">
        <f t="shared" si="33"/>
        <v>-4.7632678345938065E-13</v>
      </c>
      <c r="R91" s="15">
        <f t="shared" si="43"/>
        <v>-2.9459288205922132E-11</v>
      </c>
      <c r="S91" s="15">
        <f t="shared" si="44"/>
        <v>-4.271771996017853E-3</v>
      </c>
      <c r="T91" s="15">
        <f t="shared" si="34"/>
        <v>1.4025891001149936E-15</v>
      </c>
      <c r="U91" s="15">
        <f t="shared" si="45"/>
        <v>-4.271772025055195E-3</v>
      </c>
    </row>
    <row r="92" spans="4:21" x14ac:dyDescent="0.25">
      <c r="F92" t="e">
        <f t="shared" si="46"/>
        <v>#VALUE!</v>
      </c>
    </row>
  </sheetData>
  <mergeCells count="3">
    <mergeCell ref="A1:B1"/>
    <mergeCell ref="A11:B11"/>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Gamma_Vega_Hedge">
                <anchor moveWithCells="1" sizeWithCells="1">
                  <from>
                    <xdr:col>0</xdr:col>
                    <xdr:colOff>0</xdr:colOff>
                    <xdr:row>20</xdr:row>
                    <xdr:rowOff>0</xdr:rowOff>
                  </from>
                  <to>
                    <xdr:col>1</xdr:col>
                    <xdr:colOff>704850</xdr:colOff>
                    <xdr:row>22</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Strategy</vt:lpstr>
      <vt:lpstr>1.a) Greeks vs moneyness</vt:lpstr>
      <vt:lpstr>1.b) Delta Hedge</vt:lpstr>
      <vt:lpstr>1.b) Gamma hedge</vt:lpstr>
      <vt:lpstr>1.c) Gamma_Theta PnL</vt:lpstr>
      <vt:lpstr>1.d) Uncertainty</vt:lpstr>
      <vt:lpstr>1.e) Market crash</vt:lpstr>
      <vt:lpstr>1.f) Rho hedging </vt:lpstr>
      <vt:lpstr>2.a) Frequency</vt:lpstr>
      <vt:lpstr>2.b) Dynamics</vt:lpstr>
      <vt:lpstr>2.c) Transaction costs</vt:lpstr>
      <vt:lpstr>2.d) 80% gamma hedging</vt:lpstr>
      <vt:lpstr>2.e) Gamma-Vega Hedge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33781</dc:creator>
  <cp:lastModifiedBy>ahmed el aaradi</cp:lastModifiedBy>
  <dcterms:created xsi:type="dcterms:W3CDTF">2021-01-08T21:46:28Z</dcterms:created>
  <dcterms:modified xsi:type="dcterms:W3CDTF">2021-01-17T19:23:04Z</dcterms:modified>
</cp:coreProperties>
</file>